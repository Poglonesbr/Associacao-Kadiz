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ULAR" sheetId="1" r:id="rId5"/>
    <sheet state="visible" name="OUT" sheetId="2" r:id="rId6"/>
    <sheet state="visible" name="DEVEDORES" sheetId="3" r:id="rId7"/>
    <sheet state="visible" name="Observação" sheetId="4" r:id="rId8"/>
    <sheet state="visible" name="JUSTIFICATIVA DE FALTA" sheetId="5" r:id="rId9"/>
    <sheet state="visible" name="RETORNOS" sheetId="6" r:id="rId10"/>
    <sheet state="visible" name="DESATIVADOS" sheetId="7" r:id="rId11"/>
    <sheet state="visible" name="ANUAL" sheetId="8" r:id="rId12"/>
    <sheet state="visible" name="MAI" sheetId="9" r:id="rId13"/>
    <sheet state="visible" name="JUN" sheetId="10" r:id="rId14"/>
    <sheet state="visible" name="JUL" sheetId="11" r:id="rId15"/>
    <sheet state="visible" name="AGO" sheetId="12" r:id="rId16"/>
    <sheet state="visible" name="SET" sheetId="13" r:id="rId17"/>
    <sheet state="visible" name="DEZ" sheetId="14" r:id="rId18"/>
    <sheet state="visible" name="NOV" sheetId="15" r:id="rId19"/>
    <sheet state="visible" name="ABR" sheetId="16" r:id="rId20"/>
    <sheet state="visible" name="MAR" sheetId="17" r:id="rId21"/>
    <sheet state="visible" name="FEV" sheetId="18" r:id="rId22"/>
    <sheet state="visible" name="JAN" sheetId="19" r:id="rId23"/>
  </sheets>
  <definedNames>
    <definedName hidden="1" localSheetId="0" name="_xlnm._FilterDatabase">PARTICULAR!$A$2:$AM$200</definedName>
  </definedNames>
  <calcPr/>
</workbook>
</file>

<file path=xl/sharedStrings.xml><?xml version="1.0" encoding="utf-8"?>
<sst xmlns="http://schemas.openxmlformats.org/spreadsheetml/2006/main" count="3419" uniqueCount="1216">
  <si>
    <t>CAIXA ESCOLINHA OUTUBRO 2026</t>
  </si>
  <si>
    <t xml:space="preserve">MICHAEL NUNES BARBOSA </t>
  </si>
  <si>
    <t>DATA</t>
  </si>
  <si>
    <t>ENTRADA</t>
  </si>
  <si>
    <t xml:space="preserve">SAÍDA </t>
  </si>
  <si>
    <t>TIPO</t>
  </si>
  <si>
    <t>REFERÊNCIA</t>
  </si>
  <si>
    <t>MÃE: 47 99919 8226 PAI: 47 99993 9400</t>
  </si>
  <si>
    <t>ANTONIO BLANCO GARCIA ROSA</t>
  </si>
  <si>
    <t>OK</t>
  </si>
  <si>
    <t>TURMA 2 (MANHÃ)</t>
  </si>
  <si>
    <t>PIX</t>
  </si>
  <si>
    <t>MIGUEL CORREIA - MENSALIDADE</t>
  </si>
  <si>
    <t>8459161</t>
  </si>
  <si>
    <t>047.286.990-64</t>
  </si>
  <si>
    <t>MENSALIDADE</t>
  </si>
  <si>
    <t>MÃE: 47 9 9243 5719 PAI: 47 9 9249 9441</t>
  </si>
  <si>
    <t>TOTAL DE ENTRADA</t>
  </si>
  <si>
    <t>-</t>
  </si>
  <si>
    <t>TOTAL DE SAÍDA</t>
  </si>
  <si>
    <t>ESTÁ DESEMPREGADO, VAI TENTAR PAGAR</t>
  </si>
  <si>
    <t>FATURAMENTO MENSAL</t>
  </si>
  <si>
    <t>IRÁ RETORNAR APENAS QUANDO PAGAR</t>
  </si>
  <si>
    <t>ARTHUR HINCKEL DALLAGNO - MENSALIDADE SETEMBRO</t>
  </si>
  <si>
    <t>ok</t>
  </si>
  <si>
    <t>01/01/2025</t>
  </si>
  <si>
    <t>O+</t>
  </si>
  <si>
    <t xml:space="preserve"> JAQUELINE FLORES BLANCO -  899.584.030-72 - JAQUE_BLANCO@YAHOO.COM.BR</t>
  </si>
  <si>
    <t>ARTUR SICHMANN</t>
  </si>
  <si>
    <t>R. JOAQUIM AGOSTINHO VIEIRA - N 800, CENTRO</t>
  </si>
  <si>
    <t>CAMBORIÚ</t>
  </si>
  <si>
    <t>Aluno</t>
  </si>
  <si>
    <t>Meses em aberto</t>
  </si>
  <si>
    <t>Qtd. meses</t>
  </si>
  <si>
    <t>Valor por mês (R$)</t>
  </si>
  <si>
    <t>Total devido (R$)</t>
  </si>
  <si>
    <t>Status</t>
  </si>
  <si>
    <t>Data da cobrança</t>
  </si>
  <si>
    <t>Observações</t>
  </si>
  <si>
    <t>Antonio Blanco Garcia Rosa</t>
  </si>
  <si>
    <t>Maio, Junho, Julho, Agosto</t>
  </si>
  <si>
    <t>EM ABERTO</t>
  </si>
  <si>
    <t>ALUNO NÃO VEIO MAIS, PAI NÃO RESPONDE</t>
  </si>
  <si>
    <t>Davi de Souza Seben</t>
  </si>
  <si>
    <t>Julho, Agosto</t>
  </si>
  <si>
    <t>HIROYUKI - MENSALIDADE</t>
  </si>
  <si>
    <t>FALTA 50,00</t>
  </si>
  <si>
    <t>MÃE FRATUROU O PÉ (PAGAM EM DINHEIRO)</t>
  </si>
  <si>
    <t>Gabriel Queiróz Withoft</t>
  </si>
  <si>
    <t>Agosto</t>
  </si>
  <si>
    <t>VAI PAGAR SEMANA Q VEM (cobrar 08/09)</t>
  </si>
  <si>
    <t>DÉBITO</t>
  </si>
  <si>
    <t>Kaleb Felipe</t>
  </si>
  <si>
    <t>DAVI E SARA FONSECA BEUTING - MENSALIDADE</t>
  </si>
  <si>
    <t>Abril, Maio, Junho, Julho, Agosto</t>
  </si>
  <si>
    <t>DIZ QUE ESTÁ EM UMA SITUAÇÃO DIFICIL E JÁ PAGOU ABRIL E MAIO (MAS NÃO TEM COMPROVANTE)</t>
  </si>
  <si>
    <t>João Victor Micheletti Rohrs</t>
  </si>
  <si>
    <t>Coluna 1</t>
  </si>
  <si>
    <t>LUCAS FERNANDO DELAGNELLO - MENSALIDADE</t>
  </si>
  <si>
    <t>Diz que virá fazer o pagamento</t>
  </si>
  <si>
    <t>DINHEIRO</t>
  </si>
  <si>
    <t>BERNARDO BUENO DE ALBURQUERQUE - CALÇÃO E MEIÃO</t>
  </si>
  <si>
    <t>UNIFORME</t>
  </si>
  <si>
    <t>BERNARDO BUENO DE ALBURQUERQUE - MENSALIDADE</t>
  </si>
  <si>
    <t>DANIEL ELIAS - MENSALIDADE SETEMBRO</t>
  </si>
  <si>
    <t>JOHN ADAMS - MENSALIDADE</t>
  </si>
  <si>
    <t>CREDITO</t>
  </si>
  <si>
    <t>JOHN ADAMS - CALÇÃO</t>
  </si>
  <si>
    <t>.</t>
  </si>
  <si>
    <t>JOÃO GERGENSLEY LAGUERRE - MENSALIDADE</t>
  </si>
  <si>
    <t>. 2</t>
  </si>
  <si>
    <t>GUILHERME PEREIRA DOS SANTOS - MENSALIDADE SETEMBRO</t>
  </si>
  <si>
    <t>GUILHERME PEREIRA DOS SANTOS - MENSALIDADE OUTUBRO</t>
  </si>
  <si>
    <t>PEDRO BELICA GASPAR - MENS OUTUBRO</t>
  </si>
  <si>
    <t>C</t>
  </si>
  <si>
    <t>DAVI SEBEN - MENSALIDADE OUTUBRO</t>
  </si>
  <si>
    <t>BERNARDO DE LIMA LINDNER - MENSALIDADE OUTUBRO</t>
  </si>
  <si>
    <t>Coluna 5</t>
  </si>
  <si>
    <t>CICERO DE CASTRO DAPIEVE - MENSALIDADE OUTUBRO</t>
  </si>
  <si>
    <t>NOME</t>
  </si>
  <si>
    <t>FICHA</t>
  </si>
  <si>
    <t>TURMA</t>
  </si>
  <si>
    <t>UNIFORMES:</t>
  </si>
  <si>
    <t>IDADE</t>
  </si>
  <si>
    <t>MENSALIDADES:</t>
  </si>
  <si>
    <t>OUTROS:</t>
  </si>
  <si>
    <t>TOTAL</t>
  </si>
  <si>
    <t>NASCIMENTO</t>
  </si>
  <si>
    <t>CPF</t>
  </si>
  <si>
    <t>DATA INÍCIO:</t>
  </si>
  <si>
    <t>DIAS</t>
  </si>
  <si>
    <t>TELEFONE:</t>
  </si>
  <si>
    <t>JANEIRO</t>
  </si>
  <si>
    <t>FEVEREIRO</t>
  </si>
  <si>
    <t>MARÇO</t>
  </si>
  <si>
    <t>ABRIL</t>
  </si>
  <si>
    <t xml:space="preserve">MAIO </t>
  </si>
  <si>
    <t>JUNHO</t>
  </si>
  <si>
    <t xml:space="preserve">JULHO </t>
  </si>
  <si>
    <t>AGOSTO</t>
  </si>
  <si>
    <t>SETEMBRO</t>
  </si>
  <si>
    <t>---</t>
  </si>
  <si>
    <t>3° TRI 2024</t>
  </si>
  <si>
    <t>OUTUBRO</t>
  </si>
  <si>
    <t xml:space="preserve"> ROSILENI COSTA NUNES  BARBOSA - 069.778.099-65 - MKCABECEIRAS@HOTMAIL.COM </t>
  </si>
  <si>
    <t>SALESIANO</t>
  </si>
  <si>
    <t>R. BERLIM - 115, SANTA REGINA</t>
  </si>
  <si>
    <t xml:space="preserve">NOVEMBRO </t>
  </si>
  <si>
    <t>OTÁVIO AUGUSTUS TONIOLO</t>
  </si>
  <si>
    <t>DEZEMBRO</t>
  </si>
  <si>
    <t>VENCIMENTO</t>
  </si>
  <si>
    <t>MÃE: 47 99638 1225 PAI: 41 99877 0608</t>
  </si>
  <si>
    <t>ELETRO</t>
  </si>
  <si>
    <t>ATESTADO DE APTIDÃO</t>
  </si>
  <si>
    <t>132.149.629-06</t>
  </si>
  <si>
    <t>--</t>
  </si>
  <si>
    <t>AT DE FREQUENCIA</t>
  </si>
  <si>
    <t>COMPROVANTE DE RESIDÊNCIA</t>
  </si>
  <si>
    <t xml:space="preserve"> D' PERUT BEAUTY EIRELI - 39611288/0001-76 -  debysab@hotmail.com</t>
  </si>
  <si>
    <t>CECAN</t>
  </si>
  <si>
    <t>AV. RESINDO PAVAN - N 3177, ESTALEIRO</t>
  </si>
  <si>
    <t xml:space="preserve">JOSEP BONK BUSNELLO </t>
  </si>
  <si>
    <t>MÃE: 47 99999 8967 PAI: 47 99962  9402</t>
  </si>
  <si>
    <t>CARTEIRA DE VACINAÇÃO</t>
  </si>
  <si>
    <t>122.257.609-00</t>
  </si>
  <si>
    <t>2025 1</t>
  </si>
  <si>
    <t>CARTÃO SUS</t>
  </si>
  <si>
    <t xml:space="preserve"> SIMONE ISABEL BONK BUSNELLO - 024.277.949-29 - ADVBONKBUSNELLO@GMAIL.COM</t>
  </si>
  <si>
    <t>COC</t>
  </si>
  <si>
    <t>BOLETIM</t>
  </si>
  <si>
    <t>R. 1926 - N 489, CENTRO</t>
  </si>
  <si>
    <t>TIPO SANGUÍNEO</t>
  </si>
  <si>
    <t xml:space="preserve"> MAURI A. GARCIA - 036.883.919-26 - MENDESGONCALVESLUCAS.@GMAIL.COM</t>
  </si>
  <si>
    <t>DADOS FISCAIS</t>
  </si>
  <si>
    <t>DOMINGOS FONSECA</t>
  </si>
  <si>
    <t>TEREZA EVANGELISTA GONÇALVES - 398, TABOLEIRO</t>
  </si>
  <si>
    <t>ESCOLA</t>
  </si>
  <si>
    <t>Pedir documenação começar pelo debaixo</t>
  </si>
  <si>
    <t>ENDEREÇO:</t>
  </si>
  <si>
    <t>CIDADE</t>
  </si>
  <si>
    <t>KALEB FELIPE</t>
  </si>
  <si>
    <t>DAVI LUCAS ZANELLA TONESER</t>
  </si>
  <si>
    <t>EDUARDO JOSÉ VAZ DE LIMA</t>
  </si>
  <si>
    <t xml:space="preserve">HENRI CARPENEDO DOS SANTOS </t>
  </si>
  <si>
    <t xml:space="preserve">HIROYUKI MOTA TUKAMOTO </t>
  </si>
  <si>
    <t>LEONARDO DAVI PEREIRA ROGAL</t>
  </si>
  <si>
    <t xml:space="preserve">MIGUEL CORREIA DE FREITAS </t>
  </si>
  <si>
    <t>NICOLLAS HIAN ALVES MARTINS</t>
  </si>
  <si>
    <t>AYLA G. MELLO SHFFNAN</t>
  </si>
  <si>
    <t xml:space="preserve">GABRIEL OSÓRIO GUEDES </t>
  </si>
  <si>
    <t>PEDRO DAVI LOCH</t>
  </si>
  <si>
    <t>PIETRO RIFFEL COUTO</t>
  </si>
  <si>
    <t>VICENTE MARQUES DA SILVA</t>
  </si>
  <si>
    <t>ÁLVARO RIFFEL COUTO</t>
  </si>
  <si>
    <t>DAVI FERREIRA FIDENCIO</t>
  </si>
  <si>
    <t>MARTIN PERONIO ZAMBELE</t>
  </si>
  <si>
    <t>LUCAS EVANGELISTA DE SOUZA</t>
  </si>
  <si>
    <t>DAVI GOMES SILVEIRA</t>
  </si>
  <si>
    <t>LORENZO PERONIO ZAMBELE</t>
  </si>
  <si>
    <t>Avisar que estamos cancelando o Lep App</t>
  </si>
  <si>
    <t>PEDRO KREHNKE DE OLIVEIRA</t>
  </si>
  <si>
    <t>JOAO PEDRO MENEZES KNECHTEL</t>
  </si>
  <si>
    <t>MIGUEL PACHECO DO NASCIMENTO</t>
  </si>
  <si>
    <t xml:space="preserve">GABRIEL TALES MENOTTI </t>
  </si>
  <si>
    <t>DAVI DE SOUZA SEBEN</t>
  </si>
  <si>
    <t>CARLOS PYETRO MATOS DE SOUZA</t>
  </si>
  <si>
    <t>JOHN ADAMS NERVARD</t>
  </si>
  <si>
    <t xml:space="preserve">JOÃO VICTOR MICHELETTI ROHRS </t>
  </si>
  <si>
    <t>TURMA 3 (TARDE)</t>
  </si>
  <si>
    <t>47 991841767 47 996786075 47 989134934</t>
  </si>
  <si>
    <t>TRANCOU</t>
  </si>
  <si>
    <t>MOTIVO</t>
  </si>
  <si>
    <t xml:space="preserve">THOMAS GERALDO DO CARMO </t>
  </si>
  <si>
    <t xml:space="preserve">MACHUCOU O PÉ, TEM ATESTADO DE 7 DIAS </t>
  </si>
  <si>
    <t>Thomas acordou com bastante dor barriga não vai conseguir treinar hoje</t>
  </si>
  <si>
    <t>RAIRA DOMINGUES RIFFEL - 030.871.020-75 - RAIRIFF.27@GMAIL.COM</t>
  </si>
  <si>
    <t>ANTONIO LUCIO</t>
  </si>
  <si>
    <t>R. ISRAEL 431</t>
  </si>
  <si>
    <t>BC</t>
  </si>
  <si>
    <t>ANTHONY GABRIEL DA SILVA</t>
  </si>
  <si>
    <t>TURMA 7 (TARDE)</t>
  </si>
  <si>
    <t xml:space="preserve">130.396.239-07 </t>
  </si>
  <si>
    <t>47 9121-1515</t>
  </si>
  <si>
    <t>ANTONIEL ANTONIO DA SILVA - 946.553.329-72 - ANTONIELSILVA@GSM.SILVA.COM.BR</t>
  </si>
  <si>
    <t>VISÃO</t>
  </si>
  <si>
    <t>R. GUAMAPARIM, 359</t>
  </si>
  <si>
    <t>CAMBORIU</t>
  </si>
  <si>
    <t>ANTÔNIO JACOMETTO NETO</t>
  </si>
  <si>
    <t>146.695.329-28</t>
  </si>
  <si>
    <t>47 9731-7920</t>
  </si>
  <si>
    <t>UNIMED</t>
  </si>
  <si>
    <t>A+</t>
  </si>
  <si>
    <t>LUCIANE GONÇALVES - 031.619.119-11 - LUEMUNHOZ@GMAIL.COM</t>
  </si>
  <si>
    <t>RUA NEPAL, 289</t>
  </si>
  <si>
    <t xml:space="preserve">BERNARDO MARTINS DIETRICH BUENO </t>
  </si>
  <si>
    <t>ANTÔNIO SALVADOR SOARES</t>
  </si>
  <si>
    <t>MÃE: 47 9 9609 2686 PAI: 47 9 9782 8988</t>
  </si>
  <si>
    <t>s</t>
  </si>
  <si>
    <t>TURMA 6 (MANHÃ)</t>
  </si>
  <si>
    <t>136.724.859-00</t>
  </si>
  <si>
    <t xml:space="preserve"> ISABELE CRISTINA DIETRICH - 056.494.439-47 - BELDIETRICH26@GMAIL.COM</t>
  </si>
  <si>
    <t>R. CEREJEIRA - N 957, TABULEIRO</t>
  </si>
  <si>
    <t>151.647.179-21</t>
  </si>
  <si>
    <t>MÃE:47 999415473 PAI:47 996116633</t>
  </si>
  <si>
    <t>053.034.669-90</t>
  </si>
  <si>
    <t>O-</t>
  </si>
  <si>
    <t>MÃE 47 9615-0551</t>
  </si>
  <si>
    <t xml:space="preserve"> AMARILDO HENRIQUE FRANCISCO - 053.034.669-90 - HENNRIQUE.CHICO@GMAIL.COM </t>
  </si>
  <si>
    <t>NEI PÃO E MEL</t>
  </si>
  <si>
    <t>R. MONTE BONETE - N 400, MONTE ALEGRE</t>
  </si>
  <si>
    <t>A-</t>
  </si>
  <si>
    <t>ALEX MARCELINO SOARES 082.649.079-46 - ALEXMARCELINOSOARES@GMAIL.COM</t>
  </si>
  <si>
    <t>X</t>
  </si>
  <si>
    <t xml:space="preserve">ARTHUR HINCKEL DALLAGNO </t>
  </si>
  <si>
    <t>130.236.229.14</t>
  </si>
  <si>
    <t>MÃE: 47 9 9224 1881 PAI: 47 9 9621 9678</t>
  </si>
  <si>
    <t xml:space="preserve"> MAICON MEZAVILLA DALLAGNO - 005.676.820-64 - MAICONDALLAGNO@GMAIL.COM</t>
  </si>
  <si>
    <t>TANIA REGINA</t>
  </si>
  <si>
    <t>R. GUARAPARIM - N 130, TABULEIRO</t>
  </si>
  <si>
    <t>ARTHUR LEONARDO SIMAS</t>
  </si>
  <si>
    <t>136.366.614-30</t>
  </si>
  <si>
    <t xml:space="preserve">HENRY MACHADO LEIVAS  </t>
  </si>
  <si>
    <t>2026</t>
  </si>
  <si>
    <t>RG</t>
  </si>
  <si>
    <t>RESIDÊNCIA</t>
  </si>
  <si>
    <t>ATESTADO</t>
  </si>
  <si>
    <t>VACINAÇÃO</t>
  </si>
  <si>
    <t>SUS</t>
  </si>
  <si>
    <t>ELETROCARDIOGRAMA</t>
  </si>
  <si>
    <t>ANDERSON L SIMAS - 025.031.329-44 - ANDERSONSIMAS@HOTMAIL.COM</t>
  </si>
  <si>
    <t>ARMANDO CESAR</t>
  </si>
  <si>
    <t>5 - 300</t>
  </si>
  <si>
    <t>R. SAO LUIZ, VILA REAL, 670</t>
  </si>
  <si>
    <t>DADOS FISCAIS: CLAUDIA FERNANDA DA SILVA MACHADO - 909.058.570-20 - CBELLA77@YAHOO.COM.BR</t>
  </si>
  <si>
    <t>CAMBOTIÚ</t>
  </si>
  <si>
    <t xml:space="preserve">LUIZ GUILHERME DA SILVA </t>
  </si>
  <si>
    <t>MÊS</t>
  </si>
  <si>
    <t xml:space="preserve">ENTRADA MENSAL </t>
  </si>
  <si>
    <t>SAÍDA MENSAL</t>
  </si>
  <si>
    <t xml:space="preserve">ARTHUR VALENDORFF DE CARVALHO </t>
  </si>
  <si>
    <t>MÃE: 4799241881  PAI: 47 9962149678</t>
  </si>
  <si>
    <t xml:space="preserve"> DANIELE APARECIDA VALLENDORFF - 025.969.189-51 - DANIELE_VALENDORFF@HOTMAIL.COM </t>
  </si>
  <si>
    <t>MAIO</t>
  </si>
  <si>
    <t>R. CEREJEIRA - N 383, TABULEIRO</t>
  </si>
  <si>
    <t>DADOS FISCAIS: LUIZ CARLOS DA SILVA - 895.988.739-00 - SILVAKLUIS@GMAIL.COM</t>
  </si>
  <si>
    <t>VITOR HICHMEH (MUDOU DE ESTADO)</t>
  </si>
  <si>
    <t>CAIXA ESCOLINHA MAIO 2026</t>
  </si>
  <si>
    <t>AUGUSTO TESTONI</t>
  </si>
  <si>
    <t>DATA:</t>
  </si>
  <si>
    <t>JULHO</t>
  </si>
  <si>
    <t>ENTRADA:</t>
  </si>
  <si>
    <t>10 - 250</t>
  </si>
  <si>
    <t>12605923916*</t>
  </si>
  <si>
    <t>SAÍDA:</t>
  </si>
  <si>
    <t>TIPO:</t>
  </si>
  <si>
    <t>REFERÊNCIA:</t>
  </si>
  <si>
    <t xml:space="preserve">DADOS FISCAIS: VINICIUS SALEH HICHMEH - 053.267.069-89 - KELE_LEAL@YAHOO.COM.BR </t>
  </si>
  <si>
    <t>VICENZO VITORINO BANDEIRA FRANCO Encerrei porque não tive retorno da direção, senti desatenção e desigualdade no valor pago em relação às aulas</t>
  </si>
  <si>
    <t>CRÉDITO 4X</t>
  </si>
  <si>
    <t>UNIFORME ADRIAN DE BAIRROS</t>
  </si>
  <si>
    <t>AB+</t>
  </si>
  <si>
    <t>DADOS FISCAIS: ANTONIO CARLOS BANDEIRA FRANCO - 088.833.478-89 - BANDEIRA@BANDEIRAFRANCO.COM.BR</t>
  </si>
  <si>
    <t>GABRIEL THIBES FILHO</t>
  </si>
  <si>
    <t>--------</t>
  </si>
  <si>
    <t xml:space="preserve">DADOS FISCAIS: GABRIEL THIBES - 058.802.369-86 - GABRIELTHIBES89@GMAIL.COM </t>
  </si>
  <si>
    <t>LUCAS COLETTO ROLIM</t>
  </si>
  <si>
    <t>NOVEMBRO</t>
  </si>
  <si>
    <t>MEIÃO 28-32 AZUL</t>
  </si>
  <si>
    <t>UNIFICADO</t>
  </si>
  <si>
    <t>MÃE: 47  9 9156 7250</t>
  </si>
  <si>
    <t>ANO</t>
  </si>
  <si>
    <t>LUCAS MENEGUSSO PEREIRA DA ROCHA - MARÇO MENSALIDADE</t>
  </si>
  <si>
    <t>PAI: 47 9 9117 8217</t>
  </si>
  <si>
    <t xml:space="preserve">ENDEREÇO: </t>
  </si>
  <si>
    <t xml:space="preserve">DADOS FISCAIS: DANIELE FORTES COLETTO - 930.875.000-20 - </t>
  </si>
  <si>
    <t>R. 3130 - 112, CENTRO</t>
  </si>
  <si>
    <t>154.225.199-06</t>
  </si>
  <si>
    <t>-------</t>
  </si>
  <si>
    <t>PIETRO RIFFEL COUTO - MENSALIDADE MAIO</t>
  </si>
  <si>
    <t>MÃE 4796404126</t>
  </si>
  <si>
    <t>MÃE: 43 99606 8677</t>
  </si>
  <si>
    <t>ANGLO</t>
  </si>
  <si>
    <t>NÃO TEM</t>
  </si>
  <si>
    <t xml:space="preserve">  </t>
  </si>
  <si>
    <t>PAI: 44 92003 7409</t>
  </si>
  <si>
    <t>RAFAEL MORAIS SETÚBAL (MUDOU DE ESTADO)</t>
  </si>
  <si>
    <t>CRÉDITO A VISTA</t>
  </si>
  <si>
    <t>DADOS FISCAIS: RAONI PEREIRA FONSECA SILVA SETÚBAL - 002.630.721-93 - RAONI.TRB@GMAIL.COM</t>
  </si>
  <si>
    <t>CALÇÃO</t>
  </si>
  <si>
    <t>JOÃO PAULO DE OLIVEIRA PAVAN (MUDOU DE ESTADO)</t>
  </si>
  <si>
    <t>MÃE: 47 99653 0400</t>
  </si>
  <si>
    <t>PAI: 47 99668 6503</t>
  </si>
  <si>
    <t xml:space="preserve">DADOS FISCAIS: PAULIANA FERREIRA DE OLIVEIRA  - 960.071.761-34 - PAULIANAPAVAN@GMAIL.COM </t>
  </si>
  <si>
    <t>YAN CHISTOPHER MACHADO PEREIRA - MENSALIDADE ABRIL</t>
  </si>
  <si>
    <t>R. 951 - N 41, CENTRO</t>
  </si>
  <si>
    <t>BERNARDO CAVALHEIRODE MEDEIROS RIBEIRO (valor da mensalidade)</t>
  </si>
  <si>
    <t>CLOTILDE</t>
  </si>
  <si>
    <t>MÃE: 47 9 9723 0613</t>
  </si>
  <si>
    <t>61.294.650-92</t>
  </si>
  <si>
    <t>PAI: 47 9 8800 5989</t>
  </si>
  <si>
    <t>ENDEREÇO</t>
  </si>
  <si>
    <t>DAVI FONSECA BEUTING - MENSALIDADE MAIO</t>
  </si>
  <si>
    <t xml:space="preserve">DADOS FISCAIS: MATHEUS DE MEDEIROS - 019.476.320-00 - MEDEIROS220214@GMAIL.COM </t>
  </si>
  <si>
    <t>R. AMAZONAS - N 19, CENTRO</t>
  </si>
  <si>
    <t xml:space="preserve">BRAYAN  KUSSEK MULLER </t>
  </si>
  <si>
    <t>JOHN ADAMS NERVARD - MENSALIDADE MAIO</t>
  </si>
  <si>
    <t xml:space="preserve">ATESTADO DE FREQUENCIA </t>
  </si>
  <si>
    <t>CRÉDITO</t>
  </si>
  <si>
    <t>MIGUEL CORREIA DE FREITAS - MENSALIDADE ABRIL</t>
  </si>
  <si>
    <t>BENICIO BUSATTO</t>
  </si>
  <si>
    <t>CAIXA ESCOLINHA JUNHO 2026</t>
  </si>
  <si>
    <t>GUSTAVO KENJI DA SILVEIRA - MENSALIDADE MAIO</t>
  </si>
  <si>
    <t>47 9646-5895</t>
  </si>
  <si>
    <t>GUILHERME PEREIRA DOS SANTOS - MENSALIDADE MAIO</t>
  </si>
  <si>
    <t>DAVI PEREIRA - MENSALIDADE MAIO</t>
  </si>
  <si>
    <t>PEDRO HENRIQUE LIMA DA SILVA - MENSALIDADE JUNHO RETORNOU DO ATESTADO</t>
  </si>
  <si>
    <t>BENTO GHENO GONÇALVES - MENSALIDADE ABRIL</t>
  </si>
  <si>
    <t>CAMISETA - 684</t>
  </si>
  <si>
    <t>DAVI LUCIANO DOMINICIANO - MENSALIDADE JUNHO</t>
  </si>
  <si>
    <t>CREDITO 12X</t>
  </si>
  <si>
    <t>DAVI MARQUES DA SILVA E VICENTE MARQUES DA SILVA - ANUAL MENSALIDADE</t>
  </si>
  <si>
    <t xml:space="preserve">DADOS FISCAIS: AKIELLI KUSSEK - 061.422.719-48 - AKIELLIKUSSEK@GMAIL.COM </t>
  </si>
  <si>
    <t>GUSTAVO KENJI DA SILVEIRA - MENSALIDADE JUNHO</t>
  </si>
  <si>
    <t>KALEB GONÇALVES DE ANDRADE ( SAIU POIS ESTAVA EM TRATAMENTO DE ASMA, QUANDO VOLTOU NÃO QUIS TREINAR)</t>
  </si>
  <si>
    <t>CRÉDITO 3X</t>
  </si>
  <si>
    <t>AQUARELA DO SABER</t>
  </si>
  <si>
    <t>GABRIEL OSÓRIO - MAIO, JUNHO E JULHO MENSALIDADE</t>
  </si>
  <si>
    <t>BERNARDO DE LIMA LINDNER</t>
  </si>
  <si>
    <t>MÃE: 47 99964 0854</t>
  </si>
  <si>
    <t>PAI: 47 99674 0535</t>
  </si>
  <si>
    <t>HENRI CARPENEDO DOS SANTOS - MENSALIDADE ABRIL</t>
  </si>
  <si>
    <t>DADOS FISCAIS: LEONARDO ANDRADE - 095.346.099-19 - leonardo_andrade2@hotmail.com</t>
  </si>
  <si>
    <t>DAVI LUCAS ZANELLA TONESER - MENSALIDADE MAIO</t>
  </si>
  <si>
    <t>R. MONTE MERU - 700, CONDE VILA VERDE</t>
  </si>
  <si>
    <t>146.644.509-23</t>
  </si>
  <si>
    <t>LUCCA CARVALHO MISITI (MÃE TIROU POR CONTA DAS NOTAS BAIXAS)</t>
  </si>
  <si>
    <t>47 9901-5429</t>
  </si>
  <si>
    <t>LICEU</t>
  </si>
  <si>
    <t>MÃE: 47 9 9639 2995</t>
  </si>
  <si>
    <t>PAI: 47 9 9785 3586</t>
  </si>
  <si>
    <t>JOSEP - CALÇÃO GG</t>
  </si>
  <si>
    <t>DADOS FISCAIS: THIAGO MISITI DOS SANTOS - 376.363.548-37 - TMISITI@HOTMAIL.COM</t>
  </si>
  <si>
    <t xml:space="preserve">R. ARMAZÉM - N 593, MUNICIPIOS </t>
  </si>
  <si>
    <t>HENRI CARPENEDO DOS SANTOS - MENSALIDADE MAIO</t>
  </si>
  <si>
    <t>LAURA VITÓRIA DA SILVA MATTIA (NÃO QUIS MAIS TREINAR, POR CONTA DOS MENINOS)</t>
  </si>
  <si>
    <t>UNIFORME MIGUEL PACHECO - CALÇÃO G E CAMISA 692</t>
  </si>
  <si>
    <t>MÃE: 47 9 9930 1512</t>
  </si>
  <si>
    <t>125.534.759.77</t>
  </si>
  <si>
    <t>AT. FREQUENCIA</t>
  </si>
  <si>
    <t>TIAGO (PADRASTO): 47 9 9141 0389</t>
  </si>
  <si>
    <t>DADOS FISCAIS: DJENIFER ANDRESSA DA SILVA - 082.769.809-70 - djeniferandressa@gmail.com</t>
  </si>
  <si>
    <t>R. LEANDRO BERTOLDI - N 191, CEDROS</t>
  </si>
  <si>
    <t>GABRIEL COELHO - MENSALIDADE</t>
  </si>
  <si>
    <t>PEDRO ROSKOSKI PANDINI (saiu pois esta Treinando em camboriú)</t>
  </si>
  <si>
    <t>MÃE: 47 99684 0505</t>
  </si>
  <si>
    <t>PEDRO HENRIQUE BELICA GASPAR - MENSALIDADE MAIO E JUNHO</t>
  </si>
  <si>
    <t xml:space="preserve">EDUARDO PUGATSCH JUNIOR </t>
  </si>
  <si>
    <t>MÃE: 47 9 8463 6027 PAI: 47 9 8481 5389</t>
  </si>
  <si>
    <t>4359063059*</t>
  </si>
  <si>
    <t>JOÃO GERGENSLEY LAGUERRE - MENSALIDADE ABRIL</t>
  </si>
  <si>
    <t xml:space="preserve"> EDUARDO PUGATSCH - 767.565.050-68 - EDUARDO.PUG3@GMAIL.COM </t>
  </si>
  <si>
    <t>LICEU CATARINENSE</t>
  </si>
  <si>
    <t>R. AGROLÂNDIA - 813, IATE CLUBE</t>
  </si>
  <si>
    <t xml:space="preserve">BENJAMIN PIORELLI COSTA </t>
  </si>
  <si>
    <t xml:space="preserve">ENZO GABRIEL ALVES COUTO </t>
  </si>
  <si>
    <t>MÃE: -- PAI: 47 9 8913 4934</t>
  </si>
  <si>
    <t xml:space="preserve">10 - 400 </t>
  </si>
  <si>
    <t xml:space="preserve"> DIONATA ALVES COUTO - 025.082.320-92 - COUTODIONATA22@GMAIL.COM</t>
  </si>
  <si>
    <t>ENERGIA</t>
  </si>
  <si>
    <t>R. 3144 - N 246, CENTRO</t>
  </si>
  <si>
    <t>ENZO MATHEUS TEIXEIRA SIQUEIRA</t>
  </si>
  <si>
    <t>MÃE: 92 9 9192 0813 PAI: 21 9 9269 6621</t>
  </si>
  <si>
    <t>EMANUEL SIMAS MACHADO - MENSALIDADE ABRIL</t>
  </si>
  <si>
    <t>704.096.622-08</t>
  </si>
  <si>
    <t xml:space="preserve"> DADOS FICAIS: JOSIMARA GOMAS TEIXEIRA SIQUEIRA - 961.878.242-53 - agilaluminio@gmail.com</t>
  </si>
  <si>
    <t>IVONE</t>
  </si>
  <si>
    <t>DAVI LUCIANO DOMINICIANO - MENSALIDADE</t>
  </si>
  <si>
    <t>137.277.199-90</t>
  </si>
  <si>
    <t>MIGUEL CORREIA DE FREITAS - MENSALIDADE DE MAIO</t>
  </si>
  <si>
    <t>47999425750   47999046645</t>
  </si>
  <si>
    <t>MIGUEL PACHECO DO NASCIMENTO - MENSALIDADE MAIO</t>
  </si>
  <si>
    <t>SARA E DAVI FONSECA - MENSALIDADE DE JUNHO</t>
  </si>
  <si>
    <t>Pietro Riffel Couto - MENSALIDADE JUNHO</t>
  </si>
  <si>
    <t>11/09 + JAN E FEV</t>
  </si>
  <si>
    <t>R. DAMASCO - N 84, SANTA REGINA</t>
  </si>
  <si>
    <t>ESTEVÃO RIBAS</t>
  </si>
  <si>
    <t>Lucas Menegusso Pereira Da Rocha - MENSALIDADE ABRIL</t>
  </si>
  <si>
    <t>MÃE: 47 99949 5357 PAI: 47 99648 5769</t>
  </si>
  <si>
    <t xml:space="preserve">-- </t>
  </si>
  <si>
    <t>139.916.449-31</t>
  </si>
  <si>
    <t>2025 2° BI</t>
  </si>
  <si>
    <t>iate club</t>
  </si>
  <si>
    <t>REUEL RIBAS - 005.673.329-18 - RIBASREUEL@GMAIL.COM</t>
  </si>
  <si>
    <t>CEM GHISLANDI</t>
  </si>
  <si>
    <t>R. DOM MARCOS - 352, IATE CLUBE</t>
  </si>
  <si>
    <t>RUA COQUEIROS N -70</t>
  </si>
  <si>
    <t>Davi Lucas Zanella Tonezer - MENSALIDADE JUNHO</t>
  </si>
  <si>
    <t xml:space="preserve">EUCLIDES DOS SANTOS SIQUEIRA DA SILVA FILHO </t>
  </si>
  <si>
    <t>MÃE: 47 9 9185 3808 PAI: 47 9 9124 1295</t>
  </si>
  <si>
    <t>053.329.252-20</t>
  </si>
  <si>
    <t>10 - 270</t>
  </si>
  <si>
    <t xml:space="preserve"> EUCLIDES DOS SANTOS SIQUEIRA DA SILVA - 626.557.102-82 - JOSIETESILVAHK@GMAIL.COM </t>
  </si>
  <si>
    <t>ALCUINO</t>
  </si>
  <si>
    <t>R. MONTE POUSO ALTO - N 614, MONTE ALEGRE</t>
  </si>
  <si>
    <t xml:space="preserve">JOAQUIM AGOSTINI </t>
  </si>
  <si>
    <t>MÃE: 47 99943 5913 PAI: 47 99963 2050</t>
  </si>
  <si>
    <t>138.725.289-55</t>
  </si>
  <si>
    <t>MICHAEL NUNES BARBOSA - MENSALIDADE ABRIL</t>
  </si>
  <si>
    <t xml:space="preserve"> ELIONAI AGOSTINI - 105.305.409-24 - AGOSTINIGILDO@GMAIL.COM</t>
  </si>
  <si>
    <t>R. PINDAIBA - 234, TABULEIRO</t>
  </si>
  <si>
    <t xml:space="preserve">BRENO CURVELO FREITAS DIAS </t>
  </si>
  <si>
    <t>MÃE: 47 9 9709 2939 PAI: 47 9 9701 9582</t>
  </si>
  <si>
    <t>----</t>
  </si>
  <si>
    <t>------</t>
  </si>
  <si>
    <t>-----</t>
  </si>
  <si>
    <t>142.237.649-42</t>
  </si>
  <si>
    <t xml:space="preserve"> JAILMA PATRICIA FREITAS DIAS - 039.642.914-98 - PATRICIAFREITAS4568@GMAIL.COM</t>
  </si>
  <si>
    <t xml:space="preserve">TOMAZ FRANCISCO </t>
  </si>
  <si>
    <t>R. BRUSQUE - N N 111, MUNICIPIOS</t>
  </si>
  <si>
    <t>CAIO DOS ANJOS</t>
  </si>
  <si>
    <t xml:space="preserve">MÃE: 47 9 9174 9450 PAI: 47 9 9119 1994 </t>
  </si>
  <si>
    <t>LUCAS EVANGELISTA DE SOUZA - MENSALIDADE JUNHO</t>
  </si>
  <si>
    <t>BENTO GHENO GONÇALVES</t>
  </si>
  <si>
    <t>13/16</t>
  </si>
  <si>
    <t xml:space="preserve"> CRISTIAN DOS ANJOS SILVA - 089.154.149-77 - cristiian.caio@gmail.com </t>
  </si>
  <si>
    <t>IVO SILVEIRA</t>
  </si>
  <si>
    <t>R. MONTE SERRA NEGRA - N 261, MONTE ALEGRE</t>
  </si>
  <si>
    <t xml:space="preserve">JOAQUIM AUGUSTO BONAFIN </t>
  </si>
  <si>
    <t>MÃE: 47 9 9918 0869 PAI: 47 9 9202 2162</t>
  </si>
  <si>
    <t xml:space="preserve"> AGUSTO Z.  BONFIN - 024.540.820-71- GUTOBONFIM@GMAIL.COM</t>
  </si>
  <si>
    <t>ASTER</t>
  </si>
  <si>
    <t>R. PINDAIBA - N 31, TABULEIRO</t>
  </si>
  <si>
    <t xml:space="preserve">GABRIEL RODRIGUES CALDEIRA </t>
  </si>
  <si>
    <t>MÃE: 47 9 8889 9247 PAI: 47 9 8913 1232</t>
  </si>
  <si>
    <t>---------</t>
  </si>
  <si>
    <t>07774625917</t>
  </si>
  <si>
    <t>JOHN ADAMS NERVARD - MENSALIDADE JUNHO</t>
  </si>
  <si>
    <t>14080481918</t>
  </si>
  <si>
    <t xml:space="preserve"> MICHAEL GONÇÃLVES CALDEIRA - 049.699.499-99 - RODRIGUESCALDEIRAD@GMAIL.COM </t>
  </si>
  <si>
    <t>R. ACILO GARCIA - N 252, CENTRO</t>
  </si>
  <si>
    <t>GABRIEL QUEIROZ WHITOF</t>
  </si>
  <si>
    <t>MÃE: 47 9 91230016 PAI: 47 9 9958 4865</t>
  </si>
  <si>
    <t>127.764.529-93</t>
  </si>
  <si>
    <t xml:space="preserve"> BRUNA LETICIA QUEIROZ NITHOOT - 078.325.119-07 - LIVRARIAFAMILIA23@GMAIL.COM</t>
  </si>
  <si>
    <t xml:space="preserve">GREGORY MACHADO </t>
  </si>
  <si>
    <t>MÃE: 47 9 9957 4884 PAI: 47 9 9957 4883</t>
  </si>
  <si>
    <t>MIGUEL PACHECO DO NASCIMENTO - MENSALIDADE JUNHO</t>
  </si>
  <si>
    <t>137.234.839-50</t>
  </si>
  <si>
    <t xml:space="preserve">  GIOVANI CARVALHO DOS SANTOS - 040.639.229-36 - GIOVANICARVALHO4558@GMAIL.COM</t>
  </si>
  <si>
    <t>R. MONTE PAMIR- 199, CONDE VILA VERDE</t>
  </si>
  <si>
    <t>IOHAN SOARES DOS SANTOS</t>
  </si>
  <si>
    <t>MÃE: 47 9 9674 0946 PAI: 47 99604 4694</t>
  </si>
  <si>
    <t>113.327.979-11</t>
  </si>
  <si>
    <t>FERIAS</t>
  </si>
  <si>
    <t>1° TRI 2025</t>
  </si>
  <si>
    <t xml:space="preserve"> RAISSA MARTINS SOARES - 091.241.489-89 - RAISSA.MARTINSS@GMAIL.COM</t>
  </si>
  <si>
    <t>AV. SANTA CATRINA - 630, ESTADOS</t>
  </si>
  <si>
    <t>JOÃO SEVERINO DE OLIVEIRA NETO</t>
  </si>
  <si>
    <t>YAN CHISTOPHER MACHADO PEREIRA - MENSALIDADE</t>
  </si>
  <si>
    <t>JOÃO VITOR RODRIGUES</t>
  </si>
  <si>
    <t>MÃE: 47 99786 6458 PAI: 47 99771 7696</t>
  </si>
  <si>
    <t>YAN CHISTOPHER MACHADO PEREIRA - UNIFORME</t>
  </si>
  <si>
    <t>127.809.319-22</t>
  </si>
  <si>
    <t xml:space="preserve"> SABRINA - 060.159.039-29 - binaewag@gmail.com</t>
  </si>
  <si>
    <t>CEM NOVA ESPERANÇA</t>
  </si>
  <si>
    <t>R. JOSE FRANCISCO VETO - 274, BARRA</t>
  </si>
  <si>
    <t xml:space="preserve">JOSUE KEVIK CAVALCANTE </t>
  </si>
  <si>
    <t xml:space="preserve">OK </t>
  </si>
  <si>
    <t>145.942.599.52</t>
  </si>
  <si>
    <t>ADARA LUZIA GHENO GONÇALVES - 077.746.259-17 - ADARAGHENO@GMAIL.COM</t>
  </si>
  <si>
    <t>MÃE: 47 99994 9026 PAI: 47 99932 5157</t>
  </si>
  <si>
    <t>BOLETO</t>
  </si>
  <si>
    <t>LEONARDO DAVI PEREIRA ROGAL - MENSALIDADE MAIO</t>
  </si>
  <si>
    <t>R. 620 - 40, BC</t>
  </si>
  <si>
    <t>144.530.649-26</t>
  </si>
  <si>
    <t>....</t>
  </si>
  <si>
    <t xml:space="preserve"> JEFERSN WILIAN O. DA SILVA - 110.899.009-61 - WILIANJEFERSON1002@GMAIL.COM</t>
  </si>
  <si>
    <t>R. MONTE ORIZADA - 693, MONTE ALEGRE</t>
  </si>
  <si>
    <t xml:space="preserve">KELVIN MACKLAREN MEIRELES </t>
  </si>
  <si>
    <t xml:space="preserve">08161868204 </t>
  </si>
  <si>
    <t>LEONARDO DECARLI BATISTA</t>
  </si>
  <si>
    <t>PAULA: 47 9 9117 2590 PAI: 47 9 9192 9968</t>
  </si>
  <si>
    <t>BENTO GHENO GONÇALVES - MENSALIDADE MAIO</t>
  </si>
  <si>
    <t xml:space="preserve">DEZEMBRO </t>
  </si>
  <si>
    <t xml:space="preserve"> PAULO LUIZ DECARLI - 219.757.440-04 - paulo@dbsulrepresentacoes.com.br</t>
  </si>
  <si>
    <t>R. 2850 - N 470, CENTRO</t>
  </si>
  <si>
    <t>HEITOR RAMPANELLI CECILIO</t>
  </si>
  <si>
    <t>MÃE: 47 98405 6102 PAI: 47 98477 6479</t>
  </si>
  <si>
    <t xml:space="preserve"> TAIS CIRSTINA RAMPANELLI - 007.511.000-80 - TAISC.RAMP@GMAIL.COM</t>
  </si>
  <si>
    <t>JASON MANOEL PEREIRA</t>
  </si>
  <si>
    <t>R. SERV. NILTON COELHO, BRAÇO</t>
  </si>
  <si>
    <t>JOAO PEDRO MENEZES KNECHTEL - MENSALIDADE MAIO</t>
  </si>
  <si>
    <t xml:space="preserve">BERNARDO ROCHA </t>
  </si>
  <si>
    <t>GUSTAVO BRUNETTO</t>
  </si>
  <si>
    <t>137.452.059-44</t>
  </si>
  <si>
    <t xml:space="preserve">VINICIUS ATAIDE FURTADO </t>
  </si>
  <si>
    <t>MÃE: 47 9 9693 5450 VITOR: 49 9 9951 8916</t>
  </si>
  <si>
    <t>013.404.109-74</t>
  </si>
  <si>
    <t>Davi Fidencio  - Mensalidade Junho</t>
  </si>
  <si>
    <t>127.114.169-84</t>
  </si>
  <si>
    <t xml:space="preserve">  PATRÍCIA ATAIDE - 056.329.779-43 - PATYPATITAATAIDE@GMAIL.COM</t>
  </si>
  <si>
    <t>AV SANTA CATARINA - N 235, ESTADOS</t>
  </si>
  <si>
    <t>BENJAMIN ASHER DE ANDRADE ZAIN</t>
  </si>
  <si>
    <t>MÃE: 47 9 9677 1029 PAI: 47 9 9621 8377</t>
  </si>
  <si>
    <t>7304703</t>
  </si>
  <si>
    <t xml:space="preserve"> MONIA RAQUEL T. DE ANDREDE ZAIN - 005.193.509-01 - MONIASC@HOTMAIL.COM</t>
  </si>
  <si>
    <t>R. JOÃO BATISTA GANANCINI - N 112, LIDIA DUARTE</t>
  </si>
  <si>
    <t xml:space="preserve">GABRIEL HENRIQUE BRANCO DA SILVA </t>
  </si>
  <si>
    <t>MÃE: 11 9 8013 3943 PAI: 11 9 6209 0629</t>
  </si>
  <si>
    <t>MÃE: 47 9 8422 2164 PAI: 47 9 8467 2537</t>
  </si>
  <si>
    <t>555.019.028-18</t>
  </si>
  <si>
    <t xml:space="preserve"> DÉBORA ALVES BRANCO - 418.137.098-40 - DEBORAAAABRANCO@GMAIL.COM </t>
  </si>
  <si>
    <t>R. OSVALDO MINELLA - 2029, CEDRO</t>
  </si>
  <si>
    <t>Ayla Fidencio  - Uniforme</t>
  </si>
  <si>
    <t>PIETRA DE SOUZA GALVAN</t>
  </si>
  <si>
    <t>MÃE: 47 98415 3092 PAI: 47 99171 8484</t>
  </si>
  <si>
    <t>132.457.869-64</t>
  </si>
  <si>
    <t>1 TRIMESTRE</t>
  </si>
  <si>
    <t>O +</t>
  </si>
  <si>
    <t>JUCEMARA- 036.373.889-44 jucemarapaim@hotmail.com</t>
  </si>
  <si>
    <t>RUA IPORÃ Nº80 RIO PEQUENO</t>
  </si>
  <si>
    <t xml:space="preserve">JOAO MIGUEL PAIM </t>
  </si>
  <si>
    <t xml:space="preserve">mãe 47- 99174-9405 pai 47 992224438 </t>
  </si>
  <si>
    <t>8551737</t>
  </si>
  <si>
    <t>JEFFERSOM EDINEI DE OLIVEIRA - 038.077.089-01 - TIOJEFFERSOM1234@GMAIL.COM</t>
  </si>
  <si>
    <t>ANITA</t>
  </si>
  <si>
    <t>R. MONTE CARLO - N 224, MONTE ALEGRE</t>
  </si>
  <si>
    <t xml:space="preserve">ÁTILA TEIXEIRA DE OLIVEIRA </t>
  </si>
  <si>
    <t>MÃE: 47 9 9244 3456 PAI: 47 9 9255 4268</t>
  </si>
  <si>
    <t>Ayla Fidencio - Mensalidade junho</t>
  </si>
  <si>
    <t>503.015.618-69</t>
  </si>
  <si>
    <t xml:space="preserve"> ANDRE MANFIN - 184.302.438-10 -andre.vendas. churrasqueiras@gmail.com</t>
  </si>
  <si>
    <t>CAIC</t>
  </si>
  <si>
    <t>R. CONCÓRDIA - N 35, MUNICIPIOS</t>
  </si>
  <si>
    <t>BENTO GHENO GONÇALVES - MENSALIDADE JUNHO</t>
  </si>
  <si>
    <t>ARTHUR DE OLIVEIRA MANFRIN</t>
  </si>
  <si>
    <t>MÃE: 47 9 9620 2548 PAI: 47 9 9629 3963</t>
  </si>
  <si>
    <t>145.499.869-56</t>
  </si>
  <si>
    <t xml:space="preserve">UNIMED </t>
  </si>
  <si>
    <t>2025 2</t>
  </si>
  <si>
    <t>LUIZ FERNANDO DO CARMO - 017.952.420-86 - FERNANDO5128470@GMAIL.COM</t>
  </si>
  <si>
    <t>CECAM</t>
  </si>
  <si>
    <t>R.JUVÊNCIO DELFINO DA SILVA -124, NOVA ESP.</t>
  </si>
  <si>
    <t>B+</t>
  </si>
  <si>
    <t xml:space="preserve"> ROMÁRIO ROCHA SANTOS  - 050.426.615-22 - BERNAROMA1005@GMAIL.COM</t>
  </si>
  <si>
    <t xml:space="preserve">CAIO DE SOUZA FRANCISCO </t>
  </si>
  <si>
    <t>BENTO GHENO GONÇALVES - GARRAFINHA</t>
  </si>
  <si>
    <t>145.231.389-07</t>
  </si>
  <si>
    <t>AV. SANTA CATARINA - 205, CENTRO</t>
  </si>
  <si>
    <t>FREQUENCIA</t>
  </si>
  <si>
    <t>OUTROS</t>
  </si>
  <si>
    <t xml:space="preserve"> LEONARDO LEVORATO BELINO - 061.138.239-38 -leonardolevorato@hotmail.com</t>
  </si>
  <si>
    <t xml:space="preserve">ARTHUR SICHMAN </t>
  </si>
  <si>
    <t>R. BASILIO PEDRO DA SILVA - N 126, CENTRO</t>
  </si>
  <si>
    <t>ABUT</t>
  </si>
  <si>
    <t>LEONARDO HENRIQUE DA SILVA LEVORATO</t>
  </si>
  <si>
    <t>MÃE: 42 9 9113 3107  PAI: 42 9 9266 0629</t>
  </si>
  <si>
    <t>132.787.909-36</t>
  </si>
  <si>
    <t xml:space="preserve"> PRISCILLA FLENICK  - 077.679.229-60 - PRI.FLENICK@HOTMAIL.COM</t>
  </si>
  <si>
    <t>RECRIARTE</t>
  </si>
  <si>
    <t>R. 1301 - 101, CENTRO</t>
  </si>
  <si>
    <t>MARTIN PERONIO ZAMBELE - GARRAFINHA</t>
  </si>
  <si>
    <t xml:space="preserve">FABRÍCIO FLENICK DE SOUZA </t>
  </si>
  <si>
    <t>MÃE: 47 9 9250 2231 PAI: 47 9 9949 4903</t>
  </si>
  <si>
    <t>139.594.239-00</t>
  </si>
  <si>
    <t>BERNARDO BUENO DE ALBURQUERQUE</t>
  </si>
  <si>
    <t xml:space="preserve"> JULIANE DA SILVA - 05516601983 - JULIANE.SLV@ICLOUD.COM</t>
  </si>
  <si>
    <t>R. CAÇADOR - 279, MUNICIPIUS</t>
  </si>
  <si>
    <t>ENZO GABRIEL DOS SANTOS</t>
  </si>
  <si>
    <t>MÃE: 47 9 9179 0345 PAI: 47 9 9122 0888</t>
  </si>
  <si>
    <t>LORENZO PERONIO ZAMBELE - GARRAFINHA</t>
  </si>
  <si>
    <t>144.585.879-78</t>
  </si>
  <si>
    <t xml:space="preserve"> LEONICE BARBOSA - 07172198956 - LEONICEBC@YAHOO.COM.BR</t>
  </si>
  <si>
    <t>140.857.389-09</t>
  </si>
  <si>
    <t>R. SILVEIRA - N 450, TABULEIRO</t>
  </si>
  <si>
    <t xml:space="preserve">GUSTAVO FERNANDES BARBOSA </t>
  </si>
  <si>
    <t>MÃE:  -- PAI: 47 9 9952 8703</t>
  </si>
  <si>
    <t>154.475.499-06</t>
  </si>
  <si>
    <t>DECLARAÇÃO DE FRE.</t>
  </si>
  <si>
    <t xml:space="preserve"> CAROLINE FRANCIELI DORVAL DA SILVA - 067.509.289-27 - CAROLDORVALBC@HOTMAIL.COM</t>
  </si>
  <si>
    <t>R. DUBLI - N 153, SANTA REGINA</t>
  </si>
  <si>
    <t>ARTHUR HINCKEL DALLAGNO - MENSALIDADE JUNHO</t>
  </si>
  <si>
    <t>devido aos horários</t>
  </si>
  <si>
    <t>LUCAS DORVAL DA SILVA</t>
  </si>
  <si>
    <t>MÃE: 47 9 9633 4084 PAI: 47 9 9615 7386</t>
  </si>
  <si>
    <t>137.214.829-99</t>
  </si>
  <si>
    <t>C.E. VEREADOR SANTA</t>
  </si>
  <si>
    <t>R. PINDAÍBA N° 31, APTO 704 - TABOLEIRO</t>
  </si>
  <si>
    <t>incidente da maria eduarda</t>
  </si>
  <si>
    <t>INÁCIO CASTELLI BARDEN</t>
  </si>
  <si>
    <t>MÃE: 47 992441208 PAI: 47 991590898</t>
  </si>
  <si>
    <t>136.513.029-03</t>
  </si>
  <si>
    <t xml:space="preserve"> ERVELINO JOÃO DA SILVA - 795.694.719-72 - ELENICE1928@GMAIL.COM</t>
  </si>
  <si>
    <t>R. GUARAMIRIM - 1301, TABULEIRO</t>
  </si>
  <si>
    <t xml:space="preserve">JOSÉ MIGUEL DA SILVA </t>
  </si>
  <si>
    <t>MÃE: 47 98447 3454 PAI: 47 99125 0508</t>
  </si>
  <si>
    <t>CARLOS PYETRO MATOS DE SOUZA - MENSALIDADE MAIO</t>
  </si>
  <si>
    <t>145.846.459-81</t>
  </si>
  <si>
    <t xml:space="preserve"> DANALIZ FREISTAUER PUHL - 007.080.640-35 - DANAFEISTAUES85@GMAIL.COM</t>
  </si>
  <si>
    <t>JOAQUIM VICENTE</t>
  </si>
  <si>
    <t>R. 420 - 634, MORRETES</t>
  </si>
  <si>
    <t>DEVE</t>
  </si>
  <si>
    <t>BERNARDO FEISTAUER PUHL</t>
  </si>
  <si>
    <t>MÃE: 47 99922 8682 PAI: 47 98834 7929</t>
  </si>
  <si>
    <t>115.722.869-03</t>
  </si>
  <si>
    <t>FERNANDA MARIA VITORASSI ROSSINI - 028.977.359-88 - fernandamariavitoriarossini@gmail.com</t>
  </si>
  <si>
    <t>R. CEREJEIRA - 966, TABULEIRO</t>
  </si>
  <si>
    <t>LORENZO PERONIO ZAMBELE - MENSALIDADE MAIO</t>
  </si>
  <si>
    <t xml:space="preserve">SAMUEL LUIDGI VITORASSI ROSSINI </t>
  </si>
  <si>
    <t>MÃE: 47 98466 2891 PAI: 47 99952 9091</t>
  </si>
  <si>
    <t>126.303.409-88</t>
  </si>
  <si>
    <t>LUCAS MENDES GARCIA</t>
  </si>
  <si>
    <t>MÃE: 47 99673 8982 PAI: 47 99916 2589</t>
  </si>
  <si>
    <t>9/9/2025 talvez não venha mais</t>
  </si>
  <si>
    <t>138.464.239-04</t>
  </si>
  <si>
    <t>MARTIN PERONIO ZAMBELE - MENSALIDADE MAIO</t>
  </si>
  <si>
    <t>BRUNA GERVASONI AYALA - 069.639459-69 - BRUNAGERVA@HOTMAIL.COM</t>
  </si>
  <si>
    <t>FERNANDA BUENO - 356.083.688-35</t>
  </si>
  <si>
    <t>RUA CORONEL BENJAMIN VIEIRA - 635, CENTRO</t>
  </si>
  <si>
    <t>VEREADOR SANTA</t>
  </si>
  <si>
    <t>AUGUSTO GERVASONI PIVETTA</t>
  </si>
  <si>
    <t>MÃE: 47 99292 5737   RESPONSÁVEL: 47 9632 9500</t>
  </si>
  <si>
    <t>LORENZO PERONIO ZAMBELE - MENSALIDADE JUNHO</t>
  </si>
  <si>
    <t>RUA 2000, 955</t>
  </si>
  <si>
    <t>NÃO TEMOS</t>
  </si>
  <si>
    <t>053.322.370-90</t>
  </si>
  <si>
    <t xml:space="preserve"> VIRGINIA OSÓRIO  - 041.441.270-28 - OSÓRIO.VIRGINIA@GMAIL.COM</t>
  </si>
  <si>
    <t>R. ALCILA GARCIA - N 252, CENTRO</t>
  </si>
  <si>
    <t>MÃE: 55 9 8453 4336</t>
  </si>
  <si>
    <t>135.339.899-41</t>
  </si>
  <si>
    <t>MARTIN PERONIO ZAMBELE - MENSALIDADE JUNHO</t>
  </si>
  <si>
    <t xml:space="preserve"> GUILHERME MENEZES DE GOES DECANINI - 322.439.718-79 - GUILHERMEMEMGDECANINI@GMAIL.COM</t>
  </si>
  <si>
    <t xml:space="preserve">CAIO ODORIZZI DECANINI </t>
  </si>
  <si>
    <t>MÃE: 47 99620 3209 PAI: 47 99981 5278</t>
  </si>
  <si>
    <t>13841725996</t>
  </si>
  <si>
    <t xml:space="preserve"> LUCIENE ANGELICA DA SILVA - 033.751.596-41 - LUCIELEANGELICADASILVA@GMAIL.COM </t>
  </si>
  <si>
    <t>R. CHAPECO - 159, MUNICIPIOS</t>
  </si>
  <si>
    <t>LORENZO GABRIEL DOS SANTOS SILVA</t>
  </si>
  <si>
    <t>MÃE: 44 9 9912 7581</t>
  </si>
  <si>
    <t>BRAYAN BELICA DALMOLIN</t>
  </si>
  <si>
    <t>518.306.468-77</t>
  </si>
  <si>
    <t>MATRICULA</t>
  </si>
  <si>
    <t xml:space="preserve"> PABLO CARVALHO FONSECA DOS SANTOS - 923.409.970-20 - pablocarvalho77@gmail.com</t>
  </si>
  <si>
    <t>133.823.159-63</t>
  </si>
  <si>
    <t>LUCAS SABANAE FONSECA DOS SANTOS</t>
  </si>
  <si>
    <t>MÃE: 47 9 9779 4841 PAI: 47 9 9691 4841</t>
  </si>
  <si>
    <t>47996425857 47984038891</t>
  </si>
  <si>
    <t>13059925984</t>
  </si>
  <si>
    <t xml:space="preserve"> CRISTIANE WILLERS - 005.087.350-41 - CRISTIANEW1904@GMAIL.COM</t>
  </si>
  <si>
    <t>JOÃO VIRGILIO</t>
  </si>
  <si>
    <t>R. OLAVIO LOURENÇO - N 44, CEDRO</t>
  </si>
  <si>
    <t>CAIXA ESCOLINHA JULHO 2026</t>
  </si>
  <si>
    <t>PEDRO WILLERS DA SILVA</t>
  </si>
  <si>
    <t>MÃE: 47 99252 4130 PAI: 51 99353 6998</t>
  </si>
  <si>
    <t xml:space="preserve">       OK</t>
  </si>
  <si>
    <t>143.779.719-99</t>
  </si>
  <si>
    <t>10</t>
  </si>
  <si>
    <t>7920695</t>
  </si>
  <si>
    <t xml:space="preserve">2025 2 </t>
  </si>
  <si>
    <t xml:space="preserve"> ROSICLEIA PONTES CAMPOS - 064.036.129-30 - ROSEMORENAPONTES@GMAIL.COM</t>
  </si>
  <si>
    <t>DAVI DE SOUZA SEBEN - MENSALIDADE MAIO</t>
  </si>
  <si>
    <t>R. CURITIBA - N 667, CENTRO</t>
  </si>
  <si>
    <t xml:space="preserve">AYO MIGUEL CAMPOS DOMINGUES </t>
  </si>
  <si>
    <t>MÃE: 47 9 9618 9187 PAI: 47 9 9917 2283</t>
  </si>
  <si>
    <t>121.622.259-21</t>
  </si>
  <si>
    <t xml:space="preserve">  LEANDRA DA ROCHA HIRT - 052.527.439-16 - LEANDRA225@GMAIL.COM</t>
  </si>
  <si>
    <t>R. MONTE CRUEIRO - N 205, MONTE ALEGRE</t>
  </si>
  <si>
    <t>DAVI DE SOUZA SEBEN - MENSALIDADE JUNHO</t>
  </si>
  <si>
    <t xml:space="preserve">GUSTAVO DA ROCHA HIRT </t>
  </si>
  <si>
    <t>MÃE: 47 9 9883 4975 PAI: 47 9 8871 8814</t>
  </si>
  <si>
    <t>152.710.819-82</t>
  </si>
  <si>
    <t xml:space="preserve"> PAULO ROBBERTO RODRIGUES - 298.756.090-72 - PAULOMERGULHO1802@GMAIL.COM</t>
  </si>
  <si>
    <t>JOÃO GOULARTE</t>
  </si>
  <si>
    <t>R. PANAMÁ - 101, NAÇÕES</t>
  </si>
  <si>
    <t>MICHAEL NUNES BARBOSA - MENSALIDADE MAIO</t>
  </si>
  <si>
    <t>MICHAEL NUNES BARBOSA - MENSALIDADE JUNHO</t>
  </si>
  <si>
    <t>EDUARDO PEDRO BOM CORDEIRO - MENSALIDADE MAIO</t>
  </si>
  <si>
    <t>GABRIEL QUEIROZ WITHOFT - MENSALIDADE JUNHO</t>
  </si>
  <si>
    <t>GUILHERME PEREIRA DOS SANTOS - MENSALIDADE JUNHO</t>
  </si>
  <si>
    <t>HENRI CARPENEDO DOS SANTOS  - MENSALIDADE JUNHO</t>
  </si>
  <si>
    <t>DOUGLAS BROCHIER RODRIGUES</t>
  </si>
  <si>
    <t>MÃE:  PAI: 51 99628 4726</t>
  </si>
  <si>
    <t>EDUARDO PEDRO BOM CORDEIRO - MENSALIDADE ABRIL</t>
  </si>
  <si>
    <t>146.357.619-67</t>
  </si>
  <si>
    <t>ANTÔNIO SALVADOR - MENSALIDADE JUNHO</t>
  </si>
  <si>
    <t xml:space="preserve">PEDRO HENRIQUE BELICA GASPAR </t>
  </si>
  <si>
    <t>ISABELLA MARIA PINHEIRO - MENSALIDADE JULHO E AGOSTO</t>
  </si>
  <si>
    <t>LORENZO PERONIO ZAMBELI</t>
  </si>
  <si>
    <t>JOHN ADAMS NERVARD  - MENSALIDADE JULHO</t>
  </si>
  <si>
    <t>47999192126 479991102611</t>
  </si>
  <si>
    <t>_</t>
  </si>
  <si>
    <t>LUCAS GABRIEL DA SILVA CORDEIRO - GARRAFINHA</t>
  </si>
  <si>
    <t>DAVI GOMES SILVEIRA - MENSALIDADE JULHO</t>
  </si>
  <si>
    <t xml:space="preserve">BRENO GABRIEL FERREIRA </t>
  </si>
  <si>
    <t>JOÃO GERGENSLEY LAGUERRE - MENSALIDADE JUNHO</t>
  </si>
  <si>
    <t>LUCAS MENEGUSSO PEREIRA DA ROCHA  - MENSALIDADE JUNHO</t>
  </si>
  <si>
    <t>DEBITO</t>
  </si>
  <si>
    <t>DAVI FONSECA - MENSALIDADE DE JULHO</t>
  </si>
  <si>
    <t>KAUE E KAIO MOREIRA - GARRAFINHAS</t>
  </si>
  <si>
    <t>KAUE E KAIO MOREIRA - CASACOS</t>
  </si>
  <si>
    <t>147.849.749.11</t>
  </si>
  <si>
    <t>GUSTAVO KENJI DA SILVEIRA - MENSALIDADE JULHO</t>
  </si>
  <si>
    <t>JAMILLE MARIA LOPES - 095.593.799-09 - JA.MILLE21@HOTMAIL.COM</t>
  </si>
  <si>
    <t>LIREU</t>
  </si>
  <si>
    <t>R RIO GUARANI, N 77 - RIO PEQUENO</t>
  </si>
  <si>
    <t>PEDRO HENRIQUE LIMA DA SILVA - MENSALIDADE JULHO</t>
  </si>
  <si>
    <t>NICOLAS HENRIQUE MARQUES</t>
  </si>
  <si>
    <t>PEDRO KREHNKE DE OLIVEIRA - MENSALIDADE JULHO</t>
  </si>
  <si>
    <t>MÃE: 47 996529045</t>
  </si>
  <si>
    <t>NICOLLAS HIAN ALVES MARINS - MENSALIDADE JULHO</t>
  </si>
  <si>
    <t>PEDRO DAVI LOCH - MENSALIDADE</t>
  </si>
  <si>
    <t>055.221.090-09</t>
  </si>
  <si>
    <t>47 9701-7269</t>
  </si>
  <si>
    <t>PEDRO DAVI LOCH - UNIFORME</t>
  </si>
  <si>
    <t xml:space="preserve"> BRUNA BALLIN ROSSATO - 023.584.020-36 - BRUNABROSSATO@GMAIL.COM</t>
  </si>
  <si>
    <t>EMEB. ALINE CRISTINA VIDAL NUNES</t>
  </si>
  <si>
    <t>R. 276 - 120, MEIA PRAIA</t>
  </si>
  <si>
    <t>LORENZO ALVES ROSSATO</t>
  </si>
  <si>
    <t>MÃE: 54 99909 3752 PAI: 47 98921 4681</t>
  </si>
  <si>
    <t>suspendido</t>
  </si>
  <si>
    <t>volta em março</t>
  </si>
  <si>
    <t>LEONARDO DAVI PEREIRA ROGAL - MENSALIDADE JULHO</t>
  </si>
  <si>
    <t>49703767869</t>
  </si>
  <si>
    <t xml:space="preserve">LICEU CATARINENSE </t>
  </si>
  <si>
    <t>RUA FIGUEIRA AP 402 N676</t>
  </si>
  <si>
    <t xml:space="preserve">LORENZO LANCINI </t>
  </si>
  <si>
    <t xml:space="preserve">55 474879 9979- PAI </t>
  </si>
  <si>
    <t>HENRI CARPENEDO DOS SANTOS - MENSALIDADE JULHO</t>
  </si>
  <si>
    <t>YAN CHISTOPHER MACHADO PEREIRA - MENSALIDADE JULHO</t>
  </si>
  <si>
    <t>DAVI LUCIANO DOMINICIANO</t>
  </si>
  <si>
    <t>BENTO GHENO GONÇALVES - MENSALIDADE JULHO</t>
  </si>
  <si>
    <t>ISACK CABRAL FINOTTI - Mensalidade Julho</t>
  </si>
  <si>
    <t>GABRIEL QUEIRÓZ WITHOFT - MENSALIDADE MAIO</t>
  </si>
  <si>
    <t>LUCAS MENEGUSSO PEREIRA DA ROCHA - MENSALIDADE JUNHO</t>
  </si>
  <si>
    <t>LUCAS MENEGUSSO PEREIRA DA ROCHA - MENSALIDADE JULHO</t>
  </si>
  <si>
    <t>JOAO PEDRO MENEZES KNECHTEL - MENSALIDADE JUNHO</t>
  </si>
  <si>
    <t>JOAO PEDRO MENEZES KNECHTEL - MENSALIDADE JULHO</t>
  </si>
  <si>
    <t>Anthony Carvalho - Uniforme</t>
  </si>
  <si>
    <t>Anthony Carvalho - Garrafinha</t>
  </si>
  <si>
    <t>CARLOS PYETRO MATOS DE SOUZA - MENSALIDADE JUNHO</t>
  </si>
  <si>
    <t>GULHERME HINCKEL DALLAGNO - MENSALIDADE MAIO</t>
  </si>
  <si>
    <t>CREDITO 3X</t>
  </si>
  <si>
    <t>PIETRO E MIGUEL SCHIAVON - UNIFORMES</t>
  </si>
  <si>
    <t>DAVI LUCAS ZANELLA TONESER - MENSALIDADE JULHO</t>
  </si>
  <si>
    <t>GULHERME HINCKEL DALLAGNO - MENSALIDADE JUNHO</t>
  </si>
  <si>
    <t>MIGUEL PACHECO DO NASCIMENTO - MENSALIDADE JULHO</t>
  </si>
  <si>
    <t>MIGUEL CORREIA DE FREITAS - MENSALIDADE JULHO</t>
  </si>
  <si>
    <t>188.302.157.08</t>
  </si>
  <si>
    <t>DAVI LUCAS ZANELLA TONESER - Mens Julho</t>
  </si>
  <si>
    <t>MICHAEL NUNES BARBOSA - MENS JULHO</t>
  </si>
  <si>
    <t>GUILHERME PEREIRA DOS SANTOS - MENS JULHO</t>
  </si>
  <si>
    <t>MIGUEL STOLFI - MENS JULHO</t>
  </si>
  <si>
    <t>MÃE: 47 9 8806 3756 PAI: 47 9 8836 9262</t>
  </si>
  <si>
    <t>CARLOS PYETRO MATOS DE SOUZA - MENSALIDADE JULHO</t>
  </si>
  <si>
    <t>EMANUEL SIMAS MACHADO - MENSALIDADE MAIO</t>
  </si>
  <si>
    <t>HIROYUKI MOTA TUKAMOTO - MENSALIDADE JULHO</t>
  </si>
  <si>
    <t>PIETRO E ALVARO RIFFEL COUTO - MENSALIDADE JULHO</t>
  </si>
  <si>
    <t>EDUARDO PEDRO BOM CORDEIRO - MENSALIDADE JULHO</t>
  </si>
  <si>
    <t>UNIFORME RYAN CARLOS</t>
  </si>
  <si>
    <t xml:space="preserve">3°  TRI 2024 </t>
  </si>
  <si>
    <t>x</t>
  </si>
  <si>
    <r>
      <rPr>
        <rFont val="Roboto"/>
        <b/>
        <color rgb="FF000000"/>
        <sz val="13.0"/>
      </rPr>
      <t xml:space="preserve"> JAQUELINA FRANCISCA LUCIANO - 054.182.187-35 - JAQUELUCIANOFRANCISCA280@ </t>
    </r>
    <r>
      <rPr>
        <rFont val="Roboto"/>
        <b/>
        <color rgb="FF000000"/>
        <sz val="13.0"/>
      </rPr>
      <t>YAHOO.COM</t>
    </r>
    <r>
      <rPr>
        <rFont val="Roboto"/>
        <b/>
        <color rgb="FF000000"/>
        <sz val="13.0"/>
      </rPr>
      <t xml:space="preserve"> </t>
    </r>
  </si>
  <si>
    <t>DONA LILI</t>
  </si>
  <si>
    <t>R. BENTO CUNHA - N 360, BARRA</t>
  </si>
  <si>
    <t>148.034.649-79</t>
  </si>
  <si>
    <t>147.694.589-67</t>
  </si>
  <si>
    <t>MÃE: 41 9 9825 7908 PAI: 41 9 9604 4635</t>
  </si>
  <si>
    <t>MÃE: 47 9 9127 9106 PAI: 47 9 8818 4342</t>
  </si>
  <si>
    <t xml:space="preserve">  MARIA JOSÉ VAZ MACHADO - 096.269.159-35 - MARIAVAZMACHADOO932@GMAIL.COM</t>
  </si>
  <si>
    <t>JOAQUIM MAGALHAES</t>
  </si>
  <si>
    <t>R. ALCI TEIXEIRA - 126, CEDRO</t>
  </si>
  <si>
    <t>R. CONCÓRDIA - N 300, MUNICIPIOS</t>
  </si>
  <si>
    <t>137.562.679-54</t>
  </si>
  <si>
    <t>MÃE:47 99118 8872 PAI: 47 99245 3072</t>
  </si>
  <si>
    <t>CICERO DE CASTRO DAPIEVE</t>
  </si>
  <si>
    <t xml:space="preserve"> ANDERSON KNECHTEL - 080.932.869-00 - ANDERSONKBC1@OUTLOOK.COM</t>
  </si>
  <si>
    <t>TOMAS FRANCISCO GARCIA</t>
  </si>
  <si>
    <t>R. CRICIUMA - N 344, MUNICIPIOS</t>
  </si>
  <si>
    <t>062.635.560-56</t>
  </si>
  <si>
    <t xml:space="preserve">GULHERME HINCKEL DALLAGNO </t>
  </si>
  <si>
    <t>15605717955</t>
  </si>
  <si>
    <t>55 9720-8363</t>
  </si>
  <si>
    <t xml:space="preserve">TANIA REGINA </t>
  </si>
  <si>
    <t>RUA GUARAPARIM 130</t>
  </si>
  <si>
    <t>WAGNER FACCIN DAPIEVE - 030.234.520-59 WAGNERFOCCIN1999@GMAIL.COM</t>
  </si>
  <si>
    <t>EMB DOMINGOS FONSECA</t>
  </si>
  <si>
    <t>CEREJEIRA, 181</t>
  </si>
  <si>
    <t>117.863.789-14</t>
  </si>
  <si>
    <t>OK 2</t>
  </si>
  <si>
    <t>12447275986</t>
  </si>
  <si>
    <t>47999614590  /  47991244495</t>
  </si>
  <si>
    <t>DANIEL ELIAS RODRIGUES SILVA DOS SANTOS</t>
  </si>
  <si>
    <t xml:space="preserve">SILVIA LETICIA </t>
  </si>
  <si>
    <t xml:space="preserve">LICE CATARINENSE </t>
  </si>
  <si>
    <t>SANTA APARECIDA N 51</t>
  </si>
  <si>
    <t>156.524.499-00</t>
  </si>
  <si>
    <t>121.539.229-09</t>
  </si>
  <si>
    <t>MÃE: 47 99246 2819 PAI: 47 99760 2103</t>
  </si>
  <si>
    <t>45 9823-3271</t>
  </si>
  <si>
    <t>EDINEIA NEVES RODRIGUES - 905.745.839-04</t>
  </si>
  <si>
    <t>CEI NEIDE</t>
  </si>
  <si>
    <t>R. JARDIM EUROPA, ST REGINA</t>
  </si>
  <si>
    <t>DOM TOAZZA RIGOM</t>
  </si>
  <si>
    <t>130.002.029-60</t>
  </si>
  <si>
    <t>MÃE: 47 9 9117 9866 PAI: 47 9 9763 3129</t>
  </si>
  <si>
    <t xml:space="preserve"> ANDRESSA ALVES DE SOUZA SEBEN - 015.458.010-45 - andressa0.7@hotmail.com</t>
  </si>
  <si>
    <t>R. 2870 - N 888, CENTRO</t>
  </si>
  <si>
    <t>LUCAS EVANGELISTA DE SOUZA - MENSALIDADE DE JULHO</t>
  </si>
  <si>
    <t>LUCAS EVANGELISTA DE SOUZA - MENSALIDADE DE AGOSTO</t>
  </si>
  <si>
    <t>DAVI FONSECA BEUTING</t>
  </si>
  <si>
    <t>RAJI GHAITH - MENSALIDADE AGOSTO</t>
  </si>
  <si>
    <t>043.448.749-00</t>
  </si>
  <si>
    <t>RAYAN GHAITH - MENSALIDADE AGOSTO</t>
  </si>
  <si>
    <t>MÃE: 47 9 9101 9149</t>
  </si>
  <si>
    <t>RAYAN E RAJI GHAITH - UNIFORMES</t>
  </si>
  <si>
    <t>HENRIQUE LOTTI - MENSALIDADE</t>
  </si>
  <si>
    <t>Lucas Fernando Delagnello - MENSALIDADE</t>
  </si>
  <si>
    <t xml:space="preserve"> ERICA DIETRICH FONSECA - 217.430.709-00 - SIMARAFONSECA@GMAIL.COM </t>
  </si>
  <si>
    <t>R. 1500 -  1830 - BC</t>
  </si>
  <si>
    <t>ISACK CABRAL FINOTTI - UNIFORME</t>
  </si>
  <si>
    <t>GABRIEL OSÓRIO GUEDES - MENSALIDADE JULHO - OUTUBRO</t>
  </si>
  <si>
    <t>154.128.749-59</t>
  </si>
  <si>
    <t>47 9600-0000</t>
  </si>
  <si>
    <t>MIGUEL STOLFI - UNIFORME - CAMISETA E CALÇÃO</t>
  </si>
  <si>
    <t>EMANUEL SIMAS MACHADO - JUNHO</t>
  </si>
  <si>
    <t>BRYAN BELICA GASPAR - UNIFORME</t>
  </si>
  <si>
    <t>ADRIANO LUZ SILVEIRA - 056.262.799-54</t>
  </si>
  <si>
    <t>RUA SASSAFAZ, 835</t>
  </si>
  <si>
    <t>HIROYUKI MOTA TUKAMOTO - MENSALIDADE AGOSTO</t>
  </si>
  <si>
    <t>ANTÔNIO SALVADOR - MENSALIDADE AGOSTO</t>
  </si>
  <si>
    <t>DAVI MARQUES DA SILVA</t>
  </si>
  <si>
    <t>VICTOR WILLIAN NEUCAMP - MENSALIDADE - AGOSTO</t>
  </si>
  <si>
    <t>135.689.799-18</t>
  </si>
  <si>
    <t>GUSTAVO KENJI - MENSALIDADE AGOSTO</t>
  </si>
  <si>
    <t>MÃE: 47 9 9996 2393 PAI: 47 9 9670 9314</t>
  </si>
  <si>
    <t>VITOR HICHMEH - MENSALIDADE 6 MESES</t>
  </si>
  <si>
    <t>PEDRO KHRENK - MENSALIDADE AGOSTO</t>
  </si>
  <si>
    <t>ALVARO E PIETRO RIFFEL - MENSALIDADE AGOSTO</t>
  </si>
  <si>
    <t xml:space="preserve"> MÁRIO FERNANDO - 981.854.629-68 - mariofernado@hotmail.com</t>
  </si>
  <si>
    <t>ROGÉRIO L.  KUHNEN</t>
  </si>
  <si>
    <t>R. JERUSALÉM - N 1581, SANTA REGINA</t>
  </si>
  <si>
    <t xml:space="preserve"> RUAN MICHEL ROHRS - 069.612.179-40 - RUANROHRS.RMR@GMAIL.COM </t>
  </si>
  <si>
    <t>BENTO GHENO GONÇALVES - MENSALIDADE</t>
  </si>
  <si>
    <t>R. JUVENCIO DELFINO - 488, NOVA ESPERANÇA</t>
  </si>
  <si>
    <t>EDUARDO PEDRO BOM CORDEIRO</t>
  </si>
  <si>
    <t>ANTHONY MULLMANN CARVALHO - 2 PARES MEIÃO</t>
  </si>
  <si>
    <t>119.129.139-17</t>
  </si>
  <si>
    <t>MÃE: 41 98784 5809 PAI: 41 98793 8676</t>
  </si>
  <si>
    <t>NICOLLAS HIAN ALVES MARTINS - MENSALIDADE</t>
  </si>
  <si>
    <t>JOHN ADAMS NERVARD - MENSALIDADE</t>
  </si>
  <si>
    <t>MIGUEL CORREIA DE FREITAS - MENSALIDADE AGOSTO</t>
  </si>
  <si>
    <t xml:space="preserve"> ANDRE RAFAEL CORDEIRO - 052.925.585-55 - </t>
  </si>
  <si>
    <t>R. LEANDRO BERTOLDI - 191, CEDRO</t>
  </si>
  <si>
    <t>PEDRO HENRIQUE BELICA GASPAR - MENSALIDADE</t>
  </si>
  <si>
    <t xml:space="preserve">EMANUEL SIMAS MACHADO </t>
  </si>
  <si>
    <t>BRAYAN BELICA DALMOLIN - MENSALIDADE</t>
  </si>
  <si>
    <t>13507525925</t>
  </si>
  <si>
    <t>MÃE: 47 9 9611 4679 PAI: 47 9 9668 6810</t>
  </si>
  <si>
    <t>VINICIUS FRITZEN - CALÇÃO</t>
  </si>
  <si>
    <t>CAIXA ESCOLINHA SETEMBRO  2026</t>
  </si>
  <si>
    <t>JOÃO GERGENSLEY LAGUERRE - MENSALIDADE JULHO</t>
  </si>
  <si>
    <t>DAVI GOMES SILVEIRA - MENSALIDADE</t>
  </si>
  <si>
    <t xml:space="preserve"> DAIANE CRISTNA PORTO SIMAS - 064.140.549-92 - DAIANE_CAMBORIÚ@HOTMAIL.COM</t>
  </si>
  <si>
    <t>R. PREFEITO JOSÉ CESARIO PEREIRA - N 158, CENTRO</t>
  </si>
  <si>
    <t>ISACK CABRAL FINOTTI - MENSALIDADE 6 MESES</t>
  </si>
  <si>
    <t>UNIFORME JOSÉ JOAQUIM</t>
  </si>
  <si>
    <t xml:space="preserve">ENZO TERESKOVAC </t>
  </si>
  <si>
    <t>GUSTAVO KENJI - CAMISA JOGO E CAMISA UNIFORME</t>
  </si>
  <si>
    <t>ANTHONY SILVA - UNIFORME</t>
  </si>
  <si>
    <t>RICARDO TERESKOVAC - MENSALIDADE</t>
  </si>
  <si>
    <t>298.136.128-78</t>
  </si>
  <si>
    <t>EDUARDO PEDRO BOM CORDEIRO - MENSALIDADE</t>
  </si>
  <si>
    <t>GULHERME E ARTHUR HINCKEL DALLAGNO - JULHO</t>
  </si>
  <si>
    <t>LORENZO DOS SANTOS DE OLIVEIRA- MENSALIDADE</t>
  </si>
  <si>
    <t>11 960385894</t>
  </si>
  <si>
    <t>LORENZO DOS SANTOS DE OLIVEIRA - UNIFORME</t>
  </si>
  <si>
    <t>GIORGIO - UNIFORME</t>
  </si>
  <si>
    <t>PEDRO KRENK - MENSALIDADE</t>
  </si>
  <si>
    <t>ANTHONY GABRIEL DA SILVA - MENSALIDADE</t>
  </si>
  <si>
    <t>LEONARDO DAVI PEREIRA ROGAL - MENSALIDADE AGOSTO</t>
  </si>
  <si>
    <t>ARTHUR VALENDORFF DE CARVALHO - MNESALIDADE</t>
  </si>
  <si>
    <t>Antônio Jacotto Neto - MENSALIDADE</t>
  </si>
  <si>
    <t>CICERO DE CASTRO DAPIEVE - MENSALIDADE</t>
  </si>
  <si>
    <t>ISACK FINOTTI - UNIFORME MEIAO</t>
  </si>
  <si>
    <t>GABRIEL QUEIRÓZ WITHOFT  - MENSALIDADE JULHO</t>
  </si>
  <si>
    <t>ARTHUR HINCKEL DALLAGNO - MENSALIDADE AGOSTO</t>
  </si>
  <si>
    <t>UNIFORME LEONARDO DAVI PEREIRA ROGAL</t>
  </si>
  <si>
    <t>GUSTAVO KENJI DA SILVEIRA - MENSALIDADE SETEMBRO</t>
  </si>
  <si>
    <t>GIORGIO - UNIFORME MEIAO</t>
  </si>
  <si>
    <t>JOÃO GERGENSLEY LAGUERRE - MENSALIDADE AGOSTO</t>
  </si>
  <si>
    <t>CRÉDITO 6X</t>
  </si>
  <si>
    <t>BENJAMIN PIORELLI - MENSALIDADE 6 MESES</t>
  </si>
  <si>
    <t>ANTHONY SILVA - UNIFORME MEIAO</t>
  </si>
  <si>
    <t>MIGUEL YUTA KANAI - MENSALIDADE</t>
  </si>
  <si>
    <t>AYLA E DAVI FIDENCIO - DIVIDA MENS. JULHO</t>
  </si>
  <si>
    <t>DAVI FONSECA BEUTING - MENSALIDADE</t>
  </si>
  <si>
    <t>MARCELO RELVAS TERESKOVAC - 298.136.128-78 - MR.TERESKOVAC@GMAIL.COM</t>
  </si>
  <si>
    <t>FOR LIFE SCHOOL</t>
  </si>
  <si>
    <t>MIGUEL STOLFI - MENSALIDADE</t>
  </si>
  <si>
    <t>RUA GUAMIRIM, 316</t>
  </si>
  <si>
    <t>DAVI LUCAS ZANELLA TONESER - MENSALIDADE</t>
  </si>
  <si>
    <t>DAVI SEBEN - MENSALIDADE JULHO E AGOSTO</t>
  </si>
  <si>
    <t>AYLA E DAVI FIDENCIO - MENS. SETEMBRO</t>
  </si>
  <si>
    <t>ARTHUR HINCKEL - MEIÃO</t>
  </si>
  <si>
    <t>ANTÔNIO JACOTTO NETO - MENSALIDADE</t>
  </si>
  <si>
    <t>PEDRO HENRIQUE LIMA DA SILVA - MENSALIDADE</t>
  </si>
  <si>
    <t>THOMAS GERALDO - CALÇÃO UNIFORME</t>
  </si>
  <si>
    <t>RAJI E RAYAN GHAITH - MENSALIDADE</t>
  </si>
  <si>
    <t>BRAYAN BELICA DALMOLIN - mensalidade</t>
  </si>
  <si>
    <t>(MAIO)/2026</t>
  </si>
  <si>
    <t>MIGUEL CORREIA DE FREITAS - MENSALIDADE</t>
  </si>
  <si>
    <t>LUCAS EVANGELISTA - MENSALIDADE</t>
  </si>
  <si>
    <t>Pix</t>
  </si>
  <si>
    <t>ANTÔNIO SALVADOR SOARES - Mensalidade</t>
  </si>
  <si>
    <t>MIGUEL YUTA - UNIFORME CALÇÃO E CAMISA</t>
  </si>
  <si>
    <t>YAN CHISTOPHER MACHADO PEREIRA</t>
  </si>
  <si>
    <t>Pedro Henrique Lima Da Silva - MENSALIDADE</t>
  </si>
  <si>
    <t>MARTIN E LORENZO PERONIO</t>
  </si>
  <si>
    <t>JOSÉ MIGUEL DA SILVA  - MENS 12 MESES</t>
  </si>
  <si>
    <t>HENRI CARPENEDO DOS SANTOS - MENSALIDADE SET</t>
  </si>
  <si>
    <t>SARA FONSECA - UNIFORME MEIAO</t>
  </si>
  <si>
    <t>CREDITO 6X</t>
  </si>
  <si>
    <t>DOM MENSALIDADE 6 MESES</t>
  </si>
  <si>
    <t>VICTOR WILLIAN NEUCAMP MENSALIDADE</t>
  </si>
  <si>
    <t>GUILHERME PEREIRA DOS SANTOS - MENSALIDADE</t>
  </si>
  <si>
    <t>LEONARDO ROGAL - MENSALIDADE</t>
  </si>
  <si>
    <t>GUILHERME DERETTI MENSALIDADE</t>
  </si>
  <si>
    <t>PEDRO DAVI LOCH MENSALIDADE</t>
  </si>
  <si>
    <t>GABRIEL QUEIRÓZ WITHOFT - MENS AGOSTO</t>
  </si>
  <si>
    <t>LUCAS MENEGUSSO PEREIRA DA ROCHA - MENSALIDADE</t>
  </si>
  <si>
    <t xml:space="preserve">CARLOS PYETRO MATOS DE SOUZA - MENSALIDADE </t>
  </si>
  <si>
    <t>ISABELLA MARIA PINHEIRO - MENSALIDADE</t>
  </si>
  <si>
    <t>LUCAS MENEGUSSO - MENSALIDADE</t>
  </si>
  <si>
    <t>DAVI SEBEN - MENSALIDADE SETEMBRO</t>
  </si>
  <si>
    <t>ANTONIO SALVADOR - MENSALIDADE</t>
  </si>
  <si>
    <t>EMANUEL SIMAS MACHADO - JULHO</t>
  </si>
  <si>
    <t>sim</t>
  </si>
  <si>
    <t xml:space="preserve">GABRIEL QUEIRÓZ WITHOFT </t>
  </si>
  <si>
    <t>PEDRO DAVI LOCH - MENSALIDADE AGOSTO</t>
  </si>
  <si>
    <t>LORENZO E MARTIN PERONIO - MENSALIDADE AGOSTO</t>
  </si>
  <si>
    <t>PAI: 47 9 9949 8560</t>
  </si>
  <si>
    <t>GIORGIO - MENSALIDADE 6 MESES</t>
  </si>
  <si>
    <t xml:space="preserve">GUILHERME DERETTI </t>
  </si>
  <si>
    <t>DANIEL ELIAS - MENSALIDADE AGOSTO</t>
  </si>
  <si>
    <t>MIGUEL PACHECO DO NASCIMENTO - MENSALIDADE AGOSTO</t>
  </si>
  <si>
    <t>JOSÉ JOAQUIN YUNIS - MENSALIDADE</t>
  </si>
  <si>
    <t>JACKSON AMARAL WITHOFT - 042.820.399-06 - JACKSON.AMARAL.IMOVEIS@GMAIL.COM</t>
  </si>
  <si>
    <t>ATHUR SIMAS - UNIFORME</t>
  </si>
  <si>
    <t>ABALOR</t>
  </si>
  <si>
    <t>R. PARANÁ N° 273, MONTE ALEGRE</t>
  </si>
  <si>
    <t>ARTHUR SIMAS - MENSALIDADE</t>
  </si>
  <si>
    <t>481.045.478-95</t>
  </si>
  <si>
    <t>TIA: 48 9 8441 6036 TIO: 48 9 8501 5131</t>
  </si>
  <si>
    <t>UNIFORME - ENZO</t>
  </si>
  <si>
    <t>CARLOS PYETRO MATOS DE SOUZA - MENSALIDADE AGOSTO</t>
  </si>
  <si>
    <t>gerar boleto</t>
  </si>
  <si>
    <t>gerar boleto + jan e fev</t>
  </si>
  <si>
    <t>PEDRO KRENKHE - MENSALIDADE</t>
  </si>
  <si>
    <t>HENRI CARPENEDO</t>
  </si>
  <si>
    <t xml:space="preserve"> FABIO VOCCARO DE CARVALHO - 045.784.399-33 - FABINHOVCX@GMAIL.COM</t>
  </si>
  <si>
    <t>R. LEOPOLDO LEITE - N 81, CENTRO</t>
  </si>
  <si>
    <t>GIORGIO BERNARDI CADORE</t>
  </si>
  <si>
    <t>138.989.789-31</t>
  </si>
  <si>
    <t>21/08/2026 + JANEIRO</t>
  </si>
  <si>
    <t>GUILHERME DERETTI</t>
  </si>
  <si>
    <t>130.381.629-65</t>
  </si>
  <si>
    <t>47 9916-1292</t>
  </si>
  <si>
    <t xml:space="preserve">GUILHERME PEREIRA DOS SANTOS </t>
  </si>
  <si>
    <t>TURMA 5 (MANHÃ)</t>
  </si>
  <si>
    <t>MÃE: 47 999574884 PAI: 47 99957883</t>
  </si>
  <si>
    <t>GIOVANI CARVALHO DOS SANTOS - 040.639.229-36 - GIOVANICARVALHO4558@GMAIL.COM</t>
  </si>
  <si>
    <t xml:space="preserve">R. MONTE PAMIR - 199,  CONDE </t>
  </si>
  <si>
    <t>GUSTAVO KENJI DA SILVEIRA</t>
  </si>
  <si>
    <t>147.792.789-10</t>
  </si>
  <si>
    <t>MAE:47992000766 PAI:47991877070</t>
  </si>
  <si>
    <t>15</t>
  </si>
  <si>
    <t>OTAVIO ROCHA-045.887.999-16 - OTSOCHA@GMAIL.COM</t>
  </si>
  <si>
    <t>RUA ANGELIN 39- TABOLEIRO</t>
  </si>
  <si>
    <t>138.485.599-86</t>
  </si>
  <si>
    <t>MÃE: 47 9 9966 4883 PAI: 47 9 9900 5951</t>
  </si>
  <si>
    <t>MELINA CARPENEDO - 011.665.520-80 - MELCARPENEDO@GMAIL.COM</t>
  </si>
  <si>
    <t xml:space="preserve">VEREADORES SANTA </t>
  </si>
  <si>
    <t>R. GUARAPARIM - N° 130, 508/4, TABULEIRO</t>
  </si>
  <si>
    <t>HENRIQUE LOTTI</t>
  </si>
  <si>
    <t>CAIXA ESCOLINHA NOVEMBRO- 2025</t>
  </si>
  <si>
    <t>140.225.779-16</t>
  </si>
  <si>
    <t>47 8487-5727</t>
  </si>
  <si>
    <t>SAÍDA</t>
  </si>
  <si>
    <t>ALUNO</t>
  </si>
  <si>
    <t>KETLIN LENHARDT LOTTI - 079.241.399-74</t>
  </si>
  <si>
    <t xml:space="preserve">CECAM </t>
  </si>
  <si>
    <t>R. MASSARANDUBA 553, APTO 302</t>
  </si>
  <si>
    <t>135.970.399-36</t>
  </si>
  <si>
    <t>MÃE: 47 99632 0442 PAI: 47 99974 9108</t>
  </si>
  <si>
    <t xml:space="preserve">  ANGÉLICA MOTA DE MOURA - 107.715.959-56 - ANGELICAMOTAMOURA7@GMAIL.COM </t>
  </si>
  <si>
    <t>ISABELLA MARIA PINHEIRO</t>
  </si>
  <si>
    <t>CAIXA ESCOLINHA ABRIL 2026</t>
  </si>
  <si>
    <t>149.641.959-61</t>
  </si>
  <si>
    <t>JOÃO PEDRO MENEZES KNETCHEL - MENSALIDADE ABRIL</t>
  </si>
  <si>
    <t>MÃE: 47 9 9958 9185 PAI: 47 9 9916 3794</t>
  </si>
  <si>
    <t>DAVI LUCAS ZANELLA TONESER - MENSALIDADE ABRIL</t>
  </si>
  <si>
    <t>JOHN ADAMS NERVARD - CAMISETA 673</t>
  </si>
  <si>
    <t>PEDRO HENRIQUE BELICA GASPAR - MENSALIDADE ABRIL</t>
  </si>
  <si>
    <t>GABRIEL QUEIRÓZ WITHOFT - MENSALIDADE ABRIL</t>
  </si>
  <si>
    <t>CRÉDITO 2X</t>
  </si>
  <si>
    <t>MIGUEL CORREIA DE FREITAS - MENSALIDADE MARÇO</t>
  </si>
  <si>
    <t xml:space="preserve">Plano de 12 </t>
  </si>
  <si>
    <t>CAMISETA GOLEIRO TAM 10</t>
  </si>
  <si>
    <t>JOÃO VICTOR MICHELETTI ROHRS - MENSALIDADE 6 MESES</t>
  </si>
  <si>
    <t>DAVI FONSECA BEUTING - MENSALIDADE ABRIL</t>
  </si>
  <si>
    <t>LORENZO E MARTIN PERONIO ZAMBELI - MENSALIDADE ABRIL</t>
  </si>
  <si>
    <t>GUSTAVO KENJI DA SILVEIRA - MENSALIDADE ABRIL</t>
  </si>
  <si>
    <t xml:space="preserve"> MÔNICA GREY NUNES PINHEIRO - 056.518.049-51 - MONICAGREY2011@HOTMAIL.COM</t>
  </si>
  <si>
    <t>BR 101 KM 131 - N 45, VÁRZEA RANCHINHO</t>
  </si>
  <si>
    <t>ISACK CABRAL FINOTTI</t>
  </si>
  <si>
    <t>127.060.779-05</t>
  </si>
  <si>
    <t>MÃE: 47 9 9227 4539 PA: --</t>
  </si>
  <si>
    <t>Plano 12 meses</t>
  </si>
  <si>
    <t>de 2025</t>
  </si>
  <si>
    <t>até</t>
  </si>
  <si>
    <t>junho</t>
  </si>
  <si>
    <t>14/08/2026 - janeiro já ok</t>
  </si>
  <si>
    <t xml:space="preserve"> FERNANDA . Z CABRAL - 127.060.779-05 - fernandakabral@hotmail.com </t>
  </si>
  <si>
    <t>R. CABUL - N 330, SANTA REGINA</t>
  </si>
  <si>
    <t>JOÃO GERGENSLEY LAGUERRE</t>
  </si>
  <si>
    <t>122 447.269-16</t>
  </si>
  <si>
    <t>MÃE: 47 99678 6892 PAI: 47 99624 1437</t>
  </si>
  <si>
    <t xml:space="preserve"> MARIA ELDIA GALETTE  - 701.624.402-43 - </t>
  </si>
  <si>
    <t>R. CANELINHA - N 445, MUNICIPIOS</t>
  </si>
  <si>
    <t>JOÃO PEDRO KAMINSKI DE OLIVEIRA</t>
  </si>
  <si>
    <t>054.846.630-08</t>
  </si>
  <si>
    <t>47 8917-3011</t>
  </si>
  <si>
    <t>LEONARDO SMANIOTTO DE OLIVEIRA - 004.752.640-88</t>
  </si>
  <si>
    <t>QUINTAL MAGICO</t>
  </si>
  <si>
    <t>R. MASSARANDUBA, 553</t>
  </si>
  <si>
    <t>CAIXA ESCOLINHA MARÇO  2026</t>
  </si>
  <si>
    <t>CAIXA ESCOLINHA FEVEREIRO  2026</t>
  </si>
  <si>
    <t xml:space="preserve">8313694 </t>
  </si>
  <si>
    <t>MÃE: 47 98465 5397 PAI: 47 98479 4099</t>
  </si>
  <si>
    <t>MENSALIDADE E MATRÍCULA - GUSTAVO DA ROCHA HIRT</t>
  </si>
  <si>
    <t xml:space="preserve">MENSALIDADE JANEIRO - ARTHUR HINCKEL DALLAGNO </t>
  </si>
  <si>
    <t>UNIFORME COMPLETO</t>
  </si>
  <si>
    <t>MENSALIDADE FEVEREIRO - GUSTAVO KENJI DA SILVEIRA</t>
  </si>
  <si>
    <t>MENSALIDADE JANEIRO - GUSTAVO KENJI DA SILVEIRA</t>
  </si>
  <si>
    <t>MENSALIDADE JANEIRO - JOÃO GERGENSLEY LAGUERRE</t>
  </si>
  <si>
    <t>MENSALIDADE E UNIFORME - BENTO GHENO GONÇALVES</t>
  </si>
  <si>
    <t>MENSALIDADE ANTONIO BLANCO GARCIA ROSA</t>
  </si>
  <si>
    <t>MENSALIDADE - JOHN ADAMS NERVARD</t>
  </si>
  <si>
    <t>Lucas Menegusso Pereira Da Rocha /prart Rochel/pai</t>
  </si>
  <si>
    <t xml:space="preserve">MENSALIDADE JANEIRO - AYO MIGUEL CAMPOS DOMINGUES </t>
  </si>
  <si>
    <t>DOUGLAS BROCHIER RODRIGUES - PARTICULAR</t>
  </si>
  <si>
    <t>1425,00/ 6x</t>
  </si>
  <si>
    <t xml:space="preserve">420,00 uniforme </t>
  </si>
  <si>
    <t xml:space="preserve">DEBITO </t>
  </si>
  <si>
    <t xml:space="preserve">cartão </t>
  </si>
  <si>
    <t xml:space="preserve">MENSALIDADE FEVEREIRO DAVI FONSECA </t>
  </si>
  <si>
    <t xml:space="preserve">BENJAMIN PIOPELLI CXOSTA </t>
  </si>
  <si>
    <t>6 MESES  10/03</t>
  </si>
  <si>
    <t>MENSALIDADE - LUCAS DE SOUZA BARRETO</t>
  </si>
  <si>
    <t>pix</t>
  </si>
  <si>
    <t>Davi Luciano Domiciano - Particular</t>
  </si>
  <si>
    <t>Davi Fidencio / Particular</t>
  </si>
  <si>
    <t>Henri Carpenedo Dos Santos Particular</t>
  </si>
  <si>
    <t>cartao</t>
  </si>
  <si>
    <t>Lorenzo E Martim / particular</t>
  </si>
  <si>
    <t>EDUARDO PEDRO BOM CORDEIRO/ PART FERNANDA /MÃE</t>
  </si>
  <si>
    <t xml:space="preserve"> JEAN NERVARD - 700.420.832-06 - JEANNERVARD@GMAIL.COM</t>
  </si>
  <si>
    <t>João Pedro Menezes Knechtel - Particular</t>
  </si>
  <si>
    <t>GABRIEL TALES MENOTTI /PART</t>
  </si>
  <si>
    <t xml:space="preserve">PIX </t>
  </si>
  <si>
    <t>RESIDENCIAL 61</t>
  </si>
  <si>
    <t/>
  </si>
  <si>
    <t>JOSÉ JOAQUIN YUNIS</t>
  </si>
  <si>
    <t>001.651.499-81</t>
  </si>
  <si>
    <t>47 9777-3329</t>
  </si>
  <si>
    <t xml:space="preserve">PLANO DE 12 </t>
  </si>
  <si>
    <t>PLANO DE 12 + ATÉ AGOSTO 2026.</t>
  </si>
  <si>
    <t>47999949026  47999325157</t>
  </si>
  <si>
    <t xml:space="preserve">DOMINGOS FONSECA </t>
  </si>
  <si>
    <t>RUA MONTE OBRIGADA N- 693</t>
  </si>
  <si>
    <t>CAIXA ESCOLINHA JANEIRO 2026</t>
  </si>
  <si>
    <t>122.635.939-69</t>
  </si>
  <si>
    <t>MENSALIDADE EMANUEL SIMAS MACHADO - NOVEMBRO 2025</t>
  </si>
  <si>
    <t>MÃE: 47 9932-7549 PAI: 47 99605-1700</t>
  </si>
  <si>
    <t xml:space="preserve">- </t>
  </si>
  <si>
    <t>Fazer boleto</t>
  </si>
  <si>
    <t xml:space="preserve">todo dia </t>
  </si>
  <si>
    <t xml:space="preserve">MENSALIDADE DAVI LUCIANO </t>
  </si>
  <si>
    <t>MENSALIDADE CARLOS PYETRO - DEZEMBRO 2025</t>
  </si>
  <si>
    <t>MENSALIDADE JOHN ADAMS NERVARD - JANEIRO 2026</t>
  </si>
  <si>
    <t>MENSALIDADE PEDRO KREHNKE DE OLIVEIRA - JANEIRO</t>
  </si>
  <si>
    <t>CONJUNTO UNIFORME E MENSALIDADE - AUGUSTO GERVASONI</t>
  </si>
  <si>
    <t>CAMISETA UNIFORME - ARTHUR HINCKELL DALLAGNO</t>
  </si>
  <si>
    <t>LUCAS MENEGUSSO - PAGOU AS MENSALIDADES ATRASADAS (FALTA 450)</t>
  </si>
  <si>
    <t>MENSALIDADE MIGUEL CORREIA DE FREITAS - JANEIRO</t>
  </si>
  <si>
    <t>CRÉDITO 10X</t>
  </si>
  <si>
    <t>MENSALIDADE BERNARDO ROCHA E CAMISETA UNIFORME</t>
  </si>
  <si>
    <t>MENSALIDADE EMANUEL SIMAS MACHADO - DEZEMBRO 2025</t>
  </si>
  <si>
    <t>MENSALIDADE MIGUEL PACHECO DO NASCIMENTO - JANEIRO</t>
  </si>
  <si>
    <t>UNIFORME MIGUEL PACHECO DO NASCIMENTO - NÃO PEGOU, DEIXAR RESERVADO CALÇÃO M BLUSA G</t>
  </si>
  <si>
    <t>VITOR HICHMEH MENSALIDADE 6 MESES</t>
  </si>
  <si>
    <t>CAMISETA UNIFORME - VITOR HICHMEH</t>
  </si>
  <si>
    <t>MENSALIDADE - SARA FONSECA BEUTING</t>
  </si>
  <si>
    <t>MENSALIDADE JANEIRO - DOUGLAS BROCHIER RODRIGUES</t>
  </si>
  <si>
    <t>MENSALIDADE JANEIRO - GUILHERME PEREIRA DOS SANTOS</t>
  </si>
  <si>
    <t>CRÉDIO 3X</t>
  </si>
  <si>
    <t>UNIFORME COMPLETO - MIGUEL CORREIA DE FREITAS</t>
  </si>
  <si>
    <t>WAGNER ADILSON ROGAL - 950.500.519-91 - WAGNERROGAL@GMAIL.COM</t>
  </si>
  <si>
    <t>R RIO GUAÍRA, N 665- RIO PEQUENO</t>
  </si>
  <si>
    <t>LORENZO DOS SANTOS DE OLIVEIRA</t>
  </si>
  <si>
    <t xml:space="preserve"> 145.493.819-65</t>
  </si>
  <si>
    <t>47991380427 47992245118</t>
  </si>
  <si>
    <t>PRISCILA CANDIDO DOS SANTOS DE OLIVEIRA - 044.491.649-03</t>
  </si>
  <si>
    <t>RUA 3000, 823</t>
  </si>
  <si>
    <t>47 9192-1126</t>
  </si>
  <si>
    <t>OK VIAGEM</t>
  </si>
  <si>
    <t>123.069.019-02</t>
  </si>
  <si>
    <t>47 9191-6210</t>
  </si>
  <si>
    <t>LUCAS FERNANDO DELAGNELLO</t>
  </si>
  <si>
    <t>126.190.659-41</t>
  </si>
  <si>
    <t>EDVAL FERNANDO DELAGNELLO - 007.280.689-31</t>
  </si>
  <si>
    <t>R. HEITOR SANTOS, 511</t>
  </si>
  <si>
    <t xml:space="preserve">LUCAS MENEGUSSO PEREIRA DA ROCHA </t>
  </si>
  <si>
    <t>133.711.239-95</t>
  </si>
  <si>
    <t>MÃE: 47 9 9669 0398 PAI: 47 9 9655 7089</t>
  </si>
  <si>
    <t xml:space="preserve">particular </t>
  </si>
  <si>
    <t>ROCHEL JORDAN PEREIRA DA ROCHA - 076.014.079-00 - ROCHEL_ROK@HOTMAIL.COM</t>
  </si>
  <si>
    <t xml:space="preserve">R. MINAS GERAIS - 398, AREIAS </t>
  </si>
  <si>
    <t>157.828.179-25</t>
  </si>
  <si>
    <t>MATHEUS FAGUNDES PACHECO</t>
  </si>
  <si>
    <t>124.462.089-08</t>
  </si>
  <si>
    <t>47988886894 47989039118</t>
  </si>
  <si>
    <t>Joao goulart</t>
  </si>
  <si>
    <t>R 960, 45</t>
  </si>
  <si>
    <t>MAXIMO ARROYO</t>
  </si>
  <si>
    <t>052.219.009-04</t>
  </si>
  <si>
    <t>47 988698599 47 988699769</t>
  </si>
  <si>
    <t>DANIELA BENITEZ - 051.326.149-49 - DANIELAARROYOBR@GMAIL.COM</t>
  </si>
  <si>
    <t>R. SILVEIRA 283</t>
  </si>
  <si>
    <t>136.379.389-60</t>
  </si>
  <si>
    <t>MÃE: 47 99997 3731 PAI: 47 996990530</t>
  </si>
  <si>
    <t>ELINARA CORREIA DE FREITAS - 935.473.829-04 - ELINARA2202@GMAIL.COM</t>
  </si>
  <si>
    <t>ADVENTISTA</t>
  </si>
  <si>
    <t>RUA EMANUEL REBELO DOS SANTOS</t>
  </si>
  <si>
    <t>150.845.299-75</t>
  </si>
  <si>
    <t>MÃE: 47 99909 3737 PAI: 47 99688 9426</t>
  </si>
  <si>
    <t>26/012026</t>
  </si>
  <si>
    <t>EDUARDA PACHECO COSTA ROSA - 106.465.879-27 - PACHECODUDDA05@GMAIL.COM</t>
  </si>
  <si>
    <t>TOMAZ FRANCISCO GARCIA</t>
  </si>
  <si>
    <t>R. CRICIÚMA N° 259 - MUNICÍPIOS</t>
  </si>
  <si>
    <t>MIGUEL STOLFI FARIAS</t>
  </si>
  <si>
    <t>47 9660-1678</t>
  </si>
  <si>
    <t>TAUANE STOLF - 097.246.159-01 - TAUANESTOLF.@GMAIL.COM</t>
  </si>
  <si>
    <t>RUA BRUSQUE 584</t>
  </si>
  <si>
    <t>MIGUEL YUTA KANAI</t>
  </si>
  <si>
    <t>123.771.099-50</t>
  </si>
  <si>
    <t>47 9601-1903</t>
  </si>
  <si>
    <t>FABIO HIDEKI KANAI - 290.081.068-09 - FHKANAI@YAHOO.COM.BR</t>
  </si>
  <si>
    <t>DOMINGOS FONSCA</t>
  </si>
  <si>
    <t>RUA COQUEIROS, 63</t>
  </si>
  <si>
    <t>050.109.170-09</t>
  </si>
  <si>
    <t>54991444752 54992182249</t>
  </si>
  <si>
    <t>EUNICE STAN ALVES PINHEIRO - 035.493.770-70 - STANALVESE@ORBENK.COM.BR</t>
  </si>
  <si>
    <t>R. SWAMIRIM 100, CAMBORIU</t>
  </si>
  <si>
    <t>126.499.179-70</t>
  </si>
  <si>
    <t>LUANA FERREIRA - 090.171.469-07</t>
  </si>
  <si>
    <t>R. NORUEGA, 15B</t>
  </si>
  <si>
    <t>12773955943</t>
  </si>
  <si>
    <t>MÃE: 47 99737 9235 PAI: 47 99623 8606</t>
  </si>
  <si>
    <t xml:space="preserve"> JEISIANE ROSA BELICA GASPAR - 075.377.239-66 - JRB_BELICA@HOTMAIL.COM</t>
  </si>
  <si>
    <t>R. MONTE RORAIMA - 446, MONTE ALEGRE</t>
  </si>
  <si>
    <t>PEDRO HENRIQUE LIMA DA SILVA</t>
  </si>
  <si>
    <t>147.337.219-43</t>
  </si>
  <si>
    <t>MÃE: 47 8911-1078</t>
  </si>
  <si>
    <t>se machucou</t>
  </si>
  <si>
    <t>esperar</t>
  </si>
  <si>
    <t>voltou em</t>
  </si>
  <si>
    <t xml:space="preserve"> ALEKSANDRA MIRELLY DE MELO LIMA - 036.803.862-90 - Mirellymelolima301296@gmail.com</t>
  </si>
  <si>
    <t xml:space="preserve">CEM. NOVA ESPERANÇA </t>
  </si>
  <si>
    <t>R. ACADEMICA ALICIA JORGE DE SOUZA</t>
  </si>
  <si>
    <t>140.426.319-59</t>
  </si>
  <si>
    <t>MÃE: 47 99276 2166 PAI: 47 99970 2111</t>
  </si>
  <si>
    <t xml:space="preserve"> ALEXSANDER OLIVEIRA - 026.277.167-51 - ALEXSANDER.OLIV75@GMAIL.COM</t>
  </si>
  <si>
    <t>R. OLGA BERNARDES AMORIM - N 193, CENTRO</t>
  </si>
  <si>
    <t>novo</t>
  </si>
  <si>
    <t>061.726.530-59</t>
  </si>
  <si>
    <t>MÃE: 47 99184-1767 PAI: 47 99648-6075</t>
  </si>
  <si>
    <t>RAÍNA DOMINGUES RIFFEL - 030.871.020-75 - RAIRIFF27@GMAIL.COM</t>
  </si>
  <si>
    <t>R. ISRAEL, NAÇÕES - BC</t>
  </si>
  <si>
    <t>RAJI GHAITH</t>
  </si>
  <si>
    <t>120.476.641-01</t>
  </si>
  <si>
    <t>47 8880-8849</t>
  </si>
  <si>
    <t>JACKELINE JAFFAL - 015.187.900-11 - JAKE_JADDOU@HOTMAIL.COM</t>
  </si>
  <si>
    <t>R. PALESTINA, NAÇÕES</t>
  </si>
  <si>
    <t>RAYAN GHAITH</t>
  </si>
  <si>
    <t>120.406.541-19</t>
  </si>
  <si>
    <t>RICARDO TERESKOVAC</t>
  </si>
  <si>
    <t>134.247.899-17</t>
  </si>
  <si>
    <t>113.480.279-08</t>
  </si>
  <si>
    <t>VICTOR WILLIAN NEUCAMP</t>
  </si>
  <si>
    <t>TURMA 8 (TARDE)</t>
  </si>
  <si>
    <t>117.719.019-26</t>
  </si>
  <si>
    <t>VITOR HICHMEH</t>
  </si>
  <si>
    <t>126.059.239-16</t>
  </si>
  <si>
    <t>PAI :11 98638-072</t>
  </si>
  <si>
    <t>VINICIUS SALEH HICHMEH - 053.267.069-89 - VICIOSALEH@GMAIL.COM</t>
  </si>
  <si>
    <t>R. 3618 - N° 60, CENTRO BC</t>
  </si>
  <si>
    <t>FALTA</t>
  </si>
  <si>
    <t>13361787955</t>
  </si>
  <si>
    <t xml:space="preserve">ANA PAULA MACHADO </t>
  </si>
  <si>
    <t xml:space="preserve">RUA -MONTE CORCOVADO </t>
  </si>
  <si>
    <t>YURI SANTOS RODRIGUES</t>
  </si>
  <si>
    <t>600.531.930-24</t>
  </si>
  <si>
    <t>47991245027 47992923532</t>
  </si>
  <si>
    <t>EBM LUCINIRA MELO REBELLO</t>
  </si>
  <si>
    <t>RUA RIO CAMAUNÁ, 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</si>
</sst>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dd/MM/yyyy"/>
    <numFmt numFmtId="166" formatCode="d/m/yyyy"/>
    <numFmt numFmtId="167" formatCode="dd/mm/yyyy"/>
    <numFmt numFmtId="168" formatCode="dd/mm/yy"/>
    <numFmt numFmtId="169" formatCode="dd/mm"/>
  </numFmts>
  <fonts count="42">
    <font>
      <sz val="10.0"/>
      <color rgb="FF000000"/>
      <name val="Arial"/>
      <scheme val="minor"/>
    </font>
    <font>
      <b/>
      <sz val="11.0"/>
      <color theme="1"/>
      <name val="Roboto"/>
    </font>
    <font>
      <b/>
      <sz val="13.0"/>
      <color rgb="FF000000"/>
      <name val="Roboto"/>
    </font>
    <font>
      <sz val="11.0"/>
      <color rgb="FF000000"/>
      <name val="Roboto"/>
    </font>
    <font>
      <b/>
      <sz val="11.0"/>
      <color rgb="FF000000"/>
      <name val="Roboto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Roboto"/>
    </font>
    <font>
      <b/>
      <sz val="11.0"/>
      <color rgb="FF000000"/>
      <name val="Arial"/>
      <scheme val="minor"/>
    </font>
    <font>
      <b/>
      <i/>
      <sz val="11.0"/>
      <color rgb="FF000000"/>
      <name val="Roboto"/>
    </font>
    <font>
      <b/>
      <sz val="10.0"/>
      <color theme="1"/>
      <name val="Arial"/>
      <scheme val="minor"/>
    </font>
    <font>
      <b/>
      <sz val="11.0"/>
      <color rgb="FFFFFFFF"/>
      <name val="Calibri"/>
    </font>
    <font>
      <b/>
      <sz val="11.0"/>
      <color rgb="FFFFFFFF"/>
      <name val="Roboto"/>
    </font>
    <font>
      <b/>
      <sz val="11.0"/>
      <color rgb="FFF3F3F3"/>
      <name val="Roboto"/>
    </font>
    <font>
      <sz val="11.0"/>
      <color rgb="FF000000"/>
      <name val="Calibri"/>
    </font>
    <font>
      <b/>
      <color theme="1"/>
      <name val="Arial"/>
      <scheme val="minor"/>
    </font>
    <font>
      <b/>
      <sz val="14.0"/>
      <color theme="1"/>
      <name val="Roboto"/>
    </font>
    <font>
      <sz val="12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/>
    <font>
      <sz val="13.0"/>
      <color theme="1"/>
      <name val="Arial"/>
      <scheme val="minor"/>
    </font>
    <font>
      <sz val="17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</font>
    <font>
      <b/>
      <i/>
      <sz val="11.0"/>
      <color rgb="FF000000"/>
      <name val="Arial"/>
      <scheme val="minor"/>
    </font>
    <font>
      <b/>
      <sz val="14.0"/>
      <color rgb="FF000000"/>
      <name val="Roboto"/>
    </font>
    <font>
      <b/>
      <i/>
      <sz val="13.0"/>
      <color rgb="FF000000"/>
      <name val="Roboto"/>
    </font>
    <font>
      <b/>
      <sz val="12.0"/>
      <color rgb="FF000000"/>
      <name val="Roboto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i/>
      <sz val="12.0"/>
      <color rgb="FF000000"/>
      <name val="Roboto"/>
    </font>
    <font>
      <b/>
      <sz val="21.0"/>
      <color theme="1"/>
      <name val="Arial"/>
      <scheme val="minor"/>
    </font>
    <font>
      <b/>
      <color theme="1"/>
      <name val="Arial"/>
    </font>
    <font>
      <color rgb="FF000000"/>
      <name val="Arial"/>
    </font>
    <font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  <font>
      <strike/>
      <sz val="11.0"/>
      <color rgb="FF000000"/>
      <name val="Roboto"/>
    </font>
    <font>
      <i/>
      <sz val="11.0"/>
      <color theme="1"/>
      <name val="Arial"/>
      <scheme val="minor"/>
    </font>
    <font>
      <i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356854"/>
        <bgColor rgb="FF356854"/>
      </patternFill>
    </fill>
    <fill>
      <patternFill patternType="solid">
        <fgColor rgb="FF1F4E78"/>
        <bgColor rgb="FF1F4E78"/>
      </patternFill>
    </fill>
    <fill>
      <patternFill patternType="solid">
        <fgColor rgb="FFE6B8AF"/>
        <bgColor rgb="FFE6B8A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3D85C6"/>
        <bgColor rgb="FF3D85C6"/>
      </patternFill>
    </fill>
  </fills>
  <borders count="15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A4C2F4"/>
      </left>
      <right style="thin">
        <color rgb="FFA4C2F4"/>
      </right>
      <top style="thin">
        <color rgb="FFA4C2F4"/>
      </top>
      <bottom style="thin">
        <color rgb="FFA4C2F4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5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/>
    </xf>
    <xf borderId="2" fillId="2" fontId="1" numFmtId="164" xfId="0" applyAlignment="1" applyBorder="1" applyFill="1" applyFont="1" applyNumberFormat="1">
      <alignment horizontal="center" readingOrder="0"/>
    </xf>
    <xf borderId="3" fillId="2" fontId="1" numFmtId="164" xfId="0" applyAlignment="1" applyBorder="1" applyFill="1" applyFont="1" applyNumberFormat="1">
      <alignment horizontal="center" readingOrder="0"/>
    </xf>
    <xf borderId="4" fillId="3" fontId="1" numFmtId="165" xfId="0" applyAlignment="1" applyBorder="1" applyFill="1" applyFont="1" applyNumberFormat="1">
      <alignment horizontal="center" vertical="bottom"/>
    </xf>
    <xf borderId="4" fillId="4" fontId="1" numFmtId="164" xfId="0" applyAlignment="1" applyBorder="1" applyFill="1" applyFont="1" applyNumberFormat="1">
      <alignment horizontal="center" vertical="bottom"/>
    </xf>
    <xf borderId="4" fillId="0" fontId="2" numFmtId="166" xfId="0" applyAlignment="1" applyBorder="1" applyFont="1" applyNumberFormat="1">
      <alignment vertical="bottom"/>
    </xf>
    <xf borderId="4" fillId="5" fontId="1" numFmtId="164" xfId="0" applyAlignment="1" applyBorder="1" applyFill="1" applyFont="1" applyNumberFormat="1">
      <alignment horizontal="center" vertical="bottom"/>
    </xf>
    <xf borderId="4" fillId="3" fontId="1" numFmtId="0" xfId="0" applyAlignment="1" applyBorder="1" applyFill="1" applyFont="1">
      <alignment horizontal="center" readingOrder="0" vertical="bottom"/>
    </xf>
    <xf borderId="4" fillId="0" fontId="3" numFmtId="0" xfId="0" applyAlignment="1" applyBorder="1" applyFont="1">
      <alignment horizontal="center"/>
    </xf>
    <xf borderId="4" fillId="0" fontId="2" numFmtId="166" xfId="0" applyAlignment="1" applyBorder="1" applyFont="1" applyNumberFormat="1">
      <alignment horizontal="center" vertical="bottom"/>
    </xf>
    <xf borderId="4" fillId="3" fontId="1" numFmtId="0" xfId="0" applyAlignment="1" applyBorder="1" applyFill="1" applyFont="1">
      <alignment horizontal="center" vertical="bottom"/>
    </xf>
    <xf borderId="4" fillId="0" fontId="1" numFmtId="0" xfId="0" applyAlignment="1" applyBorder="1" applyFont="1">
      <alignment horizontal="center" readingOrder="0"/>
    </xf>
    <xf borderId="4" fillId="0" fontId="4" numFmtId="166" xfId="0" applyAlignment="1" applyBorder="1" applyFont="1" applyNumberFormat="1">
      <alignment vertical="bottom"/>
    </xf>
    <xf borderId="4" fillId="0" fontId="2" numFmtId="0" xfId="0" applyAlignment="1" applyBorder="1" applyFont="1">
      <alignment horizontal="center" readingOrder="0" vertical="bottom"/>
    </xf>
    <xf borderId="0" fillId="0" fontId="5" numFmtId="0" xfId="0" applyFont="1"/>
    <xf borderId="4" fillId="0" fontId="4" numFmtId="0" xfId="0" applyAlignment="1" applyBorder="1" applyFont="1">
      <alignment horizontal="center" readingOrder="0" vertical="bottom"/>
    </xf>
    <xf borderId="4" fillId="0" fontId="2" numFmtId="165" xfId="0" applyAlignment="1" applyBorder="1" applyFont="1" applyNumberFormat="1">
      <alignment horizontal="center" vertical="bottom"/>
    </xf>
    <xf borderId="4" fillId="6" fontId="6" numFmtId="167" xfId="0" applyAlignment="1" applyBorder="1" applyFill="1" applyFont="1" applyNumberFormat="1">
      <alignment readingOrder="0"/>
    </xf>
    <xf borderId="4" fillId="4" fontId="6" numFmtId="164" xfId="0" applyAlignment="1" applyBorder="1" applyFill="1" applyFont="1" applyNumberFormat="1">
      <alignment readingOrder="0"/>
    </xf>
    <xf borderId="4" fillId="0" fontId="2" numFmtId="165" xfId="0" applyAlignment="1" applyBorder="1" applyFont="1" applyNumberFormat="1">
      <alignment horizontal="center" readingOrder="0" vertical="bottom"/>
    </xf>
    <xf borderId="4" fillId="5" fontId="7" numFmtId="164" xfId="0" applyAlignment="1" applyBorder="1" applyFill="1" applyFont="1" applyNumberFormat="1">
      <alignment readingOrder="0"/>
    </xf>
    <xf borderId="4" fillId="0" fontId="6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vertical="bottom"/>
    </xf>
    <xf borderId="4" fillId="7" fontId="8" numFmtId="49" xfId="0" applyAlignment="1" applyBorder="1" applyFill="1" applyFont="1" applyNumberFormat="1">
      <alignment readingOrder="0"/>
    </xf>
    <xf borderId="4" fillId="8" fontId="9" numFmtId="0" xfId="0" applyAlignment="1" applyBorder="1" applyFill="1" applyFont="1">
      <alignment horizontal="center"/>
    </xf>
    <xf borderId="4" fillId="0" fontId="4" numFmtId="165" xfId="0" applyAlignment="1" applyBorder="1" applyFont="1" applyNumberFormat="1">
      <alignment horizontal="center" readingOrder="0" vertical="bottom"/>
    </xf>
    <xf borderId="4" fillId="0" fontId="4" numFmtId="49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readingOrder="0"/>
    </xf>
    <xf borderId="4" fillId="9" fontId="10" numFmtId="166" xfId="0" applyAlignment="1" applyBorder="1" applyFill="1" applyFont="1" applyNumberFormat="1">
      <alignment horizontal="center" vertical="bottom"/>
    </xf>
    <xf borderId="4" fillId="4" fontId="11" numFmtId="164" xfId="0" applyAlignment="1" applyBorder="1" applyFill="1" applyFont="1" applyNumberFormat="1">
      <alignment horizontal="center" readingOrder="0"/>
    </xf>
    <xf borderId="4" fillId="5" fontId="11" numFmtId="164" xfId="0" applyAlignment="1" applyBorder="1" applyFill="1" applyFont="1" applyNumberFormat="1">
      <alignment horizontal="center" readingOrder="0"/>
    </xf>
    <xf borderId="4" fillId="0" fontId="4" numFmtId="0" xfId="0" applyAlignment="1" applyBorder="1" applyFont="1">
      <alignment horizontal="left" readingOrder="0" shrinkToFit="0" vertical="bottom" wrapText="0"/>
    </xf>
    <xf borderId="4" fillId="0" fontId="11" numFmtId="164" xfId="0" applyAlignment="1" applyBorder="1" applyFont="1" applyNumberFormat="1">
      <alignment horizontal="center" readingOrder="0"/>
    </xf>
    <xf borderId="0" fillId="0" fontId="6" numFmtId="0" xfId="0" applyFont="1"/>
    <xf borderId="4" fillId="0" fontId="4" numFmtId="0" xfId="0" applyAlignment="1" applyBorder="1" applyFont="1">
      <alignment horizontal="center" readingOrder="0" shrinkToFit="0" vertical="bottom" wrapText="0"/>
    </xf>
    <xf borderId="4" fillId="7" fontId="8" numFmtId="0" xfId="0" applyAlignment="1" applyBorder="1" applyFill="1" applyFont="1">
      <alignment readingOrder="0"/>
    </xf>
    <xf borderId="4" fillId="0" fontId="4" numFmtId="165" xfId="0" applyAlignment="1" applyBorder="1" applyFont="1" applyNumberFormat="1">
      <alignment horizontal="center" vertical="bottom"/>
    </xf>
    <xf borderId="0" fillId="10" fontId="1" numFmtId="0" xfId="0" applyAlignment="1" applyFill="1" applyFont="1">
      <alignment horizontal="center" readingOrder="0" vertical="bottom"/>
    </xf>
    <xf borderId="4" fillId="0" fontId="4" numFmtId="166" xfId="0" applyAlignment="1" applyBorder="1" applyFont="1" applyNumberFormat="1">
      <alignment horizontal="center" vertical="bottom"/>
    </xf>
    <xf borderId="4" fillId="0" fontId="9" numFmtId="49" xfId="0" applyAlignment="1" applyBorder="1" applyFont="1" applyNumberFormat="1">
      <alignment horizontal="center" readingOrder="0"/>
    </xf>
    <xf borderId="5" fillId="11" fontId="12" numFmtId="0" xfId="0" applyAlignment="1" applyBorder="1" applyFill="1" applyFont="1">
      <alignment horizontal="center" readingOrder="0" shrinkToFit="0" vertical="bottom" wrapText="0"/>
    </xf>
    <xf borderId="4" fillId="4" fontId="11" numFmtId="164" xfId="0" applyAlignment="1" applyBorder="1" applyFill="1" applyFont="1" applyNumberFormat="1">
      <alignment horizontal="center"/>
    </xf>
    <xf borderId="0" fillId="10" fontId="13" numFmtId="0" xfId="0" applyAlignment="1" applyFill="1" applyFont="1">
      <alignment horizontal="center" readingOrder="0" vertical="bottom"/>
    </xf>
    <xf borderId="0" fillId="10" fontId="14" numFmtId="49" xfId="0" applyAlignment="1" applyFill="1" applyFont="1" applyNumberFormat="1">
      <alignment horizontal="center" readingOrder="0" shrinkToFit="0" vertical="bottom" wrapText="0"/>
    </xf>
    <xf borderId="6" fillId="12" fontId="15" numFmtId="0" xfId="0" applyAlignment="1" applyBorder="1" applyFill="1" applyFont="1">
      <alignment horizontal="left" readingOrder="0" shrinkToFit="0" vertical="center" wrapText="1"/>
    </xf>
    <xf borderId="0" fillId="10" fontId="1" numFmtId="49" xfId="0" applyAlignment="1" applyFill="1" applyFont="1" applyNumberFormat="1">
      <alignment horizontal="center" readingOrder="0" vertical="bottom"/>
    </xf>
    <xf borderId="6" fillId="12" fontId="15" numFmtId="0" xfId="0" applyAlignment="1" applyBorder="1" applyFill="1" applyFont="1">
      <alignment horizontal="center" readingOrder="0" shrinkToFit="0" vertical="center" wrapText="1"/>
    </xf>
    <xf borderId="0" fillId="10" fontId="1" numFmtId="0" xfId="0" applyAlignment="1" applyFill="1" applyFont="1">
      <alignment horizontal="center" readingOrder="0" vertical="bottom"/>
    </xf>
    <xf borderId="4" fillId="5" fontId="11" numFmtId="164" xfId="0" applyAlignment="1" applyBorder="1" applyFill="1" applyFont="1" applyNumberFormat="1">
      <alignment horizontal="center"/>
    </xf>
    <xf borderId="0" fillId="10" fontId="1" numFmtId="164" xfId="0" applyAlignment="1" applyFill="1" applyFont="1" applyNumberFormat="1">
      <alignment horizontal="center" readingOrder="0" vertical="bottom"/>
    </xf>
    <xf borderId="6" fillId="12" fontId="15" numFmtId="0" xfId="0" applyAlignment="1" applyBorder="1" applyFill="1" applyFont="1">
      <alignment horizontal="center" shrinkToFit="0" vertical="center" wrapText="1"/>
    </xf>
    <xf borderId="6" fillId="0" fontId="15" numFmtId="0" xfId="0" applyAlignment="1" applyBorder="1" applyFont="1">
      <alignment horizontal="left" readingOrder="0" shrinkToFit="0" vertical="center" wrapText="1"/>
    </xf>
    <xf borderId="4" fillId="0" fontId="11" numFmtId="164" xfId="0" applyAlignment="1" applyBorder="1" applyFont="1" applyNumberFormat="1">
      <alignment horizontal="center"/>
    </xf>
    <xf borderId="0" fillId="10" fontId="1" numFmtId="165" xfId="0" applyAlignment="1" applyFill="1" applyFont="1" applyNumberFormat="1">
      <alignment horizontal="center" readingOrder="0" vertical="bottom"/>
    </xf>
    <xf borderId="6" fillId="0" fontId="15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0" fillId="10" fontId="6" numFmtId="0" xfId="0" applyAlignment="1" applyFill="1" applyFont="1">
      <alignment readingOrder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4" fillId="0" fontId="6" numFmtId="0" xfId="0" applyAlignment="1" applyBorder="1" applyFont="1">
      <alignment readingOrder="0"/>
    </xf>
    <xf borderId="0" fillId="0" fontId="1" numFmtId="49" xfId="0" applyAlignment="1" applyFont="1" applyNumberFormat="1">
      <alignment horizontal="center" readingOrder="0" shrinkToFit="0" vertical="center" wrapText="0"/>
    </xf>
    <xf borderId="4" fillId="7" fontId="1" numFmtId="0" xfId="0" applyAlignment="1" applyBorder="1" applyFill="1" applyFont="1">
      <alignment readingOrder="0"/>
    </xf>
    <xf borderId="4" fillId="10" fontId="14" numFmtId="49" xfId="0" applyAlignment="1" applyBorder="1" applyFill="1" applyFont="1" applyNumberFormat="1">
      <alignment horizontal="center" readingOrder="0" shrinkToFit="0" vertical="center" wrapText="0"/>
    </xf>
    <xf borderId="4" fillId="7" fontId="1" numFmtId="49" xfId="0" applyAlignment="1" applyBorder="1" applyFill="1" applyFont="1" applyNumberForma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4" fillId="0" fontId="16" numFmtId="165" xfId="0" applyAlignment="1" applyBorder="1" applyFont="1" applyNumberFormat="1">
      <alignment horizontal="center"/>
    </xf>
    <xf borderId="4" fillId="13" fontId="16" numFmtId="164" xfId="0" applyAlignment="1" applyBorder="1" applyFill="1" applyFont="1" applyNumberFormat="1">
      <alignment horizontal="center"/>
    </xf>
    <xf borderId="4" fillId="14" fontId="16" numFmtId="164" xfId="0" applyAlignment="1" applyBorder="1" applyFill="1" applyFont="1" applyNumberFormat="1">
      <alignment horizontal="center"/>
    </xf>
    <xf borderId="4" fillId="0" fontId="16" numFmtId="0" xfId="0" applyAlignment="1" applyBorder="1" applyFont="1">
      <alignment horizontal="center"/>
    </xf>
    <xf borderId="4" fillId="0" fontId="2" numFmtId="49" xfId="0" applyAlignment="1" applyBorder="1" applyFont="1" applyNumberFormat="1">
      <alignment horizontal="center" vertical="bottom"/>
    </xf>
    <xf borderId="4" fillId="14" fontId="16" numFmtId="0" xfId="0" applyAlignment="1" applyBorder="1" applyFill="1" applyFont="1">
      <alignment horizontal="center"/>
    </xf>
    <xf borderId="0" fillId="0" fontId="1" numFmtId="165" xfId="0" applyAlignment="1" applyFont="1" applyNumberFormat="1">
      <alignment horizontal="center" readingOrder="0" shrinkToFit="0" vertical="center" wrapText="0"/>
    </xf>
    <xf borderId="4" fillId="0" fontId="2" numFmtId="166" xfId="0" applyAlignment="1" applyBorder="1" applyFont="1" applyNumberFormat="1">
      <alignment readingOrder="0" vertical="bottom"/>
    </xf>
    <xf borderId="4" fillId="0" fontId="2" numFmtId="166" xfId="0" applyAlignment="1" applyBorder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4" fillId="0" fontId="2" numFmtId="49" xfId="0" applyAlignment="1" applyBorder="1" applyFont="1" applyNumberFormat="1">
      <alignment horizontal="center" readingOrder="0" vertical="bottom"/>
    </xf>
    <xf borderId="0" fillId="0" fontId="2" numFmtId="166" xfId="0" applyAlignment="1" applyFont="1" applyNumberFormat="1">
      <alignment horizontal="center" vertical="bottom"/>
    </xf>
    <xf borderId="0" fillId="0" fontId="7" numFmtId="0" xfId="0" applyAlignment="1" applyFont="1">
      <alignment readingOrder="0"/>
    </xf>
    <xf borderId="4" fillId="15" fontId="17" numFmtId="49" xfId="0" applyAlignment="1" applyBorder="1" applyFill="1" applyFont="1" applyNumberFormat="1">
      <alignment readingOrder="0" shrinkToFit="0" vertical="bottom" wrapText="0"/>
    </xf>
    <xf borderId="0" fillId="0" fontId="7" numFmtId="0" xfId="0" applyFont="1"/>
    <xf borderId="0" fillId="0" fontId="6" numFmtId="0" xfId="0" applyAlignment="1" applyFont="1">
      <alignment horizontal="left" readingOrder="0" shrinkToFit="0" vertical="center" wrapText="0"/>
    </xf>
    <xf borderId="0" fillId="0" fontId="7" numFmtId="49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166" xfId="0" applyFont="1" applyNumberFormat="1"/>
    <xf borderId="4" fillId="0" fontId="3" numFmtId="0" xfId="0" applyAlignment="1" applyBorder="1" applyFont="1">
      <alignment horizontal="center" readingOrder="0" shrinkToFit="0" vertical="center" wrapText="0"/>
    </xf>
    <xf borderId="0" fillId="0" fontId="7" numFmtId="49" xfId="0" applyFont="1" applyNumberFormat="1"/>
    <xf borderId="4" fillId="7" fontId="3" numFmtId="0" xfId="0" applyAlignment="1" applyBorder="1" applyFill="1" applyFont="1">
      <alignment horizontal="center" readingOrder="0" shrinkToFit="0" vertical="center" wrapText="0"/>
    </xf>
    <xf borderId="0" fillId="0" fontId="7" numFmtId="166" xfId="0" applyAlignment="1" applyFont="1" applyNumberFormat="1">
      <alignment readingOrder="0"/>
    </xf>
    <xf borderId="4" fillId="0" fontId="3" numFmtId="0" xfId="0" applyAlignment="1" applyBorder="1" applyFont="1">
      <alignment horizontal="center" shrinkToFit="0" vertical="center" wrapText="0"/>
    </xf>
    <xf borderId="4" fillId="0" fontId="4" numFmtId="49" xfId="0" applyAlignment="1" applyBorder="1" applyFont="1" applyNumberFormat="1">
      <alignment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8" fontId="9" numFmtId="0" xfId="0" applyAlignment="1" applyBorder="1" applyFill="1" applyFont="1">
      <alignment horizontal="center" shrinkToFit="0" vertical="center" wrapText="0"/>
    </xf>
    <xf borderId="4" fillId="0" fontId="4" numFmtId="165" xfId="0" applyAlignment="1" applyBorder="1" applyFont="1" applyNumberFormat="1">
      <alignment horizontal="center" readingOrder="0" shrinkToFit="0" vertical="center" wrapText="0"/>
    </xf>
    <xf borderId="4" fillId="0" fontId="4" numFmtId="49" xfId="0" applyAlignment="1" applyBorder="1" applyFont="1" applyNumberFormat="1">
      <alignment horizontal="center" shrinkToFit="0" vertical="center" wrapText="0"/>
    </xf>
    <xf borderId="4" fillId="9" fontId="10" numFmtId="0" xfId="0" applyAlignment="1" applyBorder="1" applyFill="1" applyFont="1">
      <alignment horizontal="center" readingOrder="0" shrinkToFit="0" vertical="center" wrapText="0"/>
    </xf>
    <xf borderId="0" fillId="0" fontId="7" numFmtId="165" xfId="0" applyFont="1" applyNumberFormat="1"/>
    <xf borderId="0" fillId="0" fontId="18" numFmtId="0" xfId="0" applyAlignment="1" applyFont="1">
      <alignment horizontal="center" readingOrder="0" shrinkToFit="0" vertical="center" wrapText="0"/>
    </xf>
    <xf borderId="0" fillId="0" fontId="18" numFmtId="49" xfId="0" applyAlignment="1" applyFont="1" applyNumberFormat="1">
      <alignment horizontal="center" readingOrder="0" shrinkToFit="0" vertical="center" wrapText="0"/>
    </xf>
    <xf borderId="4" fillId="0" fontId="18" numFmtId="49" xfId="0" applyAlignment="1" applyBorder="1" applyFont="1" applyNumberFormat="1">
      <alignment readingOrder="0" shrinkToFit="0" vertical="center" wrapText="0"/>
    </xf>
    <xf borderId="4" fillId="0" fontId="4" numFmtId="165" xfId="0" applyAlignment="1" applyBorder="1" applyFont="1" applyNumberFormat="1">
      <alignment horizontal="center" shrinkToFit="0" vertical="center" wrapText="0"/>
    </xf>
    <xf borderId="4" fillId="0" fontId="18" numFmtId="166" xfId="0" applyAlignment="1" applyBorder="1" applyFont="1" applyNumberFormat="1">
      <alignment shrinkToFit="0" vertical="center" wrapText="0"/>
    </xf>
    <xf borderId="4" fillId="0" fontId="18" numFmtId="166" xfId="0" applyAlignment="1" applyBorder="1" applyFont="1" applyNumberFormat="1">
      <alignment readingOrder="0" shrinkToFit="0" vertical="center" wrapText="0"/>
    </xf>
    <xf borderId="4" fillId="0" fontId="18" numFmtId="0" xfId="0" applyAlignment="1" applyBorder="1" applyFont="1">
      <alignment readingOrder="0" shrinkToFit="0" vertical="center" wrapText="0"/>
    </xf>
    <xf borderId="4" fillId="0" fontId="4" numFmtId="166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center" wrapText="0"/>
    </xf>
    <xf borderId="4" fillId="0" fontId="18" numFmtId="0" xfId="0" applyAlignment="1" applyBorder="1" applyFont="1">
      <alignment shrinkToFit="0" vertical="center" wrapText="0"/>
    </xf>
    <xf borderId="4" fillId="0" fontId="4" numFmtId="49" xfId="0" applyAlignment="1" applyBorder="1" applyFont="1" applyNumberFormat="1">
      <alignment horizontal="center" readingOrder="0" shrinkToFit="0" vertical="center" wrapText="0"/>
    </xf>
    <xf borderId="4" fillId="0" fontId="4" numFmtId="0" xfId="0" applyAlignment="1" applyBorder="1" applyFont="1">
      <alignment horizontal="left" readingOrder="0" shrinkToFit="0" vertical="center" wrapText="0"/>
    </xf>
    <xf borderId="4" fillId="0" fontId="2" numFmtId="49" xfId="0" applyAlignment="1" applyBorder="1" applyFont="1" applyNumberFormat="1">
      <alignment vertical="bottom"/>
    </xf>
    <xf borderId="4" fillId="0" fontId="4" numFmtId="49" xfId="0" applyAlignment="1" applyBorder="1" applyFont="1" applyNumberFormat="1">
      <alignment horizontal="left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4" numFmtId="166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vertical="center"/>
    </xf>
    <xf borderId="4" fillId="0" fontId="4" numFmtId="165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166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vertical="center"/>
    </xf>
    <xf borderId="4" fillId="0" fontId="4" numFmtId="166" xfId="0" applyAlignment="1" applyBorder="1" applyFont="1" applyNumberFormat="1">
      <alignment shrinkToFit="0" vertical="center" wrapText="0"/>
    </xf>
    <xf borderId="4" fillId="9" fontId="10" numFmtId="166" xfId="0" applyAlignment="1" applyBorder="1" applyFill="1" applyFont="1" applyNumberForma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4" fillId="0" fontId="9" numFmtId="49" xfId="0" applyAlignment="1" applyBorder="1" applyFont="1" applyNumberFormat="1">
      <alignment horizontal="center" readingOrder="0" shrinkToFit="0" vertical="center" wrapText="0"/>
    </xf>
    <xf borderId="7" fillId="0" fontId="19" numFmtId="0" xfId="0" applyAlignment="1" applyBorder="1" applyFont="1">
      <alignment horizontal="left" readingOrder="0" vertical="center"/>
    </xf>
    <xf borderId="0" fillId="0" fontId="19" numFmtId="168" xfId="0" applyAlignment="1" applyFont="1" applyNumberFormat="1">
      <alignment horizontal="center" readingOrder="0" vertical="center"/>
    </xf>
    <xf borderId="0" fillId="0" fontId="19" numFmtId="167" xfId="0" applyAlignment="1" applyFont="1" applyNumberFormat="1">
      <alignment horizontal="center" readingOrder="0" vertical="center"/>
    </xf>
    <xf borderId="0" fillId="0" fontId="19" numFmtId="167" xfId="0" applyAlignment="1" applyFont="1" applyNumberFormat="1">
      <alignment horizontal="center" vertical="center"/>
    </xf>
    <xf borderId="0" fillId="0" fontId="19" numFmtId="166" xfId="0" applyAlignment="1" applyFont="1" applyNumberFormat="1">
      <alignment horizontal="center" vertical="center"/>
    </xf>
    <xf borderId="0" fillId="0" fontId="19" numFmtId="0" xfId="0" applyAlignment="1" applyFont="1">
      <alignment horizontal="center" vertical="center"/>
    </xf>
    <xf borderId="0" fillId="16" fontId="19" numFmtId="0" xfId="0" applyAlignment="1" applyFill="1" applyFont="1">
      <alignment horizontal="center" vertical="center"/>
    </xf>
    <xf borderId="0" fillId="0" fontId="20" numFmtId="0" xfId="0" applyAlignment="1" applyFont="1">
      <alignment horizontal="center" vertical="center"/>
    </xf>
    <xf borderId="8" fillId="0" fontId="19" numFmtId="0" xfId="0" applyAlignment="1" applyBorder="1" applyFont="1">
      <alignment horizontal="left" readingOrder="0" vertical="center"/>
    </xf>
    <xf borderId="9" fillId="0" fontId="19" numFmtId="168" xfId="0" applyAlignment="1" applyBorder="1" applyFont="1" applyNumberFormat="1">
      <alignment horizontal="center" readingOrder="0" vertical="center"/>
    </xf>
    <xf borderId="9" fillId="0" fontId="19" numFmtId="167" xfId="0" applyAlignment="1" applyBorder="1" applyFont="1" applyNumberFormat="1">
      <alignment horizontal="center" readingOrder="0" vertical="center"/>
    </xf>
    <xf borderId="9" fillId="0" fontId="19" numFmtId="167" xfId="0" applyAlignment="1" applyBorder="1" applyFont="1" applyNumberFormat="1">
      <alignment horizontal="center" vertical="center"/>
    </xf>
    <xf borderId="9" fillId="0" fontId="19" numFmtId="166" xfId="0" applyAlignment="1" applyBorder="1" applyFont="1" applyNumberFormat="1">
      <alignment horizontal="center" vertical="center"/>
    </xf>
    <xf borderId="9" fillId="0" fontId="19" numFmtId="0" xfId="0" applyAlignment="1" applyBorder="1" applyFont="1">
      <alignment horizontal="center" vertical="center"/>
    </xf>
    <xf borderId="8" fillId="0" fontId="21" numFmtId="0" xfId="0" applyBorder="1" applyFont="1"/>
    <xf borderId="9" fillId="0" fontId="19" numFmtId="164" xfId="0" applyAlignment="1" applyBorder="1" applyFont="1" applyNumberFormat="1">
      <alignment horizontal="center" vertical="center"/>
    </xf>
    <xf borderId="9" fillId="0" fontId="19" numFmtId="0" xfId="0" applyAlignment="1" applyBorder="1" applyFont="1">
      <alignment horizontal="center" vertical="center"/>
    </xf>
    <xf borderId="9" fillId="0" fontId="19" numFmtId="0" xfId="0" applyAlignment="1" applyBorder="1" applyFont="1">
      <alignment horizontal="center" readingOrder="0" vertical="center"/>
    </xf>
    <xf borderId="0" fillId="16" fontId="20" numFmtId="0" xfId="0" applyAlignment="1" applyFill="1" applyFont="1">
      <alignment horizontal="center" vertical="center"/>
    </xf>
    <xf borderId="9" fillId="0" fontId="19" numFmtId="3" xfId="0" applyAlignment="1" applyBorder="1" applyFont="1" applyNumberFormat="1">
      <alignment horizontal="center" readingOrder="0" vertical="center"/>
    </xf>
    <xf borderId="10" fillId="0" fontId="21" numFmtId="0" xfId="0" applyBorder="1" applyFont="1"/>
    <xf borderId="11" fillId="0" fontId="19" numFmtId="164" xfId="0" applyAlignment="1" applyBorder="1" applyFont="1" applyNumberFormat="1">
      <alignment horizontal="center" readingOrder="0" vertical="center"/>
    </xf>
    <xf borderId="11" fillId="0" fontId="21" numFmtId="0" xfId="0" applyBorder="1" applyFont="1"/>
    <xf borderId="9" fillId="0" fontId="21" numFmtId="0" xfId="0" applyBorder="1" applyFont="1"/>
    <xf borderId="0" fillId="0" fontId="22" numFmtId="0" xfId="0" applyAlignment="1" applyFont="1">
      <alignment horizontal="center" readingOrder="0" shrinkToFit="0" vertical="center" wrapText="0"/>
    </xf>
    <xf borderId="4" fillId="17" fontId="22" numFmtId="0" xfId="0" applyAlignment="1" applyBorder="1" applyFill="1" applyFont="1">
      <alignment horizontal="center" readingOrder="0" shrinkToFit="0" vertical="center" wrapText="0"/>
    </xf>
    <xf borderId="12" fillId="13" fontId="22" numFmtId="164" xfId="0" applyAlignment="1" applyBorder="1" applyFill="1" applyFont="1" applyNumberFormat="1">
      <alignment shrinkToFit="0" vertical="center" wrapText="0"/>
    </xf>
    <xf borderId="12" fillId="18" fontId="22" numFmtId="164" xfId="0" applyAlignment="1" applyBorder="1" applyFill="1" applyFont="1" applyNumberFormat="1">
      <alignment shrinkToFit="0" vertical="center" wrapText="0"/>
    </xf>
    <xf borderId="13" fillId="13" fontId="22" numFmtId="164" xfId="0" applyAlignment="1" applyBorder="1" applyFill="1" applyFont="1" applyNumberFormat="1">
      <alignment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4" fillId="0" fontId="4" numFmtId="166" xfId="0" applyAlignment="1" applyBorder="1" applyFont="1" applyNumberFormat="1">
      <alignment horizontal="center" shrinkToFit="0" vertical="center" wrapText="0"/>
    </xf>
    <xf borderId="4" fillId="0" fontId="7" numFmtId="0" xfId="0" applyBorder="1" applyFont="1"/>
    <xf borderId="4" fillId="0" fontId="23" numFmtId="0" xfId="0" applyAlignment="1" applyBorder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164" xfId="0" applyAlignment="1" applyFont="1" applyNumberFormat="1">
      <alignment horizontal="center" readingOrder="0" shrinkToFit="0" vertical="center" wrapText="0"/>
    </xf>
    <xf borderId="9" fillId="0" fontId="19" numFmtId="166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horizontal="center" readingOrder="0" shrinkToFit="0" vertical="center" wrapText="0"/>
    </xf>
    <xf borderId="0" fillId="0" fontId="16" numFmtId="0" xfId="0" applyAlignment="1" applyFont="1">
      <alignment horizontal="center"/>
    </xf>
    <xf borderId="8" fillId="0" fontId="19" numFmtId="0" xfId="0" applyAlignment="1" applyBorder="1" applyFont="1">
      <alignment horizontal="left" readingOrder="0" shrinkToFit="0" vertical="center" wrapText="1"/>
    </xf>
    <xf borderId="0" fillId="2" fontId="19" numFmtId="0" xfId="0" applyAlignment="1" applyFill="1" applyFont="1">
      <alignment horizontal="center" vertical="center"/>
    </xf>
    <xf borderId="4" fillId="6" fontId="7" numFmtId="167" xfId="0" applyAlignment="1" applyBorder="1" applyFill="1" applyFont="1" applyNumberFormat="1">
      <alignment readingOrder="0" shrinkToFit="0" vertical="center" wrapText="0"/>
    </xf>
    <xf borderId="0" fillId="2" fontId="20" numFmtId="0" xfId="0" applyAlignment="1" applyFill="1" applyFont="1">
      <alignment horizontal="center" vertical="center"/>
    </xf>
    <xf borderId="4" fillId="4" fontId="7" numFmtId="164" xfId="0" applyAlignment="1" applyBorder="1" applyFill="1" applyFont="1" applyNumberFormat="1">
      <alignment readingOrder="0" shrinkToFit="0" vertical="center" wrapText="0"/>
    </xf>
    <xf borderId="4" fillId="5" fontId="7" numFmtId="164" xfId="0" applyAlignment="1" applyBorder="1" applyFill="1" applyFont="1" applyNumberFormat="1">
      <alignment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/>
    </xf>
    <xf borderId="8" fillId="19" fontId="19" numFmtId="0" xfId="0" applyAlignment="1" applyBorder="1" applyFill="1" applyFont="1">
      <alignment horizontal="left" readingOrder="0" vertical="center"/>
    </xf>
    <xf borderId="9" fillId="19" fontId="19" numFmtId="168" xfId="0" applyAlignment="1" applyBorder="1" applyFill="1" applyFont="1" applyNumberFormat="1">
      <alignment horizontal="center" readingOrder="0" vertical="center"/>
    </xf>
    <xf borderId="9" fillId="19" fontId="19" numFmtId="167" xfId="0" applyAlignment="1" applyBorder="1" applyFill="1" applyFont="1" applyNumberFormat="1">
      <alignment horizontal="center" readingOrder="0" vertical="center"/>
    </xf>
    <xf borderId="9" fillId="19" fontId="19" numFmtId="0" xfId="0" applyAlignment="1" applyBorder="1" applyFill="1" applyFont="1">
      <alignment horizontal="center" vertical="center"/>
    </xf>
    <xf borderId="9" fillId="19" fontId="19" numFmtId="167" xfId="0" applyAlignment="1" applyBorder="1" applyFill="1" applyFont="1" applyNumberFormat="1">
      <alignment horizontal="center" vertical="center"/>
    </xf>
    <xf borderId="9" fillId="19" fontId="19" numFmtId="166" xfId="0" applyAlignment="1" applyBorder="1" applyFill="1" applyFont="1" applyNumberFormat="1">
      <alignment horizontal="center" vertical="center"/>
    </xf>
    <xf borderId="4" fillId="19" fontId="19" numFmtId="0" xfId="0" applyAlignment="1" applyBorder="1" applyFill="1" applyFont="1">
      <alignment horizontal="center" readingOrder="0" vertical="center"/>
    </xf>
    <xf borderId="9" fillId="19" fontId="19" numFmtId="164" xfId="0" applyAlignment="1" applyBorder="1" applyFill="1" applyFont="1" applyNumberFormat="1">
      <alignment horizontal="center" vertical="center"/>
    </xf>
    <xf borderId="9" fillId="19" fontId="19" numFmtId="0" xfId="0" applyAlignment="1" applyBorder="1" applyFill="1" applyFont="1">
      <alignment horizontal="center" vertical="center"/>
    </xf>
    <xf borderId="9" fillId="19" fontId="19" numFmtId="0" xfId="0" applyAlignment="1" applyBorder="1" applyFill="1" applyFont="1">
      <alignment horizontal="center" readingOrder="0" vertical="center"/>
    </xf>
    <xf borderId="4" fillId="19" fontId="19" numFmtId="0" xfId="0" applyAlignment="1" applyBorder="1" applyFill="1" applyFont="1">
      <alignment horizontal="center" vertical="center"/>
    </xf>
    <xf borderId="9" fillId="19" fontId="19" numFmtId="3" xfId="0" applyAlignment="1" applyBorder="1" applyFill="1" applyFont="1" applyNumberFormat="1">
      <alignment horizontal="center" readingOrder="0" vertical="center"/>
    </xf>
    <xf borderId="4" fillId="0" fontId="1" numFmtId="49" xfId="0" applyAlignment="1" applyBorder="1" applyFont="1" applyNumberFormat="1">
      <alignment readingOrder="0" shrinkToFit="0" vertical="center" wrapText="0"/>
    </xf>
    <xf borderId="4" fillId="13" fontId="22" numFmtId="164" xfId="0" applyAlignment="1" applyBorder="1" applyFill="1" applyFont="1" applyNumberFormat="1">
      <alignment shrinkToFit="0" vertical="center" wrapText="0"/>
    </xf>
    <xf borderId="9" fillId="19" fontId="19" numFmtId="166" xfId="0" applyAlignment="1" applyBorder="1" applyFill="1" applyFont="1" applyNumberFormat="1">
      <alignment horizontal="center" readingOrder="0" vertical="center"/>
    </xf>
    <xf borderId="4" fillId="18" fontId="22" numFmtId="164" xfId="0" applyAlignment="1" applyBorder="1" applyFill="1" applyFont="1" applyNumberFormat="1">
      <alignment shrinkToFit="0" vertical="center" wrapText="0"/>
    </xf>
    <xf borderId="11" fillId="19" fontId="19" numFmtId="164" xfId="0" applyAlignment="1" applyBorder="1" applyFill="1" applyFont="1" applyNumberFormat="1">
      <alignment horizontal="center" readingOrder="0" vertical="center"/>
    </xf>
    <xf borderId="9" fillId="0" fontId="19" numFmtId="164" xfId="0" applyAlignment="1" applyBorder="1" applyFont="1" applyNumberFormat="1">
      <alignment horizontal="center" readingOrder="0" vertical="center"/>
    </xf>
    <xf borderId="4" fillId="2" fontId="19" numFmtId="0" xfId="0" applyAlignment="1" applyBorder="1" applyFill="1" applyFont="1">
      <alignment horizontal="center" vertical="center"/>
    </xf>
    <xf borderId="4" fillId="2" fontId="19" numFmtId="0" xfId="0" applyAlignment="1" applyBorder="1" applyFill="1" applyFont="1">
      <alignment horizontal="center" readingOrder="0" vertical="center"/>
    </xf>
    <xf borderId="4" fillId="5" fontId="7" numFmtId="164" xfId="0" applyAlignment="1" applyBorder="1" applyFill="1" applyFont="1" applyNumberFormat="1">
      <alignment readingOrder="0" shrinkToFit="0" vertical="center" wrapText="0"/>
    </xf>
    <xf borderId="4" fillId="0" fontId="1" numFmtId="166" xfId="0" applyAlignment="1" applyBorder="1" applyFont="1" applyNumberFormat="1">
      <alignment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4" fillId="7" fontId="24" numFmtId="0" xfId="0" applyAlignment="1" applyBorder="1" applyFill="1" applyFont="1">
      <alignment horizontal="center" readingOrder="0" shrinkToFit="0" vertical="center" wrapText="0"/>
    </xf>
    <xf borderId="0" fillId="2" fontId="25" numFmtId="165" xfId="0" applyAlignment="1" applyFill="1" applyFont="1" applyNumberFormat="1">
      <alignment horizontal="center" vertical="bottom"/>
    </xf>
    <xf borderId="0" fillId="20" fontId="25" numFmtId="164" xfId="0" applyAlignment="1" applyFill="1" applyFont="1" applyNumberFormat="1">
      <alignment horizontal="center" vertical="bottom"/>
    </xf>
    <xf borderId="0" fillId="5" fontId="25" numFmtId="164" xfId="0" applyAlignment="1" applyFill="1" applyFont="1" applyNumberFormat="1">
      <alignment horizontal="center" vertical="bottom"/>
    </xf>
    <xf borderId="0" fillId="2" fontId="18" numFmtId="0" xfId="0" applyAlignment="1" applyFill="1" applyFont="1">
      <alignment horizontal="center" readingOrder="0"/>
    </xf>
    <xf borderId="0" fillId="2" fontId="18" numFmtId="0" xfId="0" applyAlignment="1" applyFill="1" applyFont="1">
      <alignment horizontal="center"/>
    </xf>
    <xf borderId="0" fillId="2" fontId="18" numFmtId="0" xfId="0" applyFill="1" applyFont="1"/>
    <xf borderId="4" fillId="8" fontId="9" numFmtId="0" xfId="0" applyAlignment="1" applyBorder="1" applyFill="1" applyFont="1">
      <alignment horizontal="center" readingOrder="0" shrinkToFit="0" vertical="center" wrapText="0"/>
    </xf>
    <xf borderId="0" fillId="0" fontId="18" numFmtId="0" xfId="0" applyFont="1"/>
    <xf borderId="0" fillId="0" fontId="24" numFmtId="0" xfId="0" applyAlignment="1" applyFont="1">
      <alignment readingOrder="0" shrinkToFit="0" vertical="center" wrapText="0"/>
    </xf>
    <xf borderId="14" fillId="2" fontId="19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shrinkToFit="0" vertical="center" wrapText="0"/>
    </xf>
    <xf borderId="8" fillId="0" fontId="19" numFmtId="0" xfId="0" applyAlignment="1" applyBorder="1" applyFont="1">
      <alignment horizontal="center" readingOrder="0" vertical="center"/>
    </xf>
    <xf borderId="4" fillId="0" fontId="4" numFmtId="166" xfId="0" applyAlignment="1" applyBorder="1" applyFont="1" applyNumberFormat="1">
      <alignment horizontal="left" vertical="center"/>
    </xf>
    <xf borderId="0" fillId="0" fontId="24" numFmtId="0" xfId="0" applyAlignment="1" applyFont="1">
      <alignment horizontal="center" readingOrder="0" shrinkToFit="0" vertical="center" wrapText="0"/>
    </xf>
    <xf borderId="4" fillId="0" fontId="24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6" fontId="6" numFmtId="167" xfId="0" applyAlignment="1" applyBorder="1" applyFill="1" applyFont="1" applyNumberFormat="1">
      <alignment readingOrder="0" shrinkToFit="0" vertical="center" wrapText="0"/>
    </xf>
    <xf borderId="0" fillId="0" fontId="4" numFmtId="166" xfId="0" applyAlignment="1" applyFont="1" applyNumberFormat="1">
      <alignment horizontal="center" vertical="center"/>
    </xf>
    <xf borderId="4" fillId="4" fontId="6" numFmtId="164" xfId="0" applyAlignment="1" applyBorder="1" applyFill="1" applyFont="1" applyNumberFormat="1">
      <alignment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7" fontId="1" numFmtId="49" xfId="0" applyAlignment="1" applyBorder="1" applyFill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4" fillId="9" fontId="26" numFmtId="0" xfId="0" applyAlignment="1" applyBorder="1" applyFill="1" applyFont="1">
      <alignment horizontal="center" readingOrder="0" shrinkToFit="0" vertical="center" wrapText="0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9" numFmtId="165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9" numFmtId="49" xfId="0" applyAlignment="1" applyBorder="1" applyFont="1" applyNumberFormat="1">
      <alignment horizontal="center" readingOrder="0" shrinkToFit="0" vertical="center" wrapText="0"/>
    </xf>
    <xf borderId="4" fillId="0" fontId="9" numFmtId="49" xfId="0" applyAlignment="1" applyBorder="1" applyFont="1" applyNumberFormat="1">
      <alignment horizontal="center" readingOrder="0" vertical="center"/>
    </xf>
    <xf borderId="4" fillId="0" fontId="9" numFmtId="165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4" fillId="6" fontId="7" numFmtId="167" xfId="0" applyAlignment="1" applyBorder="1" applyFill="1" applyFont="1" applyNumberFormat="1">
      <alignment shrinkToFit="0" vertical="center" wrapText="0"/>
    </xf>
    <xf borderId="4" fillId="4" fontId="7" numFmtId="164" xfId="0" applyAlignment="1" applyBorder="1" applyFill="1" applyFont="1" applyNumberFormat="1">
      <alignment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4" fillId="0" fontId="4" numFmtId="166" xfId="0" applyAlignment="1" applyBorder="1" applyFont="1" applyNumberFormat="1">
      <alignment horizontal="left" readingOrder="0" vertical="center"/>
    </xf>
    <xf borderId="4" fillId="6" fontId="7" numFmtId="167" xfId="0" applyAlignment="1" applyBorder="1" applyFill="1" applyFont="1" applyNumberFormat="1">
      <alignment horizontal="center" readingOrder="0"/>
    </xf>
    <xf borderId="4" fillId="4" fontId="7" numFmtId="164" xfId="0" applyAlignment="1" applyBorder="1" applyFill="1" applyFont="1" applyNumberFormat="1">
      <alignment horizontal="center" readingOrder="0"/>
    </xf>
    <xf borderId="4" fillId="5" fontId="7" numFmtId="0" xfId="0" applyAlignment="1" applyBorder="1" applyFill="1" applyFont="1">
      <alignment horizontal="center"/>
    </xf>
    <xf borderId="4" fillId="0" fontId="7" numFmtId="0" xfId="0" applyAlignment="1" applyBorder="1" applyFont="1">
      <alignment horizontal="center" readingOrder="0"/>
    </xf>
    <xf borderId="4" fillId="0" fontId="4" numFmtId="165" xfId="0" applyAlignment="1" applyBorder="1" applyFont="1" applyNumberFormat="1">
      <alignment horizontal="center" readingOrder="0" vertical="center"/>
    </xf>
    <xf borderId="4" fillId="6" fontId="7" numFmtId="0" xfId="0" applyAlignment="1" applyBorder="1" applyFill="1" applyFont="1">
      <alignment horizontal="center"/>
    </xf>
    <xf borderId="4" fillId="4" fontId="7" numFmtId="164" xfId="0" applyAlignment="1" applyBorder="1" applyFill="1" applyFont="1" applyNumberFormat="1">
      <alignment horizontal="center"/>
    </xf>
    <xf borderId="4" fillId="5" fontId="7" numFmtId="164" xfId="0" applyAlignment="1" applyBorder="1" applyFill="1" applyFont="1" applyNumberFormat="1">
      <alignment horizontal="center" readingOrder="0"/>
    </xf>
    <xf borderId="4" fillId="0" fontId="7" numFmtId="0" xfId="0" applyAlignment="1" applyBorder="1" applyFont="1">
      <alignment horizontal="center"/>
    </xf>
    <xf borderId="4" fillId="0" fontId="3" numFmtId="165" xfId="0" applyAlignment="1" applyBorder="1" applyFont="1" applyNumberFormat="1">
      <alignment horizontal="center" vertical="center"/>
    </xf>
    <xf borderId="4" fillId="5" fontId="7" numFmtId="0" xfId="0" applyBorder="1" applyFill="1" applyFont="1"/>
    <xf borderId="4" fillId="0" fontId="9" numFmtId="167" xfId="0" applyAlignment="1" applyBorder="1" applyFont="1" applyNumberFormat="1">
      <alignment horizontal="center" readingOrder="0" vertical="center"/>
    </xf>
    <xf borderId="4" fillId="7" fontId="7" numFmtId="0" xfId="0" applyAlignment="1" applyBorder="1" applyFill="1" applyFont="1">
      <alignment horizontal="center" readingOrder="0"/>
    </xf>
    <xf borderId="4" fillId="0" fontId="9" numFmtId="49" xfId="0" applyAlignment="1" applyBorder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4" fillId="6" fontId="7" numFmtId="0" xfId="0" applyBorder="1" applyFill="1" applyFont="1"/>
    <xf borderId="4" fillId="0" fontId="6" numFmtId="0" xfId="0" applyAlignment="1" applyBorder="1" applyFont="1">
      <alignment horizontal="center" vertical="center"/>
    </xf>
    <xf borderId="4" fillId="4" fontId="7" numFmtId="164" xfId="0" applyBorder="1" applyFill="1" applyFont="1" applyNumberFormat="1"/>
    <xf borderId="0" fillId="6" fontId="7" numFmtId="0" xfId="0" applyFill="1" applyFont="1"/>
    <xf borderId="0" fillId="4" fontId="7" numFmtId="164" xfId="0" applyFill="1" applyFont="1" applyNumberFormat="1"/>
    <xf borderId="0" fillId="5" fontId="7" numFmtId="0" xfId="0" applyFill="1" applyFont="1"/>
    <xf borderId="4" fillId="0" fontId="4" numFmtId="49" xfId="0" applyAlignment="1" applyBorder="1" applyFont="1" applyNumberFormat="1">
      <alignment shrinkToFit="0" vertical="center" wrapText="0"/>
    </xf>
    <xf borderId="4" fillId="0" fontId="4" numFmtId="167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0" fontId="4" numFmtId="0" xfId="0" applyAlignment="1" applyBorder="1" applyFont="1">
      <alignment horizontal="center" vertical="center"/>
    </xf>
    <xf borderId="4" fillId="0" fontId="4" numFmtId="166" xfId="0" applyAlignment="1" applyBorder="1" applyFont="1" applyNumberFormat="1">
      <alignment horizontal="center" vertical="center"/>
    </xf>
    <xf borderId="4" fillId="0" fontId="4" numFmtId="165" xfId="0" applyAlignment="1" applyBorder="1" applyFont="1" applyNumberFormat="1">
      <alignment horizontal="center" vertical="center"/>
    </xf>
    <xf borderId="4" fillId="0" fontId="4" numFmtId="49" xfId="0" applyAlignment="1" applyBorder="1" applyFont="1" applyNumberFormat="1">
      <alignment horizontal="left" vertical="center"/>
    </xf>
    <xf borderId="0" fillId="0" fontId="7" numFmtId="0" xfId="0" applyAlignment="1" applyFont="1">
      <alignment horizontal="center" vertical="center"/>
    </xf>
    <xf borderId="4" fillId="0" fontId="9" numFmtId="0" xfId="0" applyAlignment="1" applyBorder="1" applyFont="1">
      <alignment horizontal="center" readingOrder="0" shrinkToFit="0" vertical="center" wrapText="0"/>
    </xf>
    <xf borderId="4" fillId="0" fontId="4" numFmtId="169" xfId="0" applyAlignment="1" applyBorder="1" applyFont="1" applyNumberFormat="1">
      <alignment horizontal="center" readingOrder="0" shrinkToFit="0" vertical="center" wrapText="0"/>
    </xf>
    <xf borderId="0" fillId="0" fontId="4" numFmtId="165" xfId="0" applyAlignment="1" applyFont="1" applyNumberFormat="1">
      <alignment horizontal="center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9" numFmtId="165" xfId="0" applyAlignment="1" applyBorder="1" applyFont="1" applyNumberFormat="1">
      <alignment horizontal="center" readingOrder="0" vertical="center"/>
    </xf>
    <xf borderId="4" fillId="0" fontId="9" numFmtId="0" xfId="0" applyAlignment="1" applyBorder="1" applyFont="1">
      <alignment horizontal="center" readingOrder="0" shrinkToFit="0" vertical="center" wrapText="0"/>
    </xf>
    <xf borderId="4" fillId="9" fontId="10" numFmtId="166" xfId="0" applyAlignment="1" applyBorder="1" applyFill="1" applyFont="1" applyNumberFormat="1">
      <alignment horizontal="center" vertical="center"/>
    </xf>
    <xf borderId="4" fillId="9" fontId="3" numFmtId="0" xfId="0" applyAlignment="1" applyBorder="1" applyFill="1" applyFont="1">
      <alignment horizontal="center" readingOrder="0" shrinkToFit="0" vertical="center" wrapText="0"/>
    </xf>
    <xf borderId="4" fillId="21" fontId="4" numFmtId="166" xfId="0" applyAlignment="1" applyBorder="1" applyFill="1" applyFont="1" applyNumberFormat="1">
      <alignment horizontal="left" vertical="center"/>
    </xf>
    <xf borderId="4" fillId="21" fontId="10" numFmtId="166" xfId="0" applyAlignment="1" applyBorder="1" applyFill="1" applyFont="1" applyNumberFormat="1">
      <alignment horizontal="center" vertical="center"/>
    </xf>
    <xf borderId="4" fillId="21" fontId="4" numFmtId="0" xfId="0" applyAlignment="1" applyBorder="1" applyFill="1" applyFont="1">
      <alignment horizontal="center" readingOrder="0" vertical="center"/>
    </xf>
    <xf borderId="4" fillId="21" fontId="4" numFmtId="165" xfId="0" applyAlignment="1" applyBorder="1" applyFill="1" applyFont="1" applyNumberFormat="1">
      <alignment horizontal="center" vertical="center"/>
    </xf>
    <xf borderId="4" fillId="9" fontId="10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4" fillId="8" fontId="9" numFmtId="49" xfId="0" applyAlignment="1" applyBorder="1" applyFill="1" applyFont="1" applyNumberFormat="1">
      <alignment horizontal="left" readingOrder="0" vertical="center"/>
    </xf>
    <xf borderId="4" fillId="5" fontId="1" numFmtId="164" xfId="0" applyAlignment="1" applyBorder="1" applyFill="1" applyFont="1" applyNumberFormat="1">
      <alignment horizontal="center" readingOrder="0"/>
    </xf>
    <xf borderId="4" fillId="9" fontId="26" numFmtId="0" xfId="0" applyAlignment="1" applyBorder="1" applyFill="1" applyFont="1">
      <alignment horizontal="center" readingOrder="0" vertical="center"/>
    </xf>
    <xf borderId="4" fillId="7" fontId="1" numFmtId="166" xfId="0" applyAlignment="1" applyBorder="1" applyFill="1" applyFont="1" applyNumberFormat="1">
      <alignment readingOrder="0" shrinkToFit="0" vertical="center" wrapText="0"/>
    </xf>
    <xf borderId="4" fillId="0" fontId="9" numFmtId="165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 vertical="center"/>
    </xf>
    <xf borderId="4" fillId="0" fontId="2" numFmtId="0" xfId="0" applyAlignment="1" applyBorder="1" applyFont="1">
      <alignment readingOrder="0" vertical="bottom"/>
    </xf>
    <xf borderId="0" fillId="0" fontId="6" numFmtId="0" xfId="0" applyAlignment="1" applyFont="1">
      <alignment readingOrder="0" shrinkToFit="0" vertical="center" wrapText="0"/>
    </xf>
    <xf borderId="4" fillId="0" fontId="27" numFmtId="0" xfId="0" applyAlignment="1" applyBorder="1" applyFont="1">
      <alignment horizontal="center" readingOrder="0" vertical="bottom"/>
    </xf>
    <xf borderId="4" fillId="9" fontId="28" numFmtId="166" xfId="0" applyAlignment="1" applyBorder="1" applyFill="1" applyFont="1" applyNumberFormat="1">
      <alignment horizontal="center" vertical="bottom"/>
    </xf>
    <xf borderId="4" fillId="0" fontId="9" numFmtId="0" xfId="0" applyAlignment="1" applyBorder="1" applyFont="1">
      <alignment horizontal="center" shrinkToFit="0" vertical="center" wrapText="0"/>
    </xf>
    <xf borderId="4" fillId="0" fontId="29" numFmtId="166" xfId="0" applyAlignment="1" applyBorder="1" applyFont="1" applyNumberFormat="1">
      <alignment vertical="bottom"/>
    </xf>
    <xf borderId="4" fillId="0" fontId="29" numFmtId="0" xfId="0" applyAlignment="1" applyBorder="1" applyFont="1">
      <alignment horizontal="center" readingOrder="0" vertical="bottom"/>
    </xf>
    <xf borderId="4" fillId="8" fontId="30" numFmtId="0" xfId="0" applyAlignment="1" applyBorder="1" applyFill="1" applyFont="1">
      <alignment horizontal="center"/>
    </xf>
    <xf borderId="4" fillId="0" fontId="31" numFmtId="0" xfId="0" applyAlignment="1" applyBorder="1" applyFont="1">
      <alignment horizontal="center"/>
    </xf>
    <xf borderId="4" fillId="4" fontId="31" numFmtId="164" xfId="0" applyAlignment="1" applyBorder="1" applyFill="1" applyFont="1" applyNumberFormat="1">
      <alignment horizontal="center"/>
    </xf>
    <xf borderId="4" fillId="0" fontId="29" numFmtId="165" xfId="0" applyAlignment="1" applyBorder="1" applyFont="1" applyNumberFormat="1">
      <alignment horizontal="center" readingOrder="0" vertical="bottom"/>
    </xf>
    <xf borderId="4" fillId="5" fontId="31" numFmtId="164" xfId="0" applyAlignment="1" applyBorder="1" applyFill="1" applyFont="1" applyNumberFormat="1">
      <alignment horizontal="center"/>
    </xf>
    <xf borderId="4" fillId="0" fontId="29" numFmtId="49" xfId="0" applyAlignment="1" applyBorder="1" applyFont="1" applyNumberFormat="1">
      <alignment horizontal="center" vertical="bottom"/>
    </xf>
    <xf borderId="4" fillId="9" fontId="32" numFmtId="166" xfId="0" applyAlignment="1" applyBorder="1" applyFill="1" applyFont="1" applyNumberFormat="1">
      <alignment horizontal="center" vertical="bottom"/>
    </xf>
    <xf borderId="4" fillId="0" fontId="29" numFmtId="0" xfId="0" applyAlignment="1" applyBorder="1" applyFont="1">
      <alignment horizontal="center" vertical="bottom"/>
    </xf>
    <xf borderId="4" fillId="0" fontId="29" numFmtId="166" xfId="0" applyAlignment="1" applyBorder="1" applyFont="1" applyNumberFormat="1">
      <alignment horizontal="center" vertical="bottom"/>
    </xf>
    <xf borderId="4" fillId="0" fontId="29" numFmtId="165" xfId="0" applyAlignment="1" applyBorder="1" applyFont="1" applyNumberForma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0" fontId="4" numFmtId="166" xfId="0" applyAlignment="1" applyBorder="1" applyFont="1" applyNumberFormat="1">
      <alignment readingOrder="0" vertical="bottom"/>
    </xf>
    <xf borderId="4" fillId="0" fontId="4" numFmtId="49" xfId="0" applyAlignment="1" applyBorder="1" applyFont="1" applyNumberFormat="1">
      <alignment horizontal="center" readingOrder="0" vertical="bottom"/>
    </xf>
    <xf borderId="4" fillId="0" fontId="4" numFmtId="49" xfId="0" applyAlignment="1" applyBorder="1" applyFont="1" applyNumberFormat="1">
      <alignment readingOrder="0" vertical="bottom"/>
    </xf>
    <xf borderId="4" fillId="9" fontId="26" numFmtId="0" xfId="0" applyAlignment="1" applyBorder="1" applyFill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9" numFmtId="165" xfId="0" applyAlignment="1" applyBorder="1" applyFont="1" applyNumberFormat="1">
      <alignment horizontal="center" readingOrder="0"/>
    </xf>
    <xf borderId="4" fillId="0" fontId="9" numFmtId="49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center"/>
    </xf>
    <xf borderId="4" fillId="0" fontId="4" numFmtId="166" xfId="0" applyAlignment="1" applyBorder="1" applyFont="1" applyNumberFormat="1">
      <alignment vertical="center"/>
    </xf>
    <xf borderId="4" fillId="8" fontId="9" numFmtId="0" xfId="0" applyAlignment="1" applyBorder="1" applyFill="1" applyFont="1">
      <alignment horizontal="center" vertical="center"/>
    </xf>
    <xf borderId="0" fillId="20" fontId="18" numFmtId="164" xfId="0" applyFill="1" applyFont="1" applyNumberFormat="1"/>
    <xf borderId="0" fillId="5" fontId="18" numFmtId="164" xfId="0" applyFill="1" applyFont="1" applyNumberFormat="1"/>
    <xf borderId="0" fillId="0" fontId="18" numFmtId="0" xfId="0" applyAlignment="1" applyFont="1">
      <alignment horizontal="center"/>
    </xf>
    <xf borderId="0" fillId="0" fontId="7" numFmtId="164" xfId="0" applyFont="1" applyNumberFormat="1"/>
    <xf borderId="4" fillId="4" fontId="11" numFmtId="164" xfId="0" applyAlignment="1" applyBorder="1" applyFill="1" applyFont="1" applyNumberFormat="1">
      <alignment horizontal="center" readingOrder="0" vertical="center"/>
    </xf>
    <xf borderId="4" fillId="5" fontId="11" numFmtId="164" xfId="0" applyAlignment="1" applyBorder="1" applyFill="1" applyFont="1" applyNumberFormat="1">
      <alignment horizontal="center" readingOrder="0" vertical="center"/>
    </xf>
    <xf borderId="4" fillId="0" fontId="11" numFmtId="164" xfId="0" applyAlignment="1" applyBorder="1" applyFont="1" applyNumberFormat="1">
      <alignment horizontal="center" readingOrder="0" vertical="center"/>
    </xf>
    <xf borderId="4" fillId="4" fontId="11" numFmtId="164" xfId="0" applyAlignment="1" applyBorder="1" applyFill="1" applyFont="1" applyNumberFormat="1">
      <alignment horizontal="center" vertical="center"/>
    </xf>
    <xf borderId="4" fillId="5" fontId="11" numFmtId="164" xfId="0" applyAlignment="1" applyBorder="1" applyFill="1" applyFont="1" applyNumberFormat="1">
      <alignment horizontal="center" vertical="center"/>
    </xf>
    <xf borderId="4" fillId="0" fontId="11" numFmtId="164" xfId="0" applyAlignment="1" applyBorder="1" applyFont="1" applyNumberFormat="1">
      <alignment horizontal="center" vertical="center"/>
    </xf>
    <xf borderId="4" fillId="0" fontId="4" numFmtId="166" xfId="0" applyAlignment="1" applyBorder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0" fillId="0" fontId="18" numFmtId="0" xfId="0" applyAlignment="1" applyFont="1">
      <alignment horizontal="left"/>
    </xf>
    <xf borderId="0" fillId="0" fontId="5" numFmtId="164" xfId="0" applyFont="1" applyNumberFormat="1"/>
    <xf borderId="4" fillId="7" fontId="1" numFmtId="0" xfId="0" applyAlignment="1" applyBorder="1" applyFill="1" applyFont="1">
      <alignment readingOrder="0" shrinkToFit="0" vertical="center" wrapText="0"/>
    </xf>
    <xf borderId="4" fillId="20" fontId="3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16" numFmtId="165" xfId="0" applyAlignment="1" applyFont="1" applyNumberFormat="1">
      <alignment horizontal="center" readingOrder="0"/>
    </xf>
    <xf borderId="0" fillId="2" fontId="16" numFmtId="164" xfId="0" applyAlignment="1" applyFill="1" applyFont="1" applyNumberFormat="1">
      <alignment horizontal="center" readingOrder="0"/>
    </xf>
    <xf borderId="0" fillId="2" fontId="16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33" numFmtId="0" xfId="0" applyAlignment="1" applyFont="1">
      <alignment horizontal="center" readingOrder="0"/>
    </xf>
    <xf borderId="4" fillId="0" fontId="16" numFmtId="165" xfId="0" applyAlignment="1" applyBorder="1" applyFont="1" applyNumberFormat="1">
      <alignment horizontal="center" readingOrder="0"/>
    </xf>
    <xf borderId="4" fillId="13" fontId="16" numFmtId="164" xfId="0" applyAlignment="1" applyBorder="1" applyFill="1" applyFont="1" applyNumberFormat="1">
      <alignment horizontal="center" readingOrder="0"/>
    </xf>
    <xf borderId="4" fillId="14" fontId="16" numFmtId="0" xfId="0" applyAlignment="1" applyBorder="1" applyFill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4" fillId="0" fontId="24" numFmtId="165" xfId="0" applyAlignment="1" applyBorder="1" applyFont="1" applyNumberFormat="1">
      <alignment horizontal="center" readingOrder="0"/>
    </xf>
    <xf borderId="4" fillId="13" fontId="24" numFmtId="164" xfId="0" applyAlignment="1" applyBorder="1" applyFill="1" applyFont="1" applyNumberFormat="1">
      <alignment horizontal="center" readingOrder="0"/>
    </xf>
    <xf borderId="4" fillId="0" fontId="24" numFmtId="0" xfId="0" applyAlignment="1" applyBorder="1" applyFont="1">
      <alignment horizontal="center" readingOrder="0"/>
    </xf>
    <xf borderId="4" fillId="14" fontId="16" numFmtId="164" xfId="0" applyAlignment="1" applyBorder="1" applyFill="1" applyFont="1" applyNumberFormat="1">
      <alignment horizontal="center" readingOrder="0"/>
    </xf>
    <xf borderId="0" fillId="3" fontId="34" numFmtId="165" xfId="0" applyAlignment="1" applyFill="1" applyFont="1" applyNumberFormat="1">
      <alignment horizontal="center" vertical="bottom"/>
    </xf>
    <xf borderId="0" fillId="20" fontId="34" numFmtId="164" xfId="0" applyAlignment="1" applyFill="1" applyFont="1" applyNumberFormat="1">
      <alignment horizontal="center" vertical="bottom"/>
    </xf>
    <xf borderId="0" fillId="5" fontId="34" numFmtId="164" xfId="0" applyAlignment="1" applyFill="1" applyFont="1" applyNumberFormat="1">
      <alignment horizontal="center" vertical="bottom"/>
    </xf>
    <xf borderId="0" fillId="0" fontId="23" numFmtId="0" xfId="0" applyAlignment="1" applyFont="1">
      <alignment horizontal="center" readingOrder="0"/>
    </xf>
    <xf borderId="4" fillId="6" fontId="34" numFmtId="165" xfId="0" applyAlignment="1" applyBorder="1" applyFill="1" applyFont="1" applyNumberFormat="1">
      <alignment horizontal="center" vertical="bottom"/>
    </xf>
    <xf borderId="4" fillId="4" fontId="34" numFmtId="164" xfId="0" applyAlignment="1" applyBorder="1" applyFill="1" applyFont="1" applyNumberFormat="1">
      <alignment horizontal="center" vertical="bottom"/>
    </xf>
    <xf borderId="4" fillId="5" fontId="34" numFmtId="164" xfId="0" applyAlignment="1" applyBorder="1" applyFill="1" applyFont="1" applyNumberFormat="1">
      <alignment horizontal="center" vertical="bottom"/>
    </xf>
    <xf borderId="4" fillId="3" fontId="34" numFmtId="0" xfId="0" applyAlignment="1" applyBorder="1" applyFill="1" applyFont="1">
      <alignment horizontal="center" readingOrder="0" vertical="bottom"/>
    </xf>
    <xf borderId="4" fillId="3" fontId="34" numFmtId="0" xfId="0" applyAlignment="1" applyBorder="1" applyFill="1" applyFont="1">
      <alignment horizontal="center" vertical="bottom"/>
    </xf>
    <xf borderId="4" fillId="5" fontId="7" numFmtId="164" xfId="0" applyAlignment="1" applyBorder="1" applyFill="1" applyFont="1" applyNumberFormat="1">
      <alignment horizontal="center"/>
    </xf>
    <xf borderId="0" fillId="4" fontId="35" numFmtId="164" xfId="0" applyAlignment="1" applyFill="1" applyFont="1" applyNumberFormat="1">
      <alignment horizontal="center" readingOrder="0"/>
    </xf>
    <xf borderId="4" fillId="0" fontId="1" numFmtId="49" xfId="0" applyAlignment="1" applyBorder="1" applyFont="1" applyNumberFormat="1">
      <alignment horizontal="center" readingOrder="0"/>
    </xf>
    <xf borderId="4" fillId="2" fontId="35" numFmtId="0" xfId="0" applyAlignment="1" applyBorder="1" applyFill="1" applyFont="1">
      <alignment horizontal="center" readingOrder="0"/>
    </xf>
    <xf borderId="4" fillId="5" fontId="35" numFmtId="164" xfId="0" applyAlignment="1" applyBorder="1" applyFill="1" applyFont="1" applyNumberFormat="1">
      <alignment horizontal="center" readingOrder="0"/>
    </xf>
    <xf borderId="0" fillId="5" fontId="35" numFmtId="164" xfId="0" applyAlignment="1" applyFill="1" applyFont="1" applyNumberFormat="1">
      <alignment horizontal="center" readingOrder="0"/>
    </xf>
    <xf borderId="4" fillId="4" fontId="35" numFmtId="164" xfId="0" applyAlignment="1" applyBorder="1" applyFill="1" applyFont="1" applyNumberFormat="1">
      <alignment horizontal="center" readingOrder="0"/>
    </xf>
    <xf borderId="4" fillId="6" fontId="35" numFmtId="167" xfId="0" applyAlignment="1" applyBorder="1" applyFill="1" applyFont="1" applyNumberFormat="1">
      <alignment horizontal="center" readingOrder="0"/>
    </xf>
    <xf borderId="4" fillId="4" fontId="36" numFmtId="164" xfId="0" applyAlignment="1" applyBorder="1" applyFill="1" applyFont="1" applyNumberFormat="1">
      <alignment horizontal="center" readingOrder="0"/>
    </xf>
    <xf borderId="4" fillId="0" fontId="7" numFmtId="167" xfId="0" applyAlignment="1" applyBorder="1" applyFont="1" applyNumberFormat="1">
      <alignment horizontal="center" readingOrder="0"/>
    </xf>
    <xf borderId="4" fillId="2" fontId="7" numFmtId="164" xfId="0" applyAlignment="1" applyBorder="1" applyFill="1" applyFont="1" applyNumberFormat="1">
      <alignment horizontal="center" readingOrder="0"/>
    </xf>
    <xf borderId="4" fillId="2" fontId="7" numFmtId="164" xfId="0" applyAlignment="1" applyBorder="1" applyFill="1" applyFont="1" applyNumberFormat="1">
      <alignment horizontal="center"/>
    </xf>
    <xf borderId="4" fillId="2" fontId="35" numFmtId="164" xfId="0" applyAlignment="1" applyBorder="1" applyFill="1" applyFont="1" applyNumberFormat="1">
      <alignment horizontal="center" readingOrder="0"/>
    </xf>
    <xf borderId="4" fillId="0" fontId="7" numFmtId="169" xfId="0" applyAlignment="1" applyBorder="1" applyFont="1" applyNumberFormat="1">
      <alignment horizontal="center" readingOrder="0"/>
    </xf>
    <xf borderId="4" fillId="2" fontId="7" numFmtId="0" xfId="0" applyAlignment="1" applyBorder="1" applyFill="1" applyFont="1">
      <alignment horizontal="center" readingOrder="0"/>
    </xf>
    <xf borderId="4" fillId="2" fontId="37" numFmtId="164" xfId="0" applyAlignment="1" applyBorder="1" applyFill="1" applyFont="1" applyNumberFormat="1">
      <alignment horizontal="center" readingOrder="0"/>
    </xf>
    <xf borderId="4" fillId="2" fontId="38" numFmtId="164" xfId="0" applyAlignment="1" applyBorder="1" applyFill="1" applyFont="1" applyNumberFormat="1">
      <alignment horizontal="center" readingOrder="0"/>
    </xf>
    <xf borderId="0" fillId="2" fontId="7" numFmtId="0" xfId="0" applyFill="1" applyFont="1"/>
    <xf borderId="0" fillId="2" fontId="7" numFmtId="164" xfId="0" applyFill="1" applyFont="1" applyNumberFormat="1"/>
    <xf borderId="4" fillId="0" fontId="4" numFmtId="166" xfId="0" applyAlignment="1" applyBorder="1" applyFont="1" applyNumberFormat="1">
      <alignment horizontal="left" shrinkToFit="0" vertical="center" wrapText="0"/>
    </xf>
    <xf borderId="0" fillId="5" fontId="7" numFmtId="164" xfId="0" applyFill="1" applyFont="1" applyNumberFormat="1"/>
    <xf borderId="4" fillId="0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0"/>
    </xf>
    <xf borderId="4" fillId="7" fontId="4" numFmtId="0" xfId="0" applyAlignment="1" applyBorder="1" applyFill="1" applyFont="1">
      <alignment horizontal="center" readingOrder="0" shrinkToFit="0" vertical="center" wrapText="0"/>
    </xf>
    <xf borderId="4" fillId="0" fontId="4" numFmtId="166" xfId="0" applyAlignment="1" applyBorder="1" applyFont="1" applyNumberFormat="1">
      <alignment horizontal="center" readingOrder="0" shrinkToFit="0" vertical="center" wrapText="0"/>
    </xf>
    <xf borderId="4" fillId="3" fontId="34" numFmtId="165" xfId="0" applyAlignment="1" applyBorder="1" applyFill="1" applyFont="1" applyNumberFormat="1">
      <alignment horizontal="center" vertical="bottom"/>
    </xf>
    <xf borderId="4" fillId="20" fontId="34" numFmtId="164" xfId="0" applyAlignment="1" applyBorder="1" applyFill="1" applyFont="1" applyNumberFormat="1">
      <alignment horizontal="center" vertical="bottom"/>
    </xf>
    <xf borderId="4" fillId="20" fontId="7" numFmtId="164" xfId="0" applyAlignment="1" applyBorder="1" applyFill="1" applyFont="1" applyNumberFormat="1">
      <alignment horizontal="center" readingOrder="0"/>
    </xf>
    <xf borderId="4" fillId="3" fontId="7" numFmtId="0" xfId="0" applyAlignment="1" applyBorder="1" applyFill="1" applyFont="1">
      <alignment horizontal="center" readingOrder="0"/>
    </xf>
    <xf borderId="4" fillId="0" fontId="7" numFmtId="164" xfId="0" applyAlignment="1" applyBorder="1" applyFont="1" applyNumberFormat="1">
      <alignment horizontal="center" readingOrder="0"/>
    </xf>
    <xf borderId="0" fillId="20" fontId="35" numFmtId="164" xfId="0" applyAlignment="1" applyFill="1" applyFont="1" applyNumberFormat="1">
      <alignment horizontal="center" readingOrder="0"/>
    </xf>
    <xf borderId="0" fillId="0" fontId="35" numFmtId="164" xfId="0" applyAlignment="1" applyFont="1" applyNumberFormat="1">
      <alignment horizontal="center" readingOrder="0"/>
    </xf>
    <xf quotePrefix="1" borderId="0" fillId="0" fontId="7" numFmtId="0" xfId="0" applyAlignment="1" applyFont="1">
      <alignment readingOrder="0"/>
    </xf>
    <xf borderId="4" fillId="0" fontId="35" numFmtId="164" xfId="0" applyAlignment="1" applyBorder="1" applyFont="1" applyNumberFormat="1">
      <alignment horizontal="center" readingOrder="0"/>
    </xf>
    <xf borderId="4" fillId="2" fontId="5" numFmtId="0" xfId="0" applyAlignment="1" applyBorder="1" applyFill="1" applyFont="1">
      <alignment horizontal="center" readingOrder="0"/>
    </xf>
    <xf borderId="4" fillId="20" fontId="35" numFmtId="164" xfId="0" applyAlignment="1" applyBorder="1" applyFill="1" applyFont="1" applyNumberFormat="1">
      <alignment horizontal="center" readingOrder="0"/>
    </xf>
    <xf borderId="4" fillId="2" fontId="35" numFmtId="167" xfId="0" applyAlignment="1" applyBorder="1" applyFill="1" applyFont="1" applyNumberFormat="1">
      <alignment horizontal="center" readingOrder="0"/>
    </xf>
    <xf borderId="4" fillId="20" fontId="36" numFmtId="164" xfId="0" applyAlignment="1" applyBorder="1" applyFill="1" applyFont="1" applyNumberFormat="1">
      <alignment horizontal="center" readingOrder="0"/>
    </xf>
    <xf borderId="4" fillId="20" fontId="37" numFmtId="164" xfId="0" applyAlignment="1" applyBorder="1" applyFill="1" applyFont="1" applyNumberFormat="1">
      <alignment horizontal="center" readingOrder="0"/>
    </xf>
    <xf borderId="4" fillId="20" fontId="38" numFmtId="164" xfId="0" applyAlignment="1" applyBorder="1" applyFill="1" applyFont="1" applyNumberFormat="1">
      <alignment horizontal="center" readingOrder="0"/>
    </xf>
    <xf borderId="4" fillId="20" fontId="7" numFmtId="164" xfId="0" applyAlignment="1" applyBorder="1" applyFill="1" applyFont="1" applyNumberFormat="1">
      <alignment horizontal="center"/>
    </xf>
    <xf borderId="4" fillId="0" fontId="36" numFmtId="167" xfId="0" applyAlignment="1" applyBorder="1" applyFont="1" applyNumberFormat="1">
      <alignment horizontal="center" vertical="bottom"/>
    </xf>
    <xf borderId="4" fillId="20" fontId="36" numFmtId="164" xfId="0" applyAlignment="1" applyBorder="1" applyFill="1" applyFont="1" applyNumberFormat="1">
      <alignment horizontal="center" vertical="bottom"/>
    </xf>
    <xf borderId="4" fillId="5" fontId="36" numFmtId="164" xfId="0" applyAlignment="1" applyBorder="1" applyFill="1" applyFont="1" applyNumberFormat="1">
      <alignment vertical="bottom"/>
    </xf>
    <xf borderId="4" fillId="2" fontId="36" numFmtId="0" xfId="0" applyAlignment="1" applyBorder="1" applyFill="1" applyFont="1">
      <alignment horizontal="center" vertical="bottom"/>
    </xf>
    <xf borderId="4" fillId="7" fontId="1" numFmtId="0" xfId="0" applyAlignment="1" applyBorder="1" applyFill="1" applyFont="1">
      <alignment horizontal="center" vertical="bottom"/>
    </xf>
    <xf borderId="0" fillId="5" fontId="7" numFmtId="164" xfId="0" applyAlignment="1" applyFill="1" applyFont="1" applyNumberFormat="1">
      <alignment horizontal="center"/>
    </xf>
    <xf borderId="4" fillId="0" fontId="4" numFmtId="0" xfId="0" applyAlignment="1" applyBorder="1" applyFont="1">
      <alignment horizontal="center" shrinkToFit="0" vertical="center" wrapText="0"/>
    </xf>
    <xf borderId="4" fillId="7" fontId="39" numFmtId="0" xfId="0" applyAlignment="1" applyBorder="1" applyFill="1" applyFont="1">
      <alignment horizontal="center" readingOrder="0" shrinkToFit="0" vertical="center" wrapText="0"/>
    </xf>
    <xf borderId="4" fillId="22" fontId="3" numFmtId="0" xfId="0" applyAlignment="1" applyBorder="1" applyFill="1" applyFont="1">
      <alignment horizontal="center" readingOrder="0" shrinkToFit="0" vertical="center" wrapText="0"/>
    </xf>
    <xf borderId="0" fillId="9" fontId="10" numFmtId="0" xfId="0" applyAlignment="1" applyFill="1" applyFont="1">
      <alignment horizontal="center" readingOrder="0" shrinkToFit="0" vertical="center" wrapText="0"/>
    </xf>
    <xf borderId="0" fillId="7" fontId="3" numFmtId="0" xfId="0" applyAlignment="1" applyFill="1" applyFont="1">
      <alignment horizontal="center" readingOrder="0" shrinkToFit="0" vertical="center" wrapText="0"/>
    </xf>
    <xf borderId="0" fillId="21" fontId="3" numFmtId="0" xfId="0" applyAlignment="1" applyFill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4" fillId="0" fontId="6" numFmtId="0" xfId="0" applyAlignment="1" applyBorder="1" applyFont="1">
      <alignment readingOrder="0" shrinkToFit="0" vertical="center" wrapText="0"/>
    </xf>
    <xf borderId="0" fillId="7" fontId="6" numFmtId="0" xfId="0" applyAlignment="1" applyFill="1" applyFont="1">
      <alignment shrinkToFit="0" vertical="center" wrapText="0"/>
    </xf>
    <xf borderId="4" fillId="7" fontId="6" numFmtId="0" xfId="0" applyAlignment="1" applyBorder="1" applyFill="1" applyFont="1">
      <alignment shrinkToFit="0" vertical="center" wrapText="0"/>
    </xf>
    <xf borderId="4" fillId="0" fontId="9" numFmtId="165" xfId="0" applyAlignment="1" applyBorder="1" applyFont="1" applyNumberFormat="1">
      <alignment horizontal="center" shrinkToFit="0" vertical="center" wrapText="0"/>
    </xf>
    <xf borderId="4" fillId="0" fontId="4" numFmtId="167" xfId="0" applyAlignment="1" applyBorder="1" applyFont="1" applyNumberFormat="1">
      <alignment horizontal="center" readingOrder="0" shrinkToFit="0" vertical="center" wrapText="0"/>
    </xf>
    <xf borderId="4" fillId="21" fontId="3" numFmtId="0" xfId="0" applyAlignment="1" applyBorder="1" applyFill="1" applyFont="1">
      <alignment horizontal="center" readingOrder="0" shrinkToFit="0" vertical="center" wrapText="0"/>
    </xf>
    <xf borderId="4" fillId="0" fontId="6" numFmtId="49" xfId="0" applyAlignment="1" applyBorder="1" applyFont="1" applyNumberFormat="1">
      <alignment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0" fontId="3" numFmtId="165" xfId="0" applyAlignment="1" applyBorder="1" applyFont="1" applyNumberFormat="1">
      <alignment horizontal="center" shrinkToFit="0" vertical="center" wrapText="0"/>
    </xf>
    <xf borderId="4" fillId="0" fontId="4" numFmtId="165" xfId="0" applyAlignment="1" applyBorder="1" applyFont="1" applyNumberForma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4" fillId="0" fontId="4" numFmtId="165" xfId="0" applyAlignment="1" applyBorder="1" applyFont="1" applyNumberFormat="1">
      <alignment readingOrder="0" shrinkToFit="0" vertical="center" wrapText="0"/>
    </xf>
    <xf borderId="0" fillId="0" fontId="4" numFmtId="166" xfId="0" applyAlignment="1" applyFont="1" applyNumberFormat="1">
      <alignment horizontal="center" shrinkToFit="0" vertical="center" wrapText="0"/>
    </xf>
    <xf borderId="4" fillId="0" fontId="9" numFmtId="165" xfId="0" applyAlignment="1" applyBorder="1" applyFont="1" applyNumberFormat="1">
      <alignment horizontal="center" shrinkToFit="0" vertical="center" wrapText="0"/>
    </xf>
    <xf borderId="4" fillId="9" fontId="26" numFmtId="0" xfId="0" applyAlignment="1" applyBorder="1" applyFill="1" applyFont="1">
      <alignment horizontal="center" shrinkToFit="0" vertical="center" wrapText="0"/>
    </xf>
    <xf borderId="4" fillId="0" fontId="9" numFmtId="167" xfId="0" applyAlignment="1" applyBorder="1" applyFont="1" applyNumberFormat="1">
      <alignment horizontal="center" readingOrder="0" shrinkToFit="0" vertical="center" wrapText="0"/>
    </xf>
    <xf borderId="4" fillId="0" fontId="9" numFmtId="165" xfId="0" applyAlignment="1" applyBorder="1" applyFont="1" applyNumberFormat="1">
      <alignment shrinkToFit="0" vertical="center" wrapText="0"/>
    </xf>
    <xf borderId="4" fillId="0" fontId="9" numFmtId="49" xfId="0" applyAlignment="1" applyBorder="1" applyFont="1" applyNumberFormat="1">
      <alignment shrinkToFit="0" vertical="center" wrapText="0"/>
    </xf>
    <xf borderId="0" fillId="0" fontId="9" numFmtId="0" xfId="0" applyAlignment="1" applyFont="1">
      <alignment horizontal="center" shrinkToFit="0" vertical="center" wrapText="0"/>
    </xf>
    <xf borderId="4" fillId="0" fontId="6" numFmtId="0" xfId="0" applyAlignment="1" applyBorder="1" applyFont="1">
      <alignment shrinkToFit="0" vertical="center" wrapText="0"/>
    </xf>
    <xf borderId="4" fillId="0" fontId="6" numFmtId="165" xfId="0" applyAlignment="1" applyBorder="1" applyFont="1" applyNumberFormat="1">
      <alignment shrinkToFit="0" vertical="center" wrapText="0"/>
    </xf>
    <xf borderId="4" fillId="0" fontId="9" numFmtId="49" xfId="0" applyAlignment="1" applyBorder="1" applyFont="1" applyNumberFormat="1">
      <alignment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4" fillId="9" fontId="40" numFmtId="0" xfId="0" applyAlignment="1" applyBorder="1" applyFill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4" fillId="0" fontId="6" numFmtId="0" xfId="0" applyAlignment="1" applyBorder="1" applyFont="1">
      <alignment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9" numFmtId="165" xfId="0" applyAlignment="1" applyFont="1" applyNumberFormat="1">
      <alignment horizontal="center" readingOrder="0" shrinkToFit="0" vertical="center" wrapText="0"/>
    </xf>
    <xf borderId="0" fillId="0" fontId="9" numFmtId="49" xfId="0" applyAlignment="1" applyFont="1" applyNumberFormat="1">
      <alignment horizontal="center" readingOrder="0" shrinkToFit="0" vertical="center" wrapText="0"/>
    </xf>
    <xf borderId="0" fillId="9" fontId="26" numFmtId="0" xfId="0" applyAlignment="1" applyFill="1" applyFont="1">
      <alignment horizontal="center" readingOrder="0" shrinkToFit="0" vertical="center" wrapText="0"/>
    </xf>
    <xf borderId="0" fillId="0" fontId="9" numFmtId="167" xfId="0" applyAlignment="1" applyFont="1" applyNumberFormat="1">
      <alignment horizontal="center" readingOrder="0" shrinkToFit="0" vertical="center" wrapText="0"/>
    </xf>
    <xf borderId="0" fillId="0" fontId="9" numFmtId="165" xfId="0" applyAlignment="1" applyFont="1" applyNumberFormat="1">
      <alignment shrinkToFit="0" vertical="center" wrapText="0"/>
    </xf>
    <xf borderId="0" fillId="0" fontId="9" numFmtId="165" xfId="0" applyAlignment="1" applyFont="1" applyNumberFormat="1">
      <alignment horizontal="center" shrinkToFit="0" vertical="center" wrapText="0"/>
    </xf>
    <xf borderId="0" fillId="0" fontId="9" numFmtId="49" xfId="0" applyAlignment="1" applyFont="1" applyNumberFormat="1">
      <alignment readingOrder="0" shrinkToFit="0" vertical="center" wrapText="0"/>
    </xf>
    <xf borderId="0" fillId="9" fontId="41" numFmtId="0" xfId="0" applyFill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9581"/>
          <bgColor rgb="FFFF9581"/>
        </patternFill>
      </fill>
      <border/>
    </dxf>
  </dxfs>
  <tableStyles count="24">
    <tableStyle count="2" pivot="0" name="OUT-style">
      <tableStyleElement dxfId="1" type="firstRowStripe"/>
      <tableStyleElement dxfId="2" type="secondRowStripe"/>
    </tableStyle>
    <tableStyle count="2" pivot="0" name="DEVEDORES-style">
      <tableStyleElement dxfId="2" type="firstRowStripe"/>
      <tableStyleElement dxfId="1" type="secondRowStripe"/>
    </tableStyle>
    <tableStyle count="2" pivot="0" name="Observação-style">
      <tableStyleElement dxfId="2" type="firstRowStripe"/>
      <tableStyleElement dxfId="1" type="secondRowStripe"/>
    </tableStyle>
    <tableStyle count="2" pivot="0" name="Observação-style 2">
      <tableStyleElement dxfId="2" type="firstRowStripe"/>
      <tableStyleElement dxfId="1" type="secondRowStripe"/>
    </tableStyle>
    <tableStyle count="4" pivot="0" name="PARTICULAR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2" pivot="0" name="Observação-style 3">
      <tableStyleElement dxfId="1" type="firstRowStripe"/>
      <tableStyleElement dxfId="2" type="secondRowStripe"/>
    </tableStyle>
    <tableStyle count="4" pivot="0" name="JUSTIFICATIVA DE FALTA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4" pivot="0" name="JUSTIFICATIVA DE FALTA-style 2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2" pivot="0" name="RETORNOS-style">
      <tableStyleElement dxfId="1" type="firstRowStripe"/>
      <tableStyleElement dxfId="2" type="secondRowStripe"/>
    </tableStyle>
    <tableStyle count="2" pivot="0" name="DESATIVADOS-style">
      <tableStyleElement dxfId="1" type="firstRowStripe"/>
      <tableStyleElement dxfId="2" type="secondRowStripe"/>
    </tableStyle>
    <tableStyle count="2" pivot="0" name="DESATIVADOS-style 2">
      <tableStyleElement dxfId="2" type="firstRowStripe"/>
      <tableStyleElement dxfId="1" type="secondRowStripe"/>
    </tableStyle>
    <tableStyle count="2" pivot="0" name="DESATIVADOS-style 3">
      <tableStyleElement dxfId="1" type="firstRowStripe"/>
      <tableStyleElement dxfId="2" type="secondRowStripe"/>
    </tableStyle>
    <tableStyle count="2" pivot="0" name="DESATIVADOS-style 4">
      <tableStyleElement dxfId="1" type="firstRowStripe"/>
      <tableStyleElement dxfId="2" type="secondRowStripe"/>
    </tableStyle>
    <tableStyle count="2" pivot="0" name="DESATIVADOS-style 5">
      <tableStyleElement dxfId="1" type="firstRowStripe"/>
      <tableStyleElement dxfId="2" type="secondRowStripe"/>
    </tableStyle>
    <tableStyle count="2" pivot="0" name="DESATIVADOS-style 6">
      <tableStyleElement dxfId="1" type="firstRowStripe"/>
      <tableStyleElement dxfId="2" type="secondRowStripe"/>
    </tableStyle>
    <tableStyle count="2" pivot="0" name="DESATIVADOS-style 7">
      <tableStyleElement dxfId="2" type="firstRowStripe"/>
      <tableStyleElement dxfId="1" type="secondRowStripe"/>
    </tableStyle>
    <tableStyle count="2" pivot="0" name="DESATIVADOS-style 8">
      <tableStyleElement dxfId="1" type="firstRowStripe"/>
      <tableStyleElement dxfId="2" type="secondRowStripe"/>
    </tableStyle>
    <tableStyle count="2" pivot="0" name="DESATIVADOS-style 9">
      <tableStyleElement dxfId="1" type="firstRowStripe"/>
      <tableStyleElement dxfId="2" type="secondRowStripe"/>
    </tableStyle>
    <tableStyle count="4" pivot="0" name="ANUAL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4" pivot="0" name="MAI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4" pivot="0" name="JUN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2" pivot="0" name="JUL-style">
      <tableStyleElement dxfId="1" type="firstRowStripe"/>
      <tableStyleElement dxfId="2" type="secondRowStripe"/>
    </tableStyle>
    <tableStyle count="4" pivot="0" name="AGO-style">
      <tableStyleElement dxfId="3" type="headerRow"/>
      <tableStyleElement dxfId="2" type="firstRowStripe"/>
      <tableStyleElement dxfId="1" type="secondRowStripe"/>
      <tableStyleElement dxfId="4" size="0" type="wholeTable"/>
    </tableStyle>
    <tableStyle count="2" pivot="0" name="SE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M200" displayName="PARTICULAR" name="PARTICULAR" id="4">
  <autoFilter ref="$A$2:$AM$200">
    <filterColumn colId="23">
      <filters blank="1">
        <filter val="PLANO DE 12"/>
        <filter val="11/10/2026"/>
        <filter val="21/08/2026"/>
        <filter val="13/10/2026"/>
        <filter val="09/10/2026"/>
        <filter val="gerar boleto"/>
        <filter val="30/09/2026"/>
      </filters>
    </filterColumn>
  </autoFilter>
  <tableColumns count="39">
    <tableColumn name="Coluna 1" id="1"/>
    <tableColumn name="." id="2"/>
    <tableColumn name=". 2" id="3"/>
    <tableColumn name="C" id="4"/>
    <tableColumn name="Coluna 5" id="5"/>
    <tableColumn name="NOME" id="6"/>
    <tableColumn name="FICHA" id="7"/>
    <tableColumn name="TURMA" id="8"/>
    <tableColumn name="IDADE" id="9"/>
    <tableColumn name="NASCIMENTO" id="10"/>
    <tableColumn name="CPF" id="11"/>
    <tableColumn name="DATA INÍCIO:" id="12"/>
    <tableColumn name="DIAS" id="13"/>
    <tableColumn name="TELEFONE:" id="14"/>
    <tableColumn name="JANEIRO" id="15"/>
    <tableColumn name="FEVEREIRO" id="16"/>
    <tableColumn name="MARÇO" id="17"/>
    <tableColumn name="ABRIL" id="18"/>
    <tableColumn name="MAIO " id="19"/>
    <tableColumn name="JUNHO" id="20"/>
    <tableColumn name="JULHO " id="21"/>
    <tableColumn name="AGOSTO" id="22"/>
    <tableColumn name="SETEMBRO" id="23"/>
    <tableColumn name="OUTUBRO" id="24"/>
    <tableColumn name="NOVEMBRO " id="25"/>
    <tableColumn name="DEZEMBRO" id="26"/>
    <tableColumn name="VENCIMENTO" id="27"/>
    <tableColumn name="ELETRO" id="28"/>
    <tableColumn name="ATESTADO DE APTIDÃO" id="29"/>
    <tableColumn name="COMPROVANTE DE RESIDÊNCIA" id="30"/>
    <tableColumn name="CARTEIRA DE VACINAÇÃO" id="31"/>
    <tableColumn name="CARTÃO SUS" id="32"/>
    <tableColumn name="BOLETIM" id="33"/>
    <tableColumn name="TIPO SANGUÍNEO" id="34"/>
    <tableColumn name="DADOS FISCAIS" id="35"/>
    <tableColumn name="ESCOLA" id="36"/>
    <tableColumn name="ENDEREÇO:" id="37"/>
    <tableColumn name="CIDADE" id="38"/>
    <tableColumn name="-" id="39"/>
  </tableColumns>
  <tableStyleInfo name="PARTICULAR-style" showColumnStripes="0" showFirstColumn="1" showLastColumn="1" showRowStripes="1"/>
</table>
</file>

<file path=xl/tables/table2.xml><?xml version="1.0" encoding="utf-8"?>
<table xmlns="http://schemas.openxmlformats.org/spreadsheetml/2006/main" headerRowCount="0" ref="A3:F59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UT-style" showColumnStripes="0" showFirstColumn="1" showLastColumn="1" showRowStripes="1"/>
</table>
</file>

<file path=xl/tables/table3.xml><?xml version="1.0" encoding="utf-8"?>
<table xmlns="http://schemas.openxmlformats.org/spreadsheetml/2006/main" headerRowCount="0" ref="A1:AI1" displayName="Table_1" name="Table_1" id="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DEVEDORES-style" showColumnStripes="0" showFirstColumn="1" showLastColumn="1" showRowStripes="1"/>
</table>
</file>

<file path=xl/tables/table4.xml><?xml version="1.0" encoding="utf-8"?>
<table xmlns="http://schemas.openxmlformats.org/spreadsheetml/2006/main" headerRowCount="0" ref="A1:AD1" displayName="Table_3" name="Table_3" id="3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Observação-style" showColumnStripes="0" showFirstColumn="1" showLastColumn="1" showRowStripes="1"/>
</table>
</file>

<file path=xl/tables/table5.xml><?xml version="1.0" encoding="utf-8"?>
<table xmlns="http://schemas.openxmlformats.org/spreadsheetml/2006/main" headerRowCount="0" ref="A2:AD2" displayName="Table_4" name="Table_4" id="5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Observação-style 2" showColumnStripes="0" showFirstColumn="1" showLastColumn="1" showRowStripes="1"/>
</table>
</file>

<file path=xl/tables/table6.xml><?xml version="1.0" encoding="utf-8"?>
<table xmlns="http://schemas.openxmlformats.org/spreadsheetml/2006/main" headerRowCount="0" ref="A4:AD4" displayName="Table_5" name="Table_5" id="6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Observação-style 3" showColumnStripes="0" showFirstColumn="1" showLastColumn="1" showRowStripes="1"/>
</table>
</file>

<file path=xl/tables/table7.xml><?xml version="1.0" encoding="utf-8"?>
<table xmlns="http://schemas.openxmlformats.org/spreadsheetml/2006/main" ref="A2:E29" displayName="Tabela_4" name="Tabela_4" id="7">
  <tableColumns count="5">
    <tableColumn name="NOME" id="1"/>
    <tableColumn name="TURMA" id="2"/>
    <tableColumn name="DATA" id="3"/>
    <tableColumn name="CPF" id="4"/>
    <tableColumn name="MOTIVO" id="5"/>
  </tableColumns>
  <tableStyleInfo name="JUSTIFICATIVA DE FALTA-style" showColumnStripes="0" showFirstColumn="1" showLastColumn="1" showRowStripes="1"/>
</table>
</file>

<file path=xl/tables/table8.xml><?xml version="1.0" encoding="utf-8"?>
<table xmlns="http://schemas.openxmlformats.org/spreadsheetml/2006/main" ref="G2:K29" displayName="Tabela_5" name="Tabela_5" id="8">
  <tableColumns count="5">
    <tableColumn name="NOME" id="1"/>
    <tableColumn name="TURMA" id="2"/>
    <tableColumn name="DATA" id="3"/>
    <tableColumn name="CPF" id="4"/>
    <tableColumn name="MOTIVO" id="5"/>
  </tableColumns>
  <tableStyleInfo name="JUSTIFICATIVA DE FALTA-style 2" showColumnStripes="0" showFirstColumn="1" showLastColumn="1" showRowStripes="1"/>
</table>
</file>

<file path=xl/tables/table9.xml><?xml version="1.0" encoding="utf-8"?>
<table xmlns="http://schemas.openxmlformats.org/spreadsheetml/2006/main" headerRowCount="0" ref="A1:AG2" displayName="Table_6" name="Table_6" id="9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RETORNOS-style" showColumnStripes="0" showFirstColumn="1" showLastColumn="1" showRowStripes="1"/>
</table>
</file>

<file path=xl/tables/table10.xml><?xml version="1.0" encoding="utf-8"?>
<table xmlns="http://schemas.openxmlformats.org/spreadsheetml/2006/main" headerRowCount="0" ref="A60:AH60" displayName="Table_7" name="Table_7" id="10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DESATIVADOS-style" showColumnStripes="0" showFirstColumn="1" showLastColumn="1" showRowStripes="1"/>
</table>
</file>

<file path=xl/tables/table11.xml><?xml version="1.0" encoding="utf-8"?>
<table xmlns="http://schemas.openxmlformats.org/spreadsheetml/2006/main" headerRowCount="0" ref="A65:AH73" displayName="Table_8" name="Table_8" id="11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DESATIVADOS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74:AH74" displayName="Table_9" name="Table_9" id="12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DESATIVADOS-style 3" showColumnStripes="0" showFirstColumn="1" showLastColumn="1" showRowStripes="1"/>
</table>
</file>

<file path=xl/tables/table13.xml><?xml version="1.0" encoding="utf-8"?>
<table xmlns="http://schemas.openxmlformats.org/spreadsheetml/2006/main" headerRowCount="0" ref="I82:W82" displayName="Table_10" name="Table_10" id="1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ESATIVADOS-style 4" showColumnStripes="0" showFirstColumn="1" showLastColumn="1" showRowStripes="1"/>
</table>
</file>

<file path=xl/tables/table14.xml><?xml version="1.0" encoding="utf-8"?>
<table xmlns="http://schemas.openxmlformats.org/spreadsheetml/2006/main" headerRowCount="0" ref="A83:AH83" displayName="Table_11" name="Table_11" id="14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DESATIVADOS-style 5" showColumnStripes="0" showFirstColumn="1" showLastColumn="1" showRowStripes="1"/>
</table>
</file>

<file path=xl/tables/table15.xml><?xml version="1.0" encoding="utf-8"?>
<table xmlns="http://schemas.openxmlformats.org/spreadsheetml/2006/main" headerRowCount="0" ref="A85:AH101" displayName="Table_12" name="Table_12" id="15">
  <tableColumns count="3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</tableColumns>
  <tableStyleInfo name="DESATIVADOS-style 6" showColumnStripes="0" showFirstColumn="1" showLastColumn="1" showRowStripes="1"/>
</table>
</file>

<file path=xl/tables/table16.xml><?xml version="1.0" encoding="utf-8"?>
<table xmlns="http://schemas.openxmlformats.org/spreadsheetml/2006/main" headerRowCount="0" ref="B102:AH103" displayName="Table_13" name="Table_13" id="16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SATIVADOS-style 7" showColumnStripes="0" showFirstColumn="1" showLastColumn="1" showRowStripes="1"/>
</table>
</file>

<file path=xl/tables/table17.xml><?xml version="1.0" encoding="utf-8"?>
<table xmlns="http://schemas.openxmlformats.org/spreadsheetml/2006/main" headerRowCount="0" ref="B104:AH104" displayName="Table_14" name="Table_14" id="17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SATIVADOS-style 8" showColumnStripes="0" showFirstColumn="1" showLastColumn="1" showRowStripes="1"/>
</table>
</file>

<file path=xl/tables/table18.xml><?xml version="1.0" encoding="utf-8"?>
<table xmlns="http://schemas.openxmlformats.org/spreadsheetml/2006/main" headerRowCount="0" ref="B105:AH119" displayName="Table_15" name="Table_15" id="18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DESATIVADOS-style 9" showColumnStripes="0" showFirstColumn="1" showLastColumn="1" showRowStripes="1"/>
</table>
</file>

<file path=xl/tables/table19.xml><?xml version="1.0" encoding="utf-8"?>
<table xmlns="http://schemas.openxmlformats.org/spreadsheetml/2006/main" ref="A1:D14" displayName="Tabela_2" name="Tabela_2" id="19">
  <tableColumns count="4">
    <tableColumn name="MÊS" id="1"/>
    <tableColumn name="ENTRADA MENSAL " id="2"/>
    <tableColumn name="SAÍDA MENSAL" id="3"/>
    <tableColumn name="FATURAMENTO MENSAL" id="4"/>
  </tableColumns>
  <tableStyleInfo name="ANUAL-style" showColumnStripes="0" showFirstColumn="1" showLastColumn="1" showRowStripes="1"/>
</table>
</file>

<file path=xl/tables/table20.xml><?xml version="1.0" encoding="utf-8"?>
<table xmlns="http://schemas.openxmlformats.org/spreadsheetml/2006/main" ref="A2:F30" displayName="Tabela_1" name="Tabela_1" id="20">
  <tableColumns count="6">
    <tableColumn name="DATA:" id="1"/>
    <tableColumn name="ENTRADA:" id="2"/>
    <tableColumn name="SAÍDA:" id="3"/>
    <tableColumn name="TIPO:" id="4"/>
    <tableColumn name="REFERÊNCIA:" id="5"/>
    <tableColumn name="Coluna 1" id="6"/>
  </tableColumns>
  <tableStyleInfo name="MAI-style" showColumnStripes="0" showFirstColumn="1" showLastColumn="1" showRowStripes="1"/>
</table>
</file>

<file path=xl/tables/table21.xml><?xml version="1.0" encoding="utf-8"?>
<table xmlns="http://schemas.openxmlformats.org/spreadsheetml/2006/main" ref="A2:F64" displayName="Tabela_3" name="Tabela_3" id="21">
  <tableColumns count="6">
    <tableColumn name="DATA:" id="1"/>
    <tableColumn name="ENTRADA:" id="2"/>
    <tableColumn name="SAÍDA:" id="3"/>
    <tableColumn name="TIPO:" id="4"/>
    <tableColumn name="REFERÊNCIA:" id="5"/>
    <tableColumn name="TIPO" id="6"/>
  </tableColumns>
  <tableStyleInfo name="JUN-style" showColumnStripes="0" showFirstColumn="1" showLastColumn="1" showRowStripes="1"/>
</table>
</file>

<file path=xl/tables/table22.xml><?xml version="1.0" encoding="utf-8"?>
<table xmlns="http://schemas.openxmlformats.org/spreadsheetml/2006/main" headerRowCount="0" ref="A3:F121" displayName="Table_16" name="Table_16" id="2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JUL-style" showColumnStripes="0" showFirstColumn="1" showLastColumn="1" showRowStripes="1"/>
</table>
</file>

<file path=xl/tables/table23.xml><?xml version="1.0" encoding="utf-8"?>
<table xmlns="http://schemas.openxmlformats.org/spreadsheetml/2006/main" ref="A2:F65" displayName="AGOSTO" name="AGOSTO" id="23">
  <tableColumns count="6">
    <tableColumn name="DATA:" id="1"/>
    <tableColumn name="ENTRADA:" id="2"/>
    <tableColumn name="SAÍDA:" id="3"/>
    <tableColumn name="TIPO:" id="4"/>
    <tableColumn name="REFERÊNCIA:" id="5"/>
    <tableColumn name="TIPO" id="6"/>
  </tableColumns>
  <tableStyleInfo name="AGO-style" showColumnStripes="0" showFirstColumn="1" showLastColumn="1" showRowStripes="1"/>
</table>
</file>

<file path=xl/tables/table24.xml><?xml version="1.0" encoding="utf-8"?>
<table xmlns="http://schemas.openxmlformats.org/spreadsheetml/2006/main" headerRowCount="0" ref="A3:F59" displayName="Table_17" name="Table_17" id="2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11" Type="http://schemas.openxmlformats.org/officeDocument/2006/relationships/table" Target="../tables/table1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2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2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23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24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1" max="2" width="5.5"/>
    <col customWidth="1" min="3" max="3" width="9.13"/>
    <col customWidth="1" min="4" max="4" width="3.75"/>
    <col customWidth="1" min="5" max="5" width="6.75"/>
    <col customWidth="1" min="6" max="6" width="43.13"/>
    <col customWidth="1" min="7" max="7" width="13.63"/>
    <col customWidth="1" min="8" max="8" width="20.0"/>
    <col customWidth="1" min="9" max="9" width="11.63"/>
    <col customWidth="1" min="10" max="10" width="22.5"/>
    <col customWidth="1" min="11" max="11" width="16.88"/>
    <col customWidth="1" min="12" max="12" width="21.63"/>
    <col customWidth="1" min="13" max="13" width="10.38"/>
    <col customWidth="1" min="14" max="14" width="41.5"/>
    <col customWidth="1" min="15" max="15" width="17.63"/>
    <col customWidth="1" min="16" max="16" width="19.88"/>
    <col customWidth="1" min="17" max="20" width="13.75"/>
    <col customWidth="1" min="21" max="21" width="14.13"/>
    <col customWidth="1" min="22" max="22" width="15.25"/>
    <col customWidth="1" min="23" max="23" width="16.75"/>
    <col customWidth="1" min="24" max="24" width="21.63"/>
    <col customWidth="1" min="25" max="25" width="17.88"/>
    <col customWidth="1" min="26" max="26" width="21.5"/>
    <col customWidth="1" min="27" max="27" width="17.5"/>
    <col customWidth="1" min="28" max="28" width="16.63"/>
    <col customWidth="1" min="29" max="29" width="20.63"/>
    <col customWidth="1" min="30" max="30" width="20.75"/>
    <col customWidth="1" min="31" max="31" width="17.63"/>
    <col customWidth="1" min="32" max="32" width="14.38"/>
    <col customWidth="1" min="33" max="33" width="26.0"/>
    <col customWidth="1" min="34" max="34" width="23.0"/>
    <col customWidth="1" min="35" max="35" width="88.63"/>
    <col customWidth="1" min="36" max="36" width="28.38"/>
    <col customWidth="1" min="37" max="37" width="52.13"/>
    <col customWidth="1" min="38" max="38" width="11.88"/>
    <col customWidth="1" min="39" max="39" width="56.25"/>
  </cols>
  <sheetData>
    <row r="1">
      <c r="A1" s="38"/>
      <c r="B1" s="38"/>
      <c r="C1" s="38"/>
      <c r="D1" s="38"/>
      <c r="E1" s="38"/>
      <c r="F1" s="43">
        <f>COUNTA(F3:F96)</f>
        <v>74</v>
      </c>
      <c r="G1" s="44"/>
      <c r="H1" s="46"/>
      <c r="I1" s="48"/>
      <c r="J1" s="48"/>
      <c r="K1" s="50"/>
      <c r="L1" s="46"/>
      <c r="M1" s="38"/>
      <c r="N1" s="46"/>
      <c r="O1" s="50"/>
      <c r="P1" s="50"/>
      <c r="Q1" s="38"/>
      <c r="R1" s="38"/>
      <c r="S1" s="38"/>
      <c r="T1" s="38"/>
      <c r="U1" s="38"/>
      <c r="V1" s="38"/>
      <c r="W1" s="54"/>
      <c r="X1" s="38"/>
      <c r="Y1" s="38"/>
      <c r="Z1" s="38"/>
      <c r="AA1" s="50"/>
      <c r="AB1" s="54"/>
      <c r="AC1" s="48"/>
      <c r="AD1" s="38"/>
      <c r="AE1" s="48"/>
      <c r="AF1" s="48"/>
      <c r="AG1" s="48"/>
      <c r="AH1" s="48"/>
      <c r="AI1" s="38"/>
      <c r="AJ1" s="38"/>
      <c r="AK1" s="38"/>
      <c r="AL1" s="46"/>
      <c r="AM1" s="57"/>
    </row>
    <row r="2" ht="33.75" customHeight="1">
      <c r="A2" s="60" t="s">
        <v>57</v>
      </c>
      <c r="B2" s="60" t="s">
        <v>68</v>
      </c>
      <c r="C2" s="60" t="s">
        <v>70</v>
      </c>
      <c r="D2" s="60" t="s">
        <v>74</v>
      </c>
      <c r="E2" s="62" t="s">
        <v>77</v>
      </c>
      <c r="F2" s="60" t="s">
        <v>79</v>
      </c>
      <c r="G2" s="64" t="s">
        <v>80</v>
      </c>
      <c r="H2" s="62" t="s">
        <v>81</v>
      </c>
      <c r="I2" s="66" t="s">
        <v>83</v>
      </c>
      <c r="J2" s="66" t="s">
        <v>87</v>
      </c>
      <c r="K2" s="67" t="s">
        <v>88</v>
      </c>
      <c r="L2" s="62" t="s">
        <v>89</v>
      </c>
      <c r="M2" s="60" t="s">
        <v>90</v>
      </c>
      <c r="N2" s="62" t="s">
        <v>91</v>
      </c>
      <c r="O2" s="67" t="s">
        <v>92</v>
      </c>
      <c r="P2" s="67" t="s">
        <v>93</v>
      </c>
      <c r="Q2" s="60" t="s">
        <v>94</v>
      </c>
      <c r="R2" s="60" t="s">
        <v>95</v>
      </c>
      <c r="S2" s="60" t="s">
        <v>96</v>
      </c>
      <c r="T2" s="60" t="s">
        <v>97</v>
      </c>
      <c r="U2" s="60" t="s">
        <v>98</v>
      </c>
      <c r="V2" s="60" t="s">
        <v>99</v>
      </c>
      <c r="W2" s="74" t="s">
        <v>100</v>
      </c>
      <c r="X2" s="60" t="s">
        <v>103</v>
      </c>
      <c r="Y2" s="60" t="s">
        <v>107</v>
      </c>
      <c r="Z2" s="60" t="s">
        <v>109</v>
      </c>
      <c r="AA2" s="67" t="s">
        <v>110</v>
      </c>
      <c r="AB2" s="77" t="s">
        <v>112</v>
      </c>
      <c r="AC2" s="78" t="s">
        <v>113</v>
      </c>
      <c r="AD2" s="79" t="s">
        <v>117</v>
      </c>
      <c r="AE2" s="78" t="s">
        <v>123</v>
      </c>
      <c r="AF2" s="78" t="s">
        <v>126</v>
      </c>
      <c r="AG2" s="78" t="s">
        <v>129</v>
      </c>
      <c r="AH2" s="78" t="s">
        <v>131</v>
      </c>
      <c r="AI2" s="60" t="s">
        <v>133</v>
      </c>
      <c r="AJ2" s="60" t="s">
        <v>136</v>
      </c>
      <c r="AK2" s="60" t="s">
        <v>138</v>
      </c>
      <c r="AL2" s="62" t="s">
        <v>139</v>
      </c>
      <c r="AM2" s="85" t="s">
        <v>18</v>
      </c>
    </row>
    <row r="3" ht="22.5" customHeight="1">
      <c r="A3" s="87"/>
      <c r="B3" s="89"/>
      <c r="C3" s="91"/>
      <c r="D3" s="89"/>
      <c r="E3" s="93">
        <f t="shared" ref="E3:E85" si="1">SUMPRODUCT((AB3:AL3&lt;&gt;"")*(AB3:AL3&lt;&gt;"-"))</f>
        <v>4</v>
      </c>
      <c r="F3" s="94" t="s">
        <v>153</v>
      </c>
      <c r="G3" s="95" t="s">
        <v>9</v>
      </c>
      <c r="H3" s="95" t="s">
        <v>168</v>
      </c>
      <c r="I3" s="96">
        <f t="shared" ref="I3:I11" si="2">INT((TODAY()-J3)/365.25)</f>
        <v>8</v>
      </c>
      <c r="J3" s="97">
        <v>43167.0</v>
      </c>
      <c r="K3" s="98"/>
      <c r="L3" s="97">
        <v>46220.0</v>
      </c>
      <c r="M3" s="95">
        <v>4.0</v>
      </c>
      <c r="N3" s="99" t="s">
        <v>169</v>
      </c>
      <c r="O3" s="95" t="s">
        <v>18</v>
      </c>
      <c r="P3" s="95" t="s">
        <v>18</v>
      </c>
      <c r="Q3" s="95" t="s">
        <v>18</v>
      </c>
      <c r="R3" s="95" t="s">
        <v>18</v>
      </c>
      <c r="S3" s="95" t="s">
        <v>18</v>
      </c>
      <c r="T3" s="95" t="s">
        <v>18</v>
      </c>
      <c r="U3" s="97">
        <v>46234.0</v>
      </c>
      <c r="V3" s="95" t="s">
        <v>170</v>
      </c>
      <c r="W3" s="97">
        <v>46245.0</v>
      </c>
      <c r="X3" s="97"/>
      <c r="Y3" s="97"/>
      <c r="Z3" s="97"/>
      <c r="AA3" s="95">
        <v>10.0</v>
      </c>
      <c r="AB3" s="104"/>
      <c r="AC3" s="104"/>
      <c r="AD3" s="95"/>
      <c r="AE3" s="108"/>
      <c r="AF3" s="108"/>
      <c r="AG3" s="98"/>
      <c r="AH3" s="108"/>
      <c r="AI3" s="95" t="s">
        <v>175</v>
      </c>
      <c r="AJ3" s="95" t="s">
        <v>176</v>
      </c>
      <c r="AK3" s="95" t="s">
        <v>177</v>
      </c>
      <c r="AL3" s="95" t="s">
        <v>178</v>
      </c>
      <c r="AM3" s="109"/>
    </row>
    <row r="4" ht="22.5" customHeight="1">
      <c r="A4" s="87"/>
      <c r="B4" s="89"/>
      <c r="C4" s="91"/>
      <c r="D4" s="89"/>
      <c r="E4" s="93">
        <f t="shared" si="1"/>
        <v>5</v>
      </c>
      <c r="F4" s="94" t="s">
        <v>179</v>
      </c>
      <c r="G4" s="95" t="s">
        <v>9</v>
      </c>
      <c r="H4" s="95" t="s">
        <v>180</v>
      </c>
      <c r="I4" s="96">
        <f t="shared" si="2"/>
        <v>11</v>
      </c>
      <c r="J4" s="97">
        <v>42267.0</v>
      </c>
      <c r="K4" s="111" t="s">
        <v>181</v>
      </c>
      <c r="L4" s="97">
        <v>46237.0</v>
      </c>
      <c r="M4" s="95">
        <v>3.0</v>
      </c>
      <c r="N4" s="99" t="s">
        <v>182</v>
      </c>
      <c r="O4" s="95" t="s">
        <v>18</v>
      </c>
      <c r="P4" s="95" t="s">
        <v>18</v>
      </c>
      <c r="Q4" s="95" t="s">
        <v>18</v>
      </c>
      <c r="R4" s="112" t="s">
        <v>18</v>
      </c>
      <c r="S4" s="95" t="s">
        <v>18</v>
      </c>
      <c r="T4" s="95" t="s">
        <v>18</v>
      </c>
      <c r="U4" s="95" t="s">
        <v>18</v>
      </c>
      <c r="V4" s="97">
        <v>46235.0</v>
      </c>
      <c r="W4" s="97">
        <v>46269.0</v>
      </c>
      <c r="X4" s="97"/>
      <c r="Y4" s="97"/>
      <c r="Z4" s="97"/>
      <c r="AA4" s="95">
        <v>10.0</v>
      </c>
      <c r="AB4" s="104"/>
      <c r="AC4" s="104"/>
      <c r="AD4" s="95"/>
      <c r="AE4" s="108"/>
      <c r="AF4" s="108"/>
      <c r="AG4" s="98"/>
      <c r="AH4" s="95" t="s">
        <v>26</v>
      </c>
      <c r="AI4" s="95" t="s">
        <v>183</v>
      </c>
      <c r="AJ4" s="95" t="s">
        <v>184</v>
      </c>
      <c r="AK4" s="95" t="s">
        <v>185</v>
      </c>
      <c r="AL4" s="95" t="s">
        <v>186</v>
      </c>
      <c r="AM4" s="109"/>
    </row>
    <row r="5" ht="22.5" customHeight="1">
      <c r="A5" s="87"/>
      <c r="B5" s="89"/>
      <c r="C5" s="91"/>
      <c r="D5" s="89"/>
      <c r="E5" s="93">
        <f t="shared" si="1"/>
        <v>7</v>
      </c>
      <c r="F5" s="94" t="s">
        <v>187</v>
      </c>
      <c r="G5" s="95" t="s">
        <v>9</v>
      </c>
      <c r="H5" s="95" t="s">
        <v>180</v>
      </c>
      <c r="I5" s="96">
        <f t="shared" si="2"/>
        <v>7</v>
      </c>
      <c r="J5" s="97">
        <v>43440.0</v>
      </c>
      <c r="K5" s="111" t="s">
        <v>188</v>
      </c>
      <c r="L5" s="97">
        <v>46273.0</v>
      </c>
      <c r="M5" s="95">
        <v>2.0</v>
      </c>
      <c r="N5" s="99" t="s">
        <v>189</v>
      </c>
      <c r="O5" s="95" t="s">
        <v>18</v>
      </c>
      <c r="P5" s="95" t="s">
        <v>18</v>
      </c>
      <c r="Q5" s="95" t="s">
        <v>18</v>
      </c>
      <c r="R5" s="95" t="s">
        <v>18</v>
      </c>
      <c r="S5" s="95" t="s">
        <v>18</v>
      </c>
      <c r="T5" s="95" t="s">
        <v>18</v>
      </c>
      <c r="U5" s="95" t="s">
        <v>18</v>
      </c>
      <c r="V5" s="95" t="s">
        <v>18</v>
      </c>
      <c r="W5" s="97">
        <v>46273.0</v>
      </c>
      <c r="X5" s="97"/>
      <c r="Y5" s="97"/>
      <c r="Z5" s="97"/>
      <c r="AA5" s="95">
        <v>10.0</v>
      </c>
      <c r="AB5" s="97"/>
      <c r="AC5" s="97"/>
      <c r="AD5" s="95" t="s">
        <v>9</v>
      </c>
      <c r="AE5" s="95"/>
      <c r="AF5" s="95" t="s">
        <v>190</v>
      </c>
      <c r="AG5" s="111"/>
      <c r="AH5" s="95" t="s">
        <v>191</v>
      </c>
      <c r="AI5" s="95" t="s">
        <v>192</v>
      </c>
      <c r="AJ5" s="95" t="s">
        <v>128</v>
      </c>
      <c r="AK5" s="95" t="s">
        <v>193</v>
      </c>
      <c r="AL5" s="95" t="s">
        <v>178</v>
      </c>
      <c r="AM5" s="109"/>
    </row>
    <row r="6" ht="22.5" customHeight="1">
      <c r="A6" s="87"/>
      <c r="B6" s="89"/>
      <c r="C6" s="91"/>
      <c r="D6" s="89"/>
      <c r="E6" s="93">
        <f t="shared" si="1"/>
        <v>7</v>
      </c>
      <c r="F6" s="94" t="s">
        <v>195</v>
      </c>
      <c r="G6" s="95" t="s">
        <v>9</v>
      </c>
      <c r="H6" s="95" t="s">
        <v>198</v>
      </c>
      <c r="I6" s="96">
        <f t="shared" si="2"/>
        <v>7</v>
      </c>
      <c r="J6" s="97">
        <v>43638.0</v>
      </c>
      <c r="K6" s="98" t="s">
        <v>202</v>
      </c>
      <c r="L6" s="97" t="s">
        <v>18</v>
      </c>
      <c r="M6" s="95">
        <v>2.0</v>
      </c>
      <c r="N6" s="99" t="s">
        <v>206</v>
      </c>
      <c r="O6" s="95" t="s">
        <v>18</v>
      </c>
      <c r="P6" s="95" t="s">
        <v>18</v>
      </c>
      <c r="Q6" s="95" t="s">
        <v>18</v>
      </c>
      <c r="R6" s="95" t="s">
        <v>18</v>
      </c>
      <c r="S6" s="95" t="s">
        <v>18</v>
      </c>
      <c r="T6" s="97">
        <v>46209.0</v>
      </c>
      <c r="U6" s="97">
        <v>46244.0</v>
      </c>
      <c r="V6" s="97">
        <v>46254.0</v>
      </c>
      <c r="W6" s="97">
        <v>46286.0</v>
      </c>
      <c r="X6" s="97"/>
      <c r="Y6" s="97"/>
      <c r="Z6" s="97"/>
      <c r="AA6" s="95">
        <v>25.0</v>
      </c>
      <c r="AB6" s="95">
        <v>2026.0</v>
      </c>
      <c r="AC6" s="95" t="s">
        <v>9</v>
      </c>
      <c r="AD6" s="95" t="s">
        <v>9</v>
      </c>
      <c r="AE6" s="95" t="s">
        <v>9</v>
      </c>
      <c r="AF6" s="95" t="s">
        <v>9</v>
      </c>
      <c r="AG6" s="111"/>
      <c r="AH6" s="95" t="s">
        <v>210</v>
      </c>
      <c r="AI6" s="95" t="s">
        <v>211</v>
      </c>
      <c r="AJ6" s="95" t="s">
        <v>18</v>
      </c>
      <c r="AK6" s="95" t="s">
        <v>18</v>
      </c>
      <c r="AL6" s="95" t="s">
        <v>18</v>
      </c>
      <c r="AM6" s="109"/>
    </row>
    <row r="7" ht="22.5" customHeight="1">
      <c r="A7" s="87"/>
      <c r="B7" s="89" t="s">
        <v>212</v>
      </c>
      <c r="C7" s="91"/>
      <c r="D7" s="89"/>
      <c r="E7" s="93">
        <f t="shared" si="1"/>
        <v>6</v>
      </c>
      <c r="F7" s="127" t="s">
        <v>213</v>
      </c>
      <c r="G7" s="95" t="s">
        <v>9</v>
      </c>
      <c r="H7" s="95" t="s">
        <v>180</v>
      </c>
      <c r="I7" s="96">
        <f t="shared" si="2"/>
        <v>10</v>
      </c>
      <c r="J7" s="97">
        <v>42375.0</v>
      </c>
      <c r="K7" s="98" t="s">
        <v>214</v>
      </c>
      <c r="L7" s="97" t="s">
        <v>18</v>
      </c>
      <c r="M7" s="95">
        <v>4.0</v>
      </c>
      <c r="N7" s="128" t="s">
        <v>215</v>
      </c>
      <c r="O7" s="95" t="s">
        <v>18</v>
      </c>
      <c r="P7" s="97">
        <v>46076.0</v>
      </c>
      <c r="Q7" s="97">
        <v>46090.0</v>
      </c>
      <c r="R7" s="97">
        <v>46119.0</v>
      </c>
      <c r="S7" s="97">
        <v>46147.0</v>
      </c>
      <c r="T7" s="97">
        <v>46199.0</v>
      </c>
      <c r="U7" s="97">
        <v>46268.0</v>
      </c>
      <c r="V7" s="97">
        <v>46275.0</v>
      </c>
      <c r="W7" s="97">
        <v>46300.0</v>
      </c>
      <c r="X7" s="97"/>
      <c r="Y7" s="97"/>
      <c r="Z7" s="97"/>
      <c r="AA7" s="129">
        <v>20.0</v>
      </c>
      <c r="AB7" s="97"/>
      <c r="AC7" s="104"/>
      <c r="AD7" s="95" t="s">
        <v>24</v>
      </c>
      <c r="AE7" s="95" t="s">
        <v>9</v>
      </c>
      <c r="AF7" s="108"/>
      <c r="AG7" s="98"/>
      <c r="AH7" s="108"/>
      <c r="AI7" s="95" t="s">
        <v>216</v>
      </c>
      <c r="AJ7" s="108" t="s">
        <v>217</v>
      </c>
      <c r="AK7" s="108" t="s">
        <v>218</v>
      </c>
      <c r="AL7" s="130" t="s">
        <v>30</v>
      </c>
      <c r="AM7" s="109"/>
    </row>
    <row r="8" ht="22.5" customHeight="1">
      <c r="A8" s="87"/>
      <c r="B8" s="89"/>
      <c r="C8" s="91"/>
      <c r="D8" s="89"/>
      <c r="E8" s="93">
        <f t="shared" si="1"/>
        <v>6</v>
      </c>
      <c r="F8" s="94" t="s">
        <v>219</v>
      </c>
      <c r="G8" s="95" t="s">
        <v>9</v>
      </c>
      <c r="H8" s="95" t="s">
        <v>168</v>
      </c>
      <c r="I8" s="96">
        <f t="shared" si="2"/>
        <v>9</v>
      </c>
      <c r="J8" s="97">
        <v>42785.0</v>
      </c>
      <c r="K8" s="111" t="s">
        <v>220</v>
      </c>
      <c r="L8" s="97">
        <v>46259.0</v>
      </c>
      <c r="M8" s="95">
        <v>3.0</v>
      </c>
      <c r="N8" s="99">
        <v>4.7999131305E10</v>
      </c>
      <c r="O8" s="95" t="s">
        <v>18</v>
      </c>
      <c r="P8" s="95" t="s">
        <v>18</v>
      </c>
      <c r="Q8" s="95" t="s">
        <v>18</v>
      </c>
      <c r="R8" s="95" t="s">
        <v>18</v>
      </c>
      <c r="S8" s="95" t="s">
        <v>18</v>
      </c>
      <c r="T8" s="95" t="s">
        <v>18</v>
      </c>
      <c r="U8" s="95" t="s">
        <v>18</v>
      </c>
      <c r="V8" s="97">
        <v>46259.0</v>
      </c>
      <c r="W8" s="97"/>
      <c r="X8" s="97"/>
      <c r="Y8" s="97"/>
      <c r="Z8" s="97"/>
      <c r="AA8" s="95">
        <v>28.0</v>
      </c>
      <c r="AB8" s="97"/>
      <c r="AC8" s="104"/>
      <c r="AD8" s="95" t="s">
        <v>9</v>
      </c>
      <c r="AE8" s="95"/>
      <c r="AF8" s="108"/>
      <c r="AG8" s="111" t="s">
        <v>222</v>
      </c>
      <c r="AH8" s="108"/>
      <c r="AI8" s="95" t="s">
        <v>229</v>
      </c>
      <c r="AJ8" s="95" t="s">
        <v>230</v>
      </c>
      <c r="AK8" s="95" t="s">
        <v>232</v>
      </c>
      <c r="AL8" s="130" t="s">
        <v>234</v>
      </c>
      <c r="AM8" s="109"/>
    </row>
    <row r="9" ht="22.5" customHeight="1">
      <c r="A9" s="87"/>
      <c r="B9" s="89"/>
      <c r="C9" s="91"/>
      <c r="D9" s="89"/>
      <c r="E9" s="93">
        <f t="shared" si="1"/>
        <v>4</v>
      </c>
      <c r="F9" s="127" t="s">
        <v>239</v>
      </c>
      <c r="G9" s="95" t="s">
        <v>9</v>
      </c>
      <c r="H9" s="95" t="s">
        <v>10</v>
      </c>
      <c r="I9" s="96">
        <f t="shared" si="2"/>
        <v>11</v>
      </c>
      <c r="J9" s="104">
        <v>42146.0</v>
      </c>
      <c r="K9" s="98"/>
      <c r="L9" s="97">
        <v>46235.0</v>
      </c>
      <c r="M9" s="95">
        <v>4.0</v>
      </c>
      <c r="N9" s="99" t="s">
        <v>240</v>
      </c>
      <c r="O9" s="95" t="s">
        <v>18</v>
      </c>
      <c r="P9" s="95" t="s">
        <v>18</v>
      </c>
      <c r="Q9" s="95" t="s">
        <v>18</v>
      </c>
      <c r="R9" s="95" t="s">
        <v>18</v>
      </c>
      <c r="S9" s="95" t="s">
        <v>18</v>
      </c>
      <c r="T9" s="95" t="s">
        <v>18</v>
      </c>
      <c r="U9" s="95" t="s">
        <v>18</v>
      </c>
      <c r="V9" s="95" t="s">
        <v>18</v>
      </c>
      <c r="W9" s="97">
        <v>46273.0</v>
      </c>
      <c r="X9" s="97"/>
      <c r="Y9" s="97"/>
      <c r="Z9" s="97"/>
      <c r="AA9" s="95">
        <v>10.0</v>
      </c>
      <c r="AB9" s="97"/>
      <c r="AC9" s="104"/>
      <c r="AD9" s="95"/>
      <c r="AE9" s="95"/>
      <c r="AF9" s="108"/>
      <c r="AG9" s="98"/>
      <c r="AH9" s="108"/>
      <c r="AI9" s="95" t="s">
        <v>241</v>
      </c>
      <c r="AJ9" s="160" t="s">
        <v>184</v>
      </c>
      <c r="AK9" s="161" t="s">
        <v>243</v>
      </c>
      <c r="AL9" s="130" t="s">
        <v>30</v>
      </c>
      <c r="AM9" s="109"/>
    </row>
    <row r="10" ht="22.5" customHeight="1">
      <c r="A10" s="87"/>
      <c r="B10" s="89"/>
      <c r="C10" s="91"/>
      <c r="D10" s="89"/>
      <c r="E10" s="93">
        <f t="shared" si="1"/>
        <v>0</v>
      </c>
      <c r="F10" s="94" t="s">
        <v>247</v>
      </c>
      <c r="G10" s="95"/>
      <c r="H10" s="95"/>
      <c r="I10" s="96">
        <f t="shared" si="2"/>
        <v>126</v>
      </c>
      <c r="J10" s="104"/>
      <c r="K10" s="98"/>
      <c r="L10" s="97"/>
      <c r="M10" s="95"/>
      <c r="N10" s="99"/>
      <c r="O10" s="97"/>
      <c r="P10" s="97"/>
      <c r="Q10" s="95"/>
      <c r="R10" s="95"/>
      <c r="S10" s="95"/>
      <c r="T10" s="95"/>
      <c r="U10" s="95"/>
      <c r="V10" s="95"/>
      <c r="W10" s="97"/>
      <c r="X10" s="97"/>
      <c r="Y10" s="97"/>
      <c r="Z10" s="97"/>
      <c r="AA10" s="95"/>
      <c r="AB10" s="97"/>
      <c r="AC10" s="104"/>
      <c r="AD10" s="95"/>
      <c r="AE10" s="95"/>
      <c r="AF10" s="108"/>
      <c r="AG10" s="98"/>
      <c r="AH10" s="108"/>
      <c r="AI10" s="95"/>
      <c r="AJ10" s="160"/>
      <c r="AK10" s="161"/>
      <c r="AL10" s="130"/>
      <c r="AM10" s="109"/>
    </row>
    <row r="11" ht="22.5" customHeight="1">
      <c r="A11" s="87"/>
      <c r="B11" s="89" t="s">
        <v>212</v>
      </c>
      <c r="C11" s="91"/>
      <c r="D11" s="89"/>
      <c r="E11" s="93">
        <f t="shared" si="1"/>
        <v>4</v>
      </c>
      <c r="F11" s="94" t="s">
        <v>148</v>
      </c>
      <c r="G11" s="95" t="s">
        <v>9</v>
      </c>
      <c r="H11" s="95" t="s">
        <v>168</v>
      </c>
      <c r="I11" s="96">
        <f t="shared" si="2"/>
        <v>6</v>
      </c>
      <c r="J11" s="97">
        <v>43863.0</v>
      </c>
      <c r="K11" s="98" t="s">
        <v>276</v>
      </c>
      <c r="L11" s="97">
        <v>46197.0</v>
      </c>
      <c r="M11" s="95">
        <v>2.0</v>
      </c>
      <c r="N11" s="128" t="s">
        <v>279</v>
      </c>
      <c r="O11" s="95" t="s">
        <v>18</v>
      </c>
      <c r="P11" s="95" t="s">
        <v>18</v>
      </c>
      <c r="Q11" s="95" t="s">
        <v>18</v>
      </c>
      <c r="R11" s="95" t="s">
        <v>18</v>
      </c>
      <c r="S11" s="95" t="s">
        <v>18</v>
      </c>
      <c r="T11" s="97">
        <v>46197.0</v>
      </c>
      <c r="U11" s="97">
        <v>46279.0</v>
      </c>
      <c r="V11" s="95" t="s">
        <v>170</v>
      </c>
      <c r="W11" s="97">
        <v>46280.0</v>
      </c>
      <c r="X11" s="97"/>
      <c r="Y11" s="97"/>
      <c r="Z11" s="97"/>
      <c r="AA11" s="95">
        <v>10.0</v>
      </c>
      <c r="AB11" s="97"/>
      <c r="AC11" s="95" t="s">
        <v>9</v>
      </c>
      <c r="AD11" s="95" t="s">
        <v>9</v>
      </c>
      <c r="AE11" s="95" t="s">
        <v>9</v>
      </c>
      <c r="AF11" s="95" t="s">
        <v>9</v>
      </c>
      <c r="AG11" s="98"/>
      <c r="AH11" s="108"/>
      <c r="AI11" s="95"/>
      <c r="AJ11" s="108"/>
      <c r="AK11" s="108"/>
      <c r="AL11" s="108"/>
      <c r="AM11" s="109"/>
    </row>
    <row r="12" ht="22.5" customHeight="1">
      <c r="A12" s="201"/>
      <c r="B12" s="95"/>
      <c r="C12" s="202"/>
      <c r="D12" s="89"/>
      <c r="E12" s="93">
        <f t="shared" si="1"/>
        <v>0</v>
      </c>
      <c r="F12" s="94" t="s">
        <v>309</v>
      </c>
      <c r="G12" s="95"/>
      <c r="H12" s="95" t="s">
        <v>180</v>
      </c>
      <c r="I12" s="209">
        <v>12.0</v>
      </c>
      <c r="J12" s="97"/>
      <c r="K12" s="98"/>
      <c r="L12" s="95" t="s">
        <v>18</v>
      </c>
      <c r="M12" s="95">
        <v>2.0</v>
      </c>
      <c r="N12" s="99" t="s">
        <v>312</v>
      </c>
      <c r="O12" s="95" t="s">
        <v>18</v>
      </c>
      <c r="P12" s="95" t="s">
        <v>18</v>
      </c>
      <c r="Q12" s="95" t="s">
        <v>18</v>
      </c>
      <c r="R12" s="95" t="s">
        <v>18</v>
      </c>
      <c r="S12" s="95" t="s">
        <v>18</v>
      </c>
      <c r="T12" s="95" t="s">
        <v>18</v>
      </c>
      <c r="U12" s="95" t="s">
        <v>18</v>
      </c>
      <c r="V12" s="95" t="s">
        <v>18</v>
      </c>
      <c r="W12" s="97">
        <v>46288.0</v>
      </c>
      <c r="X12" s="97"/>
      <c r="Y12" s="97"/>
      <c r="Z12" s="97"/>
      <c r="AA12" s="129"/>
      <c r="AB12" s="97"/>
      <c r="AC12" s="104"/>
      <c r="AD12" s="98"/>
      <c r="AE12" s="98"/>
      <c r="AF12" s="98"/>
      <c r="AG12" s="111"/>
      <c r="AH12" s="111"/>
      <c r="AI12" s="111" t="s">
        <v>18</v>
      </c>
      <c r="AJ12" s="108"/>
      <c r="AK12" s="108"/>
      <c r="AL12" s="130"/>
      <c r="AM12" s="109"/>
    </row>
    <row r="13" ht="22.5" customHeight="1">
      <c r="A13" s="201"/>
      <c r="B13" s="95"/>
      <c r="C13" s="202"/>
      <c r="D13" s="89"/>
      <c r="E13" s="93">
        <f t="shared" si="1"/>
        <v>2</v>
      </c>
      <c r="F13" s="94" t="s">
        <v>327</v>
      </c>
      <c r="G13" s="95"/>
      <c r="H13" s="95" t="s">
        <v>180</v>
      </c>
      <c r="I13" s="209">
        <v>12.0</v>
      </c>
      <c r="J13" s="97">
        <v>42579.0</v>
      </c>
      <c r="K13" s="111" t="s">
        <v>334</v>
      </c>
      <c r="L13" s="97">
        <v>46308.0</v>
      </c>
      <c r="M13" s="95">
        <v>2.0</v>
      </c>
      <c r="N13" s="99" t="s">
        <v>336</v>
      </c>
      <c r="O13" s="95" t="s">
        <v>18</v>
      </c>
      <c r="P13" s="95" t="s">
        <v>18</v>
      </c>
      <c r="Q13" s="95" t="s">
        <v>18</v>
      </c>
      <c r="R13" s="95" t="s">
        <v>18</v>
      </c>
      <c r="S13" s="95" t="s">
        <v>18</v>
      </c>
      <c r="T13" s="95" t="s">
        <v>18</v>
      </c>
      <c r="U13" s="95" t="s">
        <v>115</v>
      </c>
      <c r="V13" s="95" t="s">
        <v>18</v>
      </c>
      <c r="W13" s="95" t="s">
        <v>18</v>
      </c>
      <c r="X13" s="97">
        <v>46308.0</v>
      </c>
      <c r="Y13" s="97"/>
      <c r="Z13" s="97"/>
      <c r="AA13" s="95">
        <v>15.0</v>
      </c>
      <c r="AB13" s="97"/>
      <c r="AC13" s="95" t="s">
        <v>9</v>
      </c>
      <c r="AD13" s="98"/>
      <c r="AE13" s="98"/>
      <c r="AF13" s="98"/>
      <c r="AG13" s="111"/>
      <c r="AH13" s="111" t="s">
        <v>26</v>
      </c>
      <c r="AI13" s="111"/>
      <c r="AJ13" s="108"/>
      <c r="AK13" s="108"/>
      <c r="AL13" s="130"/>
      <c r="AM13" s="109"/>
    </row>
    <row r="14" ht="22.5" hidden="1" customHeight="1">
      <c r="A14" s="216"/>
      <c r="B14" s="217" t="s">
        <v>212</v>
      </c>
      <c r="C14" s="202" t="s">
        <v>99</v>
      </c>
      <c r="D14" s="218"/>
      <c r="E14" s="93">
        <f t="shared" si="1"/>
        <v>10</v>
      </c>
      <c r="F14" s="94" t="s">
        <v>363</v>
      </c>
      <c r="G14" s="95" t="s">
        <v>9</v>
      </c>
      <c r="H14" s="95" t="s">
        <v>168</v>
      </c>
      <c r="I14" s="96">
        <f t="shared" ref="I14:I18" si="3">INT((TODAY()-J14)/365.25)</f>
        <v>9</v>
      </c>
      <c r="J14" s="97">
        <v>42692.0</v>
      </c>
      <c r="K14" s="98" t="s">
        <v>377</v>
      </c>
      <c r="L14" s="97">
        <v>46091.0</v>
      </c>
      <c r="M14" s="95">
        <v>3.0</v>
      </c>
      <c r="N14" s="225" t="s">
        <v>379</v>
      </c>
      <c r="O14" s="97" t="s">
        <v>18</v>
      </c>
      <c r="P14" s="97" t="s">
        <v>18</v>
      </c>
      <c r="Q14" s="97">
        <v>46091.0</v>
      </c>
      <c r="R14" s="97">
        <v>46183.0</v>
      </c>
      <c r="S14" s="97">
        <v>46152.0</v>
      </c>
      <c r="T14" s="97">
        <v>46183.0</v>
      </c>
      <c r="U14" s="97">
        <v>46213.0</v>
      </c>
      <c r="V14" s="97">
        <v>46244.0</v>
      </c>
      <c r="W14" s="97">
        <v>46276.0</v>
      </c>
      <c r="X14" s="97">
        <v>46276.0</v>
      </c>
      <c r="Y14" s="97">
        <v>46276.0</v>
      </c>
      <c r="Z14" s="95" t="s">
        <v>383</v>
      </c>
      <c r="AA14" s="226">
        <v>10.0</v>
      </c>
      <c r="AB14" s="226">
        <v>2026.0</v>
      </c>
      <c r="AC14" s="226" t="s">
        <v>9</v>
      </c>
      <c r="AD14" s="226" t="s">
        <v>9</v>
      </c>
      <c r="AE14" s="226" t="s">
        <v>9</v>
      </c>
      <c r="AF14" s="226" t="s">
        <v>9</v>
      </c>
      <c r="AG14" s="229" t="s">
        <v>222</v>
      </c>
      <c r="AH14" s="226" t="s">
        <v>26</v>
      </c>
      <c r="AI14" s="226" t="s">
        <v>18</v>
      </c>
      <c r="AJ14" s="226" t="s">
        <v>391</v>
      </c>
      <c r="AK14" s="226" t="s">
        <v>395</v>
      </c>
      <c r="AL14" s="130" t="s">
        <v>30</v>
      </c>
      <c r="AM14" s="109"/>
    </row>
    <row r="15" ht="22.5" customHeight="1">
      <c r="A15" s="87"/>
      <c r="B15" s="89" t="s">
        <v>212</v>
      </c>
      <c r="C15" s="91"/>
      <c r="D15" s="89"/>
      <c r="E15" s="93">
        <f t="shared" si="1"/>
        <v>6</v>
      </c>
      <c r="F15" s="94" t="s">
        <v>422</v>
      </c>
      <c r="G15" s="95" t="s">
        <v>9</v>
      </c>
      <c r="H15" s="95" t="s">
        <v>10</v>
      </c>
      <c r="I15" s="96">
        <f t="shared" si="3"/>
        <v>7</v>
      </c>
      <c r="J15" s="97">
        <v>43509.0</v>
      </c>
      <c r="K15" s="98" t="s">
        <v>435</v>
      </c>
      <c r="L15" s="97">
        <v>46058.0</v>
      </c>
      <c r="M15" s="95">
        <v>2.0</v>
      </c>
      <c r="N15" s="99" t="s">
        <v>441</v>
      </c>
      <c r="O15" s="95" t="s">
        <v>18</v>
      </c>
      <c r="P15" s="97">
        <v>46058.0</v>
      </c>
      <c r="Q15" s="97">
        <v>46114.0</v>
      </c>
      <c r="R15" s="97">
        <v>46163.0</v>
      </c>
      <c r="S15" s="97">
        <v>46194.0</v>
      </c>
      <c r="T15" s="97">
        <v>46197.0</v>
      </c>
      <c r="U15" s="95" t="s">
        <v>453</v>
      </c>
      <c r="V15" s="97">
        <v>46218.0</v>
      </c>
      <c r="W15" s="97">
        <v>46247.0</v>
      </c>
      <c r="X15" s="97"/>
      <c r="Y15" s="97"/>
      <c r="Z15" s="97"/>
      <c r="AA15" s="95">
        <v>5.0</v>
      </c>
      <c r="AB15" s="104"/>
      <c r="AC15" s="104"/>
      <c r="AD15" s="95" t="s">
        <v>9</v>
      </c>
      <c r="AE15" s="108"/>
      <c r="AF15" s="108"/>
      <c r="AG15" s="111"/>
      <c r="AH15" s="95" t="s">
        <v>191</v>
      </c>
      <c r="AI15" s="95" t="s">
        <v>469</v>
      </c>
      <c r="AJ15" s="95" t="s">
        <v>281</v>
      </c>
      <c r="AK15" s="95" t="s">
        <v>473</v>
      </c>
      <c r="AL15" s="95" t="s">
        <v>178</v>
      </c>
      <c r="AM15" s="109"/>
    </row>
    <row r="16" ht="22.5" hidden="1" customHeight="1">
      <c r="A16" s="201"/>
      <c r="B16" s="95" t="s">
        <v>212</v>
      </c>
      <c r="C16" s="202" t="s">
        <v>483</v>
      </c>
      <c r="D16" s="89"/>
      <c r="E16" s="93">
        <f t="shared" si="1"/>
        <v>10</v>
      </c>
      <c r="F16" s="258" t="s">
        <v>492</v>
      </c>
      <c r="G16" s="95" t="s">
        <v>9</v>
      </c>
      <c r="H16" s="95" t="s">
        <v>168</v>
      </c>
      <c r="I16" s="96">
        <f t="shared" si="3"/>
        <v>10</v>
      </c>
      <c r="J16" s="97">
        <v>42514.0</v>
      </c>
      <c r="K16" s="98" t="s">
        <v>499</v>
      </c>
      <c r="L16" s="97">
        <v>46166.0</v>
      </c>
      <c r="M16" s="95">
        <v>4.0</v>
      </c>
      <c r="N16" s="128" t="s">
        <v>509</v>
      </c>
      <c r="O16" s="97">
        <v>46045.0</v>
      </c>
      <c r="P16" s="97">
        <v>46045.0</v>
      </c>
      <c r="Q16" s="97">
        <v>46045.0</v>
      </c>
      <c r="R16" s="97">
        <v>46045.0</v>
      </c>
      <c r="S16" s="97">
        <v>46045.0</v>
      </c>
      <c r="T16" s="97">
        <v>46045.0</v>
      </c>
      <c r="U16" s="97">
        <v>46045.0</v>
      </c>
      <c r="V16" s="97">
        <v>46045.0</v>
      </c>
      <c r="W16" s="97">
        <v>46045.0</v>
      </c>
      <c r="X16" s="97">
        <v>46045.0</v>
      </c>
      <c r="Y16" s="97">
        <v>46045.0</v>
      </c>
      <c r="Z16" s="97">
        <v>46045.0</v>
      </c>
      <c r="AA16" s="129">
        <v>10.0</v>
      </c>
      <c r="AB16" s="95">
        <v>2026.0</v>
      </c>
      <c r="AC16" s="104"/>
      <c r="AD16" s="98" t="s">
        <v>9</v>
      </c>
      <c r="AE16" s="98" t="s">
        <v>9</v>
      </c>
      <c r="AF16" s="98" t="s">
        <v>9</v>
      </c>
      <c r="AG16" s="111" t="s">
        <v>222</v>
      </c>
      <c r="AH16" s="111" t="s">
        <v>543</v>
      </c>
      <c r="AI16" s="111" t="s">
        <v>544</v>
      </c>
      <c r="AJ16" s="108" t="s">
        <v>28</v>
      </c>
      <c r="AK16" s="108" t="s">
        <v>548</v>
      </c>
      <c r="AL16" s="130" t="s">
        <v>30</v>
      </c>
      <c r="AM16" s="109"/>
    </row>
    <row r="17" ht="22.5" hidden="1" customHeight="1">
      <c r="A17" s="201"/>
      <c r="B17" s="95"/>
      <c r="C17" s="202"/>
      <c r="D17" s="89"/>
      <c r="E17" s="93">
        <f t="shared" si="1"/>
        <v>4</v>
      </c>
      <c r="F17" s="94" t="s">
        <v>565</v>
      </c>
      <c r="G17" s="95" t="s">
        <v>9</v>
      </c>
      <c r="H17" s="95" t="s">
        <v>168</v>
      </c>
      <c r="I17" s="96">
        <f t="shared" si="3"/>
        <v>10</v>
      </c>
      <c r="J17" s="97">
        <v>42476.0</v>
      </c>
      <c r="K17" s="111" t="s">
        <v>573</v>
      </c>
      <c r="L17" s="97">
        <v>46303.0</v>
      </c>
      <c r="M17" s="95">
        <v>2.0</v>
      </c>
      <c r="N17" s="99">
        <v>4.799957972E10</v>
      </c>
      <c r="O17" s="95" t="s">
        <v>18</v>
      </c>
      <c r="P17" s="95" t="s">
        <v>18</v>
      </c>
      <c r="Q17" s="95" t="s">
        <v>18</v>
      </c>
      <c r="R17" s="95" t="s">
        <v>18</v>
      </c>
      <c r="S17" s="95" t="s">
        <v>18</v>
      </c>
      <c r="T17" s="95" t="s">
        <v>18</v>
      </c>
      <c r="U17" s="95" t="s">
        <v>18</v>
      </c>
      <c r="V17" s="95" t="s">
        <v>18</v>
      </c>
      <c r="W17" s="95" t="s">
        <v>18</v>
      </c>
      <c r="X17" s="267">
        <v>46303.0</v>
      </c>
      <c r="Y17" s="97"/>
      <c r="Z17" s="97"/>
      <c r="AA17" s="95">
        <v>8.0</v>
      </c>
      <c r="AB17" s="97"/>
      <c r="AC17" s="104"/>
      <c r="AD17" s="98"/>
      <c r="AE17" s="98"/>
      <c r="AF17" s="98"/>
      <c r="AG17" s="111"/>
      <c r="AH17" s="111"/>
      <c r="AI17" s="111" t="s">
        <v>617</v>
      </c>
      <c r="AJ17" s="95" t="s">
        <v>619</v>
      </c>
      <c r="AK17" s="95" t="s">
        <v>623</v>
      </c>
      <c r="AL17" s="130" t="s">
        <v>178</v>
      </c>
      <c r="AM17" s="109"/>
    </row>
    <row r="18" ht="22.5" customHeight="1">
      <c r="A18" s="87"/>
      <c r="B18" s="89"/>
      <c r="C18" s="275"/>
      <c r="D18" s="89"/>
      <c r="E18" s="93">
        <f t="shared" si="1"/>
        <v>2</v>
      </c>
      <c r="F18" s="94" t="s">
        <v>639</v>
      </c>
      <c r="G18" s="95" t="s">
        <v>9</v>
      </c>
      <c r="H18" s="95" t="s">
        <v>10</v>
      </c>
      <c r="I18" s="96">
        <f t="shared" si="3"/>
        <v>9</v>
      </c>
      <c r="J18" s="97">
        <v>42889.0</v>
      </c>
      <c r="K18" s="111" t="s">
        <v>643</v>
      </c>
      <c r="L18" s="97">
        <v>46248.0</v>
      </c>
      <c r="M18" s="95">
        <v>1.0</v>
      </c>
      <c r="N18" s="99" t="s">
        <v>646</v>
      </c>
      <c r="O18" s="95" t="s">
        <v>18</v>
      </c>
      <c r="P18" s="95" t="s">
        <v>18</v>
      </c>
      <c r="Q18" s="95" t="s">
        <v>18</v>
      </c>
      <c r="R18" s="95" t="s">
        <v>18</v>
      </c>
      <c r="S18" s="95" t="s">
        <v>18</v>
      </c>
      <c r="T18" s="95" t="s">
        <v>18</v>
      </c>
      <c r="U18" s="95" t="s">
        <v>18</v>
      </c>
      <c r="V18" s="97">
        <v>46248.0</v>
      </c>
      <c r="W18" s="97">
        <v>46283.0</v>
      </c>
      <c r="X18" s="97"/>
      <c r="Y18" s="97"/>
      <c r="Z18" s="97"/>
      <c r="AA18" s="95">
        <v>15.0</v>
      </c>
      <c r="AB18" s="104"/>
      <c r="AC18" s="97"/>
      <c r="AD18" s="108"/>
      <c r="AE18" s="108"/>
      <c r="AF18" s="95" t="s">
        <v>190</v>
      </c>
      <c r="AG18" s="111" t="s">
        <v>222</v>
      </c>
      <c r="AH18" s="111"/>
      <c r="AI18" s="111"/>
      <c r="AJ18" s="108"/>
      <c r="AK18" s="108"/>
      <c r="AL18" s="108"/>
      <c r="AM18" s="109"/>
    </row>
    <row r="19" ht="22.5" customHeight="1">
      <c r="A19" s="281"/>
      <c r="B19" s="218"/>
      <c r="C19" s="218"/>
      <c r="D19" s="218"/>
      <c r="E19" s="93">
        <f t="shared" si="1"/>
        <v>0</v>
      </c>
      <c r="F19" s="94" t="s">
        <v>693</v>
      </c>
      <c r="G19" s="97"/>
      <c r="H19" s="95" t="s">
        <v>180</v>
      </c>
      <c r="I19" s="226">
        <v>9.0</v>
      </c>
      <c r="J19" s="286"/>
      <c r="K19" s="229"/>
      <c r="L19" s="97">
        <v>46293.0</v>
      </c>
      <c r="M19" s="95">
        <v>3.0</v>
      </c>
      <c r="N19" s="225" t="s">
        <v>712</v>
      </c>
      <c r="O19" s="95" t="s">
        <v>18</v>
      </c>
      <c r="P19" s="95" t="s">
        <v>18</v>
      </c>
      <c r="Q19" s="95" t="s">
        <v>18</v>
      </c>
      <c r="R19" s="95" t="s">
        <v>18</v>
      </c>
      <c r="S19" s="95" t="s">
        <v>18</v>
      </c>
      <c r="T19" s="95" t="s">
        <v>18</v>
      </c>
      <c r="U19" s="95" t="s">
        <v>18</v>
      </c>
      <c r="V19" s="95" t="s">
        <v>18</v>
      </c>
      <c r="W19" s="97">
        <v>46294.0</v>
      </c>
      <c r="X19" s="97"/>
      <c r="Y19" s="97"/>
      <c r="Z19" s="97"/>
      <c r="AA19" s="226"/>
      <c r="AB19" s="286"/>
      <c r="AC19" s="286"/>
      <c r="AD19" s="226"/>
      <c r="AE19" s="226"/>
      <c r="AF19" s="226"/>
      <c r="AG19" s="229"/>
      <c r="AH19" s="292"/>
      <c r="AI19" s="226"/>
      <c r="AJ19" s="226"/>
      <c r="AK19" s="226"/>
      <c r="AL19" s="226"/>
      <c r="AM19" s="109"/>
    </row>
    <row r="20" ht="22.5" customHeight="1">
      <c r="A20" s="87"/>
      <c r="B20" s="89" t="s">
        <v>212</v>
      </c>
      <c r="C20" s="275"/>
      <c r="D20" s="89" t="s">
        <v>760</v>
      </c>
      <c r="E20" s="93">
        <f t="shared" si="1"/>
        <v>10</v>
      </c>
      <c r="F20" s="127" t="s">
        <v>165</v>
      </c>
      <c r="G20" s="95" t="s">
        <v>9</v>
      </c>
      <c r="H20" s="95" t="s">
        <v>180</v>
      </c>
      <c r="I20" s="96">
        <f t="shared" ref="I20:I22" si="4">INT((TODAY()-J20)/365.25)</f>
        <v>12</v>
      </c>
      <c r="J20" s="97">
        <v>41655.0</v>
      </c>
      <c r="K20" s="98" t="s">
        <v>764</v>
      </c>
      <c r="L20" s="97" t="s">
        <v>18</v>
      </c>
      <c r="M20" s="95">
        <v>2.0</v>
      </c>
      <c r="N20" s="128" t="s">
        <v>767</v>
      </c>
      <c r="O20" s="97">
        <v>46049.0</v>
      </c>
      <c r="P20" s="97">
        <v>46097.0</v>
      </c>
      <c r="Q20" s="97">
        <v>46136.0</v>
      </c>
      <c r="R20" s="97">
        <v>46170.0</v>
      </c>
      <c r="S20" s="97">
        <v>46199.0</v>
      </c>
      <c r="T20" s="97">
        <v>46220.0</v>
      </c>
      <c r="U20" s="97">
        <v>46232.0</v>
      </c>
      <c r="V20" s="97">
        <v>46262.0</v>
      </c>
      <c r="W20" s="97"/>
      <c r="X20" s="97"/>
      <c r="Y20" s="97"/>
      <c r="Z20" s="97"/>
      <c r="AA20" s="95">
        <v>27.0</v>
      </c>
      <c r="AB20" s="95">
        <v>2026.0</v>
      </c>
      <c r="AC20" s="95" t="s">
        <v>9</v>
      </c>
      <c r="AD20" s="108" t="s">
        <v>9</v>
      </c>
      <c r="AE20" s="108" t="s">
        <v>9</v>
      </c>
      <c r="AF20" s="108" t="s">
        <v>9</v>
      </c>
      <c r="AG20" s="111" t="s">
        <v>222</v>
      </c>
      <c r="AH20" s="111" t="s">
        <v>26</v>
      </c>
      <c r="AI20" s="111" t="s">
        <v>18</v>
      </c>
      <c r="AJ20" s="108" t="s">
        <v>532</v>
      </c>
      <c r="AK20" s="108" t="s">
        <v>771</v>
      </c>
      <c r="AL20" s="95" t="s">
        <v>178</v>
      </c>
      <c r="AM20" s="109"/>
    </row>
    <row r="21" ht="22.5" customHeight="1">
      <c r="A21" s="87"/>
      <c r="B21" s="89"/>
      <c r="C21" s="275"/>
      <c r="D21" s="89"/>
      <c r="E21" s="93">
        <f t="shared" si="1"/>
        <v>7</v>
      </c>
      <c r="F21" s="94" t="s">
        <v>774</v>
      </c>
      <c r="G21" s="95" t="s">
        <v>9</v>
      </c>
      <c r="H21" s="95" t="s">
        <v>10</v>
      </c>
      <c r="I21" s="96">
        <f t="shared" si="4"/>
        <v>7</v>
      </c>
      <c r="J21" s="97">
        <v>43585.0</v>
      </c>
      <c r="K21" s="111" t="s">
        <v>778</v>
      </c>
      <c r="L21" s="97">
        <v>46273.0</v>
      </c>
      <c r="M21" s="95">
        <v>2.0</v>
      </c>
      <c r="N21" s="99" t="s">
        <v>781</v>
      </c>
      <c r="O21" s="95" t="s">
        <v>18</v>
      </c>
      <c r="P21" s="95" t="s">
        <v>18</v>
      </c>
      <c r="Q21" s="95" t="s">
        <v>18</v>
      </c>
      <c r="R21" s="95" t="s">
        <v>18</v>
      </c>
      <c r="S21" s="95" t="s">
        <v>18</v>
      </c>
      <c r="T21" s="95" t="s">
        <v>18</v>
      </c>
      <c r="U21" s="95" t="s">
        <v>18</v>
      </c>
      <c r="V21" s="95" t="s">
        <v>18</v>
      </c>
      <c r="W21" s="97">
        <v>46273.0</v>
      </c>
      <c r="X21" s="97">
        <v>46308.0</v>
      </c>
      <c r="Y21" s="97"/>
      <c r="Z21" s="97"/>
      <c r="AA21" s="95">
        <v>8.0</v>
      </c>
      <c r="AB21" s="104"/>
      <c r="AC21" s="97"/>
      <c r="AD21" s="108"/>
      <c r="AE21" s="95" t="s">
        <v>9</v>
      </c>
      <c r="AF21" s="95" t="s">
        <v>9</v>
      </c>
      <c r="AG21" s="111" t="s">
        <v>222</v>
      </c>
      <c r="AH21" s="111"/>
      <c r="AI21" s="111" t="s">
        <v>784</v>
      </c>
      <c r="AJ21" s="95" t="s">
        <v>785</v>
      </c>
      <c r="AK21" s="95" t="s">
        <v>786</v>
      </c>
      <c r="AL21" s="95" t="s">
        <v>186</v>
      </c>
      <c r="AM21" s="109"/>
    </row>
    <row r="22" ht="22.5" customHeight="1">
      <c r="A22" s="87"/>
      <c r="B22" s="89"/>
      <c r="C22" s="91"/>
      <c r="D22" s="89"/>
      <c r="E22" s="93">
        <f t="shared" si="1"/>
        <v>5</v>
      </c>
      <c r="F22" s="94" t="s">
        <v>791</v>
      </c>
      <c r="G22" s="95" t="s">
        <v>9</v>
      </c>
      <c r="H22" s="95" t="s">
        <v>168</v>
      </c>
      <c r="I22" s="96">
        <f t="shared" si="4"/>
        <v>6</v>
      </c>
      <c r="J22" s="97">
        <v>44052.0</v>
      </c>
      <c r="K22" s="111" t="s">
        <v>795</v>
      </c>
      <c r="L22" s="97">
        <v>46266.0</v>
      </c>
      <c r="M22" s="95">
        <v>2.0</v>
      </c>
      <c r="N22" s="99" t="s">
        <v>798</v>
      </c>
      <c r="O22" s="95" t="s">
        <v>18</v>
      </c>
      <c r="P22" s="95" t="s">
        <v>18</v>
      </c>
      <c r="Q22" s="95" t="s">
        <v>18</v>
      </c>
      <c r="R22" s="95" t="s">
        <v>18</v>
      </c>
      <c r="S22" s="95" t="s">
        <v>18</v>
      </c>
      <c r="T22" s="95" t="s">
        <v>18</v>
      </c>
      <c r="U22" s="95" t="s">
        <v>18</v>
      </c>
      <c r="V22" s="97">
        <v>46258.0</v>
      </c>
      <c r="W22" s="97">
        <v>46303.0</v>
      </c>
      <c r="X22" s="97"/>
      <c r="Y22" s="97"/>
      <c r="Z22" s="97"/>
      <c r="AA22" s="95">
        <v>25.0</v>
      </c>
      <c r="AB22" s="97"/>
      <c r="AC22" s="97"/>
      <c r="AD22" s="95" t="s">
        <v>9</v>
      </c>
      <c r="AE22" s="108"/>
      <c r="AF22" s="108"/>
      <c r="AG22" s="111"/>
      <c r="AH22" s="108"/>
      <c r="AI22" s="95" t="s">
        <v>799</v>
      </c>
      <c r="AJ22" s="95" t="s">
        <v>800</v>
      </c>
      <c r="AK22" s="95" t="s">
        <v>801</v>
      </c>
      <c r="AL22" s="95" t="s">
        <v>186</v>
      </c>
      <c r="AM22" s="109"/>
    </row>
    <row r="23" ht="22.5" customHeight="1">
      <c r="A23" s="87"/>
      <c r="B23" s="89"/>
      <c r="C23" s="91"/>
      <c r="D23" s="89"/>
      <c r="E23" s="93">
        <f t="shared" si="1"/>
        <v>0</v>
      </c>
      <c r="F23" s="94" t="s">
        <v>802</v>
      </c>
      <c r="G23" s="95"/>
      <c r="H23" s="95"/>
      <c r="I23" s="96"/>
      <c r="J23" s="97"/>
      <c r="K23" s="111"/>
      <c r="L23" s="97"/>
      <c r="M23" s="95">
        <v>3.0</v>
      </c>
      <c r="N23" s="99"/>
      <c r="O23" s="95" t="s">
        <v>18</v>
      </c>
      <c r="P23" s="95" t="s">
        <v>18</v>
      </c>
      <c r="Q23" s="95" t="s">
        <v>18</v>
      </c>
      <c r="R23" s="95" t="s">
        <v>18</v>
      </c>
      <c r="S23" s="95" t="s">
        <v>18</v>
      </c>
      <c r="T23" s="95" t="s">
        <v>18</v>
      </c>
      <c r="U23" s="95" t="s">
        <v>18</v>
      </c>
      <c r="V23" s="95" t="s">
        <v>18</v>
      </c>
      <c r="W23" s="95" t="s">
        <v>18</v>
      </c>
      <c r="X23" s="97">
        <v>46295.0</v>
      </c>
      <c r="Y23" s="97"/>
      <c r="Z23" s="97"/>
      <c r="AA23" s="95"/>
      <c r="AB23" s="97"/>
      <c r="AC23" s="97"/>
      <c r="AD23" s="95"/>
      <c r="AE23" s="108"/>
      <c r="AF23" s="108"/>
      <c r="AG23" s="111"/>
      <c r="AH23" s="108"/>
      <c r="AI23" s="95"/>
      <c r="AJ23" s="95"/>
      <c r="AK23" s="95"/>
      <c r="AL23" s="95"/>
      <c r="AM23" s="109"/>
    </row>
    <row r="24" ht="22.5" customHeight="1">
      <c r="A24" s="87"/>
      <c r="B24" s="89" t="s">
        <v>212</v>
      </c>
      <c r="C24" s="91"/>
      <c r="D24" s="89"/>
      <c r="E24" s="93">
        <f t="shared" si="1"/>
        <v>11</v>
      </c>
      <c r="F24" s="127" t="s">
        <v>164</v>
      </c>
      <c r="G24" s="95" t="s">
        <v>9</v>
      </c>
      <c r="H24" s="95" t="s">
        <v>10</v>
      </c>
      <c r="I24" s="96">
        <f t="shared" ref="I24:I76" si="5">INT((TODAY()-J24)/365.25)</f>
        <v>9</v>
      </c>
      <c r="J24" s="97">
        <v>42697.0</v>
      </c>
      <c r="K24" s="98" t="s">
        <v>803</v>
      </c>
      <c r="L24" s="97" t="s">
        <v>18</v>
      </c>
      <c r="M24" s="95">
        <v>3.0</v>
      </c>
      <c r="N24" s="128" t="s">
        <v>804</v>
      </c>
      <c r="O24" s="97">
        <v>46075.0</v>
      </c>
      <c r="P24" s="97">
        <v>46075.0</v>
      </c>
      <c r="Q24" s="97">
        <v>46146.0</v>
      </c>
      <c r="R24" s="97">
        <v>46146.0</v>
      </c>
      <c r="S24" s="97">
        <v>46204.0</v>
      </c>
      <c r="T24" s="97">
        <v>46204.0</v>
      </c>
      <c r="U24" s="97">
        <v>46280.0</v>
      </c>
      <c r="V24" s="97">
        <v>46280.0</v>
      </c>
      <c r="W24" s="97">
        <v>46296.0</v>
      </c>
      <c r="X24" s="97">
        <v>46308.0</v>
      </c>
      <c r="Y24" s="97"/>
      <c r="Z24" s="97"/>
      <c r="AA24" s="129">
        <v>10.0</v>
      </c>
      <c r="AB24" s="95">
        <v>2026.0</v>
      </c>
      <c r="AC24" s="95" t="s">
        <v>9</v>
      </c>
      <c r="AD24" s="108" t="s">
        <v>9</v>
      </c>
      <c r="AE24" s="108" t="s">
        <v>9</v>
      </c>
      <c r="AF24" s="108" t="s">
        <v>9</v>
      </c>
      <c r="AG24" s="111" t="s">
        <v>222</v>
      </c>
      <c r="AH24" s="108" t="s">
        <v>191</v>
      </c>
      <c r="AI24" s="95" t="s">
        <v>805</v>
      </c>
      <c r="AJ24" s="108" t="s">
        <v>619</v>
      </c>
      <c r="AK24" s="108" t="s">
        <v>806</v>
      </c>
      <c r="AL24" s="95" t="s">
        <v>178</v>
      </c>
      <c r="AM24" s="109"/>
    </row>
    <row r="25" ht="22.5" customHeight="1">
      <c r="A25" s="87"/>
      <c r="B25" s="89"/>
      <c r="C25" s="91"/>
      <c r="D25" s="89"/>
      <c r="E25" s="93">
        <f t="shared" si="1"/>
        <v>3</v>
      </c>
      <c r="F25" s="94" t="s">
        <v>154</v>
      </c>
      <c r="G25" s="95" t="s">
        <v>9</v>
      </c>
      <c r="H25" s="95" t="s">
        <v>10</v>
      </c>
      <c r="I25" s="96">
        <f t="shared" si="5"/>
        <v>12</v>
      </c>
      <c r="J25" s="97">
        <v>41676.0</v>
      </c>
      <c r="K25" s="98" t="s">
        <v>787</v>
      </c>
      <c r="L25" s="97" t="s">
        <v>18</v>
      </c>
      <c r="M25" s="95">
        <v>2.0</v>
      </c>
      <c r="N25" s="128" t="s">
        <v>279</v>
      </c>
      <c r="O25" s="95" t="s">
        <v>18</v>
      </c>
      <c r="P25" s="95" t="s">
        <v>18</v>
      </c>
      <c r="Q25" s="95" t="s">
        <v>18</v>
      </c>
      <c r="R25" s="95" t="s">
        <v>18</v>
      </c>
      <c r="S25" s="95" t="s">
        <v>18</v>
      </c>
      <c r="T25" s="97">
        <v>46197.0</v>
      </c>
      <c r="U25" s="97">
        <v>46279.0</v>
      </c>
      <c r="V25" s="95" t="s">
        <v>170</v>
      </c>
      <c r="W25" s="97">
        <v>46280.0</v>
      </c>
      <c r="X25" s="97"/>
      <c r="Y25" s="97"/>
      <c r="Z25" s="97"/>
      <c r="AA25" s="95">
        <v>10.0</v>
      </c>
      <c r="AB25" s="97"/>
      <c r="AC25" s="95" t="s">
        <v>9</v>
      </c>
      <c r="AD25" s="95" t="s">
        <v>9</v>
      </c>
      <c r="AE25" s="95"/>
      <c r="AF25" s="95"/>
      <c r="AG25" s="111" t="s">
        <v>222</v>
      </c>
      <c r="AH25" s="95"/>
      <c r="AI25" s="95"/>
      <c r="AJ25" s="95"/>
      <c r="AK25" s="95"/>
      <c r="AL25" s="95"/>
      <c r="AM25" s="109"/>
    </row>
    <row r="26" ht="22.5" hidden="1" customHeight="1">
      <c r="A26" s="87"/>
      <c r="B26" s="89" t="s">
        <v>212</v>
      </c>
      <c r="C26" s="91"/>
      <c r="D26" s="89"/>
      <c r="E26" s="93">
        <f t="shared" si="1"/>
        <v>8</v>
      </c>
      <c r="F26" s="327" t="s">
        <v>809</v>
      </c>
      <c r="G26" s="95" t="s">
        <v>9</v>
      </c>
      <c r="H26" s="95" t="s">
        <v>180</v>
      </c>
      <c r="I26" s="96">
        <f t="shared" si="5"/>
        <v>14</v>
      </c>
      <c r="J26" s="97">
        <v>40848.0</v>
      </c>
      <c r="K26" s="98" t="s">
        <v>811</v>
      </c>
      <c r="L26" s="97" t="s">
        <v>18</v>
      </c>
      <c r="M26" s="95">
        <v>4.0</v>
      </c>
      <c r="N26" s="128" t="s">
        <v>813</v>
      </c>
      <c r="O26" s="97">
        <v>46049.0</v>
      </c>
      <c r="P26" s="97">
        <v>46063.0</v>
      </c>
      <c r="Q26" s="97">
        <v>46091.0</v>
      </c>
      <c r="R26" s="97">
        <v>46128.0</v>
      </c>
      <c r="S26" s="97">
        <v>46153.0</v>
      </c>
      <c r="T26" s="97">
        <v>46188.0</v>
      </c>
      <c r="U26" s="97">
        <v>46213.0</v>
      </c>
      <c r="V26" s="97">
        <v>46252.0</v>
      </c>
      <c r="W26" s="97">
        <v>46279.0</v>
      </c>
      <c r="X26" s="97">
        <v>46302.0</v>
      </c>
      <c r="Y26" s="97"/>
      <c r="Z26" s="97"/>
      <c r="AA26" s="129">
        <v>10.0</v>
      </c>
      <c r="AB26" s="97"/>
      <c r="AC26" s="97"/>
      <c r="AD26" s="95" t="s">
        <v>9</v>
      </c>
      <c r="AE26" s="95" t="s">
        <v>9</v>
      </c>
      <c r="AF26" s="95" t="s">
        <v>9</v>
      </c>
      <c r="AG26" s="111"/>
      <c r="AH26" s="95" t="s">
        <v>191</v>
      </c>
      <c r="AI26" s="95" t="s">
        <v>817</v>
      </c>
      <c r="AJ26" s="108" t="s">
        <v>425</v>
      </c>
      <c r="AK26" s="95" t="s">
        <v>818</v>
      </c>
      <c r="AL26" s="95" t="s">
        <v>178</v>
      </c>
      <c r="AM26" s="109"/>
    </row>
    <row r="27" ht="22.5" customHeight="1">
      <c r="A27" s="87"/>
      <c r="B27" s="89"/>
      <c r="C27" s="91"/>
      <c r="D27" s="89"/>
      <c r="E27" s="93">
        <f t="shared" si="1"/>
        <v>5</v>
      </c>
      <c r="F27" s="94" t="s">
        <v>157</v>
      </c>
      <c r="G27" s="95" t="s">
        <v>9</v>
      </c>
      <c r="H27" s="95" t="s">
        <v>10</v>
      </c>
      <c r="I27" s="96">
        <f t="shared" si="5"/>
        <v>6</v>
      </c>
      <c r="J27" s="97">
        <v>43855.0</v>
      </c>
      <c r="K27" s="111" t="s">
        <v>821</v>
      </c>
      <c r="L27" s="97">
        <v>46212.0</v>
      </c>
      <c r="M27" s="95">
        <v>2.0</v>
      </c>
      <c r="N27" s="99" t="s">
        <v>822</v>
      </c>
      <c r="O27" s="95" t="s">
        <v>18</v>
      </c>
      <c r="P27" s="95" t="s">
        <v>18</v>
      </c>
      <c r="Q27" s="95" t="s">
        <v>18</v>
      </c>
      <c r="R27" s="95" t="s">
        <v>18</v>
      </c>
      <c r="S27" s="95" t="s">
        <v>18</v>
      </c>
      <c r="T27" s="95" t="s">
        <v>18</v>
      </c>
      <c r="U27" s="97">
        <v>46212.0</v>
      </c>
      <c r="V27" s="97">
        <v>46266.0</v>
      </c>
      <c r="W27" s="95" t="s">
        <v>170</v>
      </c>
      <c r="X27" s="97"/>
      <c r="Y27" s="97"/>
      <c r="Z27" s="97"/>
      <c r="AA27" s="95">
        <v>10.0</v>
      </c>
      <c r="AB27" s="97"/>
      <c r="AC27" s="97"/>
      <c r="AD27" s="95"/>
      <c r="AE27" s="95"/>
      <c r="AF27" s="95"/>
      <c r="AG27" s="111"/>
      <c r="AH27" s="95" t="s">
        <v>26</v>
      </c>
      <c r="AI27" s="95" t="s">
        <v>826</v>
      </c>
      <c r="AJ27" s="95" t="s">
        <v>281</v>
      </c>
      <c r="AK27" s="95" t="s">
        <v>827</v>
      </c>
      <c r="AL27" s="130" t="s">
        <v>30</v>
      </c>
      <c r="AM27" s="109"/>
    </row>
    <row r="28" ht="22.5" hidden="1" customHeight="1">
      <c r="A28" s="87"/>
      <c r="B28" s="89" t="s">
        <v>212</v>
      </c>
      <c r="C28" s="91"/>
      <c r="D28" s="89"/>
      <c r="E28" s="93">
        <f t="shared" si="1"/>
        <v>7</v>
      </c>
      <c r="F28" s="127" t="s">
        <v>830</v>
      </c>
      <c r="G28" s="95" t="s">
        <v>9</v>
      </c>
      <c r="H28" s="95" t="s">
        <v>168</v>
      </c>
      <c r="I28" s="96">
        <f t="shared" si="5"/>
        <v>10</v>
      </c>
      <c r="J28" s="97">
        <v>42406.0</v>
      </c>
      <c r="K28" s="98" t="s">
        <v>832</v>
      </c>
      <c r="L28" s="97">
        <v>2025.0</v>
      </c>
      <c r="M28" s="95">
        <v>2.0</v>
      </c>
      <c r="N28" s="128" t="s">
        <v>834</v>
      </c>
      <c r="O28" s="95" t="s">
        <v>18</v>
      </c>
      <c r="P28" s="95" t="s">
        <v>18</v>
      </c>
      <c r="Q28" s="95" t="s">
        <v>18</v>
      </c>
      <c r="R28" s="97">
        <v>46163.0</v>
      </c>
      <c r="S28" s="97">
        <v>46163.0</v>
      </c>
      <c r="T28" s="97">
        <v>46163.0</v>
      </c>
      <c r="U28" s="97">
        <v>46163.0</v>
      </c>
      <c r="V28" s="97">
        <v>46163.0</v>
      </c>
      <c r="W28" s="97">
        <v>46163.0</v>
      </c>
      <c r="X28" s="97">
        <v>46163.0</v>
      </c>
      <c r="Y28" s="97">
        <v>46163.0</v>
      </c>
      <c r="Z28" s="97">
        <v>46163.0</v>
      </c>
      <c r="AA28" s="129">
        <v>5.0</v>
      </c>
      <c r="AB28" s="104"/>
      <c r="AC28" s="104"/>
      <c r="AD28" s="108" t="s">
        <v>9</v>
      </c>
      <c r="AE28" s="108" t="s">
        <v>9</v>
      </c>
      <c r="AF28" s="108" t="s">
        <v>9</v>
      </c>
      <c r="AG28" s="111"/>
      <c r="AH28" s="108"/>
      <c r="AI28" s="95" t="s">
        <v>838</v>
      </c>
      <c r="AJ28" s="108" t="s">
        <v>839</v>
      </c>
      <c r="AK28" s="108" t="s">
        <v>840</v>
      </c>
      <c r="AL28" s="130" t="s">
        <v>30</v>
      </c>
      <c r="AM28" s="109"/>
    </row>
    <row r="29" ht="22.5" customHeight="1">
      <c r="A29" s="87"/>
      <c r="B29" s="89" t="s">
        <v>212</v>
      </c>
      <c r="C29" s="91"/>
      <c r="D29" s="89"/>
      <c r="E29" s="93">
        <f t="shared" si="1"/>
        <v>5</v>
      </c>
      <c r="F29" s="127" t="s">
        <v>844</v>
      </c>
      <c r="G29" s="95" t="s">
        <v>9</v>
      </c>
      <c r="H29" s="95" t="s">
        <v>168</v>
      </c>
      <c r="I29" s="96">
        <f t="shared" si="5"/>
        <v>11</v>
      </c>
      <c r="J29" s="97">
        <v>42019.0</v>
      </c>
      <c r="K29" s="98" t="s">
        <v>846</v>
      </c>
      <c r="L29" s="97" t="s">
        <v>18</v>
      </c>
      <c r="M29" s="95">
        <v>2.0</v>
      </c>
      <c r="N29" s="128" t="s">
        <v>847</v>
      </c>
      <c r="O29" s="97">
        <v>46045.0</v>
      </c>
      <c r="P29" s="97">
        <v>46080.0</v>
      </c>
      <c r="Q29" s="97">
        <v>46108.0</v>
      </c>
      <c r="R29" s="97">
        <v>46206.0</v>
      </c>
      <c r="S29" s="97">
        <v>46147.0</v>
      </c>
      <c r="T29" s="97">
        <v>46183.0</v>
      </c>
      <c r="U29" s="97">
        <v>46234.0</v>
      </c>
      <c r="V29" s="97">
        <v>46268.0</v>
      </c>
      <c r="W29" s="97"/>
      <c r="X29" s="97"/>
      <c r="Y29" s="97"/>
      <c r="Z29" s="97"/>
      <c r="AA29" s="95">
        <v>25.0</v>
      </c>
      <c r="AB29" s="104"/>
      <c r="AC29" s="104"/>
      <c r="AD29" s="95" t="s">
        <v>24</v>
      </c>
      <c r="AE29" s="108"/>
      <c r="AF29" s="108"/>
      <c r="AG29" s="98"/>
      <c r="AH29" s="108"/>
      <c r="AI29" s="95" t="s">
        <v>851</v>
      </c>
      <c r="AJ29" s="108" t="s">
        <v>619</v>
      </c>
      <c r="AK29" s="95" t="s">
        <v>852</v>
      </c>
      <c r="AL29" s="130" t="s">
        <v>30</v>
      </c>
      <c r="AM29" s="109"/>
    </row>
    <row r="30" ht="22.5" customHeight="1">
      <c r="A30" s="87"/>
      <c r="B30" s="89" t="s">
        <v>212</v>
      </c>
      <c r="C30" s="334"/>
      <c r="D30" s="89"/>
      <c r="E30" s="93">
        <f t="shared" si="1"/>
        <v>9</v>
      </c>
      <c r="F30" s="258" t="s">
        <v>854</v>
      </c>
      <c r="G30" s="95" t="s">
        <v>9</v>
      </c>
      <c r="H30" s="95" t="s">
        <v>10</v>
      </c>
      <c r="I30" s="96">
        <f t="shared" si="5"/>
        <v>11</v>
      </c>
      <c r="J30" s="97">
        <v>42089.0</v>
      </c>
      <c r="K30" s="98" t="s">
        <v>856</v>
      </c>
      <c r="L30" s="97" t="s">
        <v>18</v>
      </c>
      <c r="M30" s="95">
        <v>3.0</v>
      </c>
      <c r="N30" s="128" t="s">
        <v>857</v>
      </c>
      <c r="O30" s="97">
        <v>46048.0</v>
      </c>
      <c r="P30" s="97">
        <v>46087.0</v>
      </c>
      <c r="Q30" s="97">
        <v>46119.0</v>
      </c>
      <c r="R30" s="97">
        <v>46192.0</v>
      </c>
      <c r="S30" s="97">
        <v>46232.0</v>
      </c>
      <c r="T30" s="97">
        <v>46240.0</v>
      </c>
      <c r="U30" s="97">
        <v>46254.0</v>
      </c>
      <c r="V30" s="97"/>
      <c r="W30" s="97"/>
      <c r="X30" s="97"/>
      <c r="Y30" s="97"/>
      <c r="Z30" s="97"/>
      <c r="AA30" s="95">
        <v>25.0</v>
      </c>
      <c r="AB30" s="104"/>
      <c r="AC30" s="104"/>
      <c r="AD30" s="108" t="s">
        <v>9</v>
      </c>
      <c r="AE30" s="108" t="s">
        <v>9</v>
      </c>
      <c r="AF30" s="108" t="s">
        <v>9</v>
      </c>
      <c r="AG30" s="111" t="s">
        <v>222</v>
      </c>
      <c r="AH30" s="108" t="s">
        <v>26</v>
      </c>
      <c r="AI30" s="95" t="s">
        <v>862</v>
      </c>
      <c r="AJ30" s="108" t="s">
        <v>28</v>
      </c>
      <c r="AK30" s="108" t="s">
        <v>863</v>
      </c>
      <c r="AL30" s="130" t="s">
        <v>30</v>
      </c>
      <c r="AM30" s="109"/>
    </row>
    <row r="31" ht="22.5" customHeight="1">
      <c r="A31" s="87"/>
      <c r="B31" s="89"/>
      <c r="C31" s="334"/>
      <c r="D31" s="89"/>
      <c r="E31" s="93">
        <f t="shared" si="1"/>
        <v>4</v>
      </c>
      <c r="F31" s="258" t="s">
        <v>866</v>
      </c>
      <c r="G31" s="95" t="s">
        <v>9</v>
      </c>
      <c r="H31" s="95" t="s">
        <v>10</v>
      </c>
      <c r="I31" s="96">
        <f t="shared" si="5"/>
        <v>9</v>
      </c>
      <c r="J31" s="97">
        <v>42947.0</v>
      </c>
      <c r="K31" s="111" t="s">
        <v>870</v>
      </c>
      <c r="L31" s="95" t="s">
        <v>18</v>
      </c>
      <c r="M31" s="95">
        <v>2.0</v>
      </c>
      <c r="N31" s="99" t="s">
        <v>874</v>
      </c>
      <c r="O31" s="95" t="s">
        <v>18</v>
      </c>
      <c r="P31" s="95" t="s">
        <v>18</v>
      </c>
      <c r="Q31" s="95" t="s">
        <v>18</v>
      </c>
      <c r="R31" s="95" t="s">
        <v>18</v>
      </c>
      <c r="S31" s="95" t="s">
        <v>18</v>
      </c>
      <c r="T31" s="95" t="s">
        <v>115</v>
      </c>
      <c r="U31" s="95" t="s">
        <v>18</v>
      </c>
      <c r="V31" s="95" t="s">
        <v>18</v>
      </c>
      <c r="W31" s="97">
        <v>46265.0</v>
      </c>
      <c r="X31" s="97"/>
      <c r="Y31" s="97"/>
      <c r="Z31" s="97"/>
      <c r="AA31" s="95">
        <v>30.0</v>
      </c>
      <c r="AB31" s="104"/>
      <c r="AC31" s="104"/>
      <c r="AD31" s="108"/>
      <c r="AE31" s="108"/>
      <c r="AF31" s="108"/>
      <c r="AG31" s="98"/>
      <c r="AH31" s="108"/>
      <c r="AI31" s="95" t="s">
        <v>896</v>
      </c>
      <c r="AJ31" s="95" t="s">
        <v>897</v>
      </c>
      <c r="AK31" s="95" t="s">
        <v>899</v>
      </c>
      <c r="AL31" s="130" t="s">
        <v>186</v>
      </c>
      <c r="AM31" s="109"/>
    </row>
    <row r="32" ht="22.5" hidden="1" customHeight="1">
      <c r="A32" s="87"/>
      <c r="B32" s="89"/>
      <c r="C32" s="91"/>
      <c r="D32" s="89"/>
      <c r="E32" s="93">
        <f t="shared" si="1"/>
        <v>4</v>
      </c>
      <c r="F32" s="327" t="s">
        <v>149</v>
      </c>
      <c r="G32" s="95" t="s">
        <v>9</v>
      </c>
      <c r="H32" s="95" t="s">
        <v>180</v>
      </c>
      <c r="I32" s="96">
        <f t="shared" si="5"/>
        <v>9</v>
      </c>
      <c r="J32" s="97">
        <v>42723.0</v>
      </c>
      <c r="K32" s="98" t="s">
        <v>625</v>
      </c>
      <c r="L32" s="97" t="s">
        <v>909</v>
      </c>
      <c r="M32" s="95">
        <v>4.0</v>
      </c>
      <c r="N32" s="108" t="s">
        <v>628</v>
      </c>
      <c r="O32" s="95" t="s">
        <v>18</v>
      </c>
      <c r="P32" s="95" t="s">
        <v>18</v>
      </c>
      <c r="Q32" s="95" t="s">
        <v>18</v>
      </c>
      <c r="R32" s="95" t="s">
        <v>18</v>
      </c>
      <c r="S32" s="97">
        <v>46163.0</v>
      </c>
      <c r="T32" s="97">
        <v>46163.0</v>
      </c>
      <c r="U32" s="97">
        <v>46163.0</v>
      </c>
      <c r="V32" s="97">
        <v>46240.0</v>
      </c>
      <c r="W32" s="97">
        <v>46240.0</v>
      </c>
      <c r="X32" s="97">
        <v>46240.0</v>
      </c>
      <c r="Y32" s="97"/>
      <c r="Z32" s="97"/>
      <c r="AA32" s="95">
        <v>5.0</v>
      </c>
      <c r="AB32" s="97"/>
      <c r="AC32" s="104"/>
      <c r="AD32" s="108"/>
      <c r="AE32" s="108"/>
      <c r="AF32" s="108"/>
      <c r="AG32" s="111"/>
      <c r="AH32" s="108"/>
      <c r="AI32" s="95" t="s">
        <v>626</v>
      </c>
      <c r="AJ32" s="108" t="s">
        <v>281</v>
      </c>
      <c r="AK32" s="108" t="s">
        <v>627</v>
      </c>
      <c r="AL32" s="130" t="s">
        <v>30</v>
      </c>
      <c r="AM32" s="109"/>
    </row>
    <row r="33" ht="22.5" customHeight="1">
      <c r="A33" s="335"/>
      <c r="B33" s="222" t="s">
        <v>936</v>
      </c>
      <c r="C33" s="222"/>
      <c r="D33" s="218"/>
      <c r="E33" s="93">
        <f t="shared" si="1"/>
        <v>9</v>
      </c>
      <c r="F33" s="94" t="s">
        <v>937</v>
      </c>
      <c r="G33" s="95" t="s">
        <v>9</v>
      </c>
      <c r="H33" s="95" t="s">
        <v>180</v>
      </c>
      <c r="I33" s="96">
        <f t="shared" si="5"/>
        <v>10</v>
      </c>
      <c r="J33" s="97">
        <v>42571.0</v>
      </c>
      <c r="K33" s="98" t="s">
        <v>442</v>
      </c>
      <c r="L33" s="97">
        <v>46114.0</v>
      </c>
      <c r="M33" s="95">
        <v>2.0</v>
      </c>
      <c r="N33" s="225" t="s">
        <v>940</v>
      </c>
      <c r="O33" s="95" t="s">
        <v>18</v>
      </c>
      <c r="P33" s="95" t="s">
        <v>18</v>
      </c>
      <c r="Q33" s="95" t="s">
        <v>18</v>
      </c>
      <c r="R33" s="97">
        <v>46136.0</v>
      </c>
      <c r="S33" s="97">
        <v>46219.0</v>
      </c>
      <c r="T33" s="97">
        <v>46204.0</v>
      </c>
      <c r="U33" s="97">
        <v>46275.0</v>
      </c>
      <c r="V33" s="97">
        <v>46295.0</v>
      </c>
      <c r="W33" s="97"/>
      <c r="X33" s="97"/>
      <c r="Y33" s="97"/>
      <c r="Z33" s="97"/>
      <c r="AA33" s="226">
        <v>20.0</v>
      </c>
      <c r="AB33" s="286"/>
      <c r="AC33" s="226" t="s">
        <v>9</v>
      </c>
      <c r="AD33" s="226" t="s">
        <v>9</v>
      </c>
      <c r="AE33" s="226" t="s">
        <v>9</v>
      </c>
      <c r="AF33" s="226" t="s">
        <v>9</v>
      </c>
      <c r="AG33" s="229" t="s">
        <v>222</v>
      </c>
      <c r="AH33" s="292"/>
      <c r="AI33" s="226" t="s">
        <v>946</v>
      </c>
      <c r="AJ33" s="226" t="s">
        <v>948</v>
      </c>
      <c r="AK33" s="226" t="s">
        <v>949</v>
      </c>
      <c r="AL33" s="130" t="s">
        <v>30</v>
      </c>
      <c r="AM33" s="109"/>
    </row>
    <row r="34" ht="22.5" customHeight="1">
      <c r="A34" s="87"/>
      <c r="B34" s="89" t="s">
        <v>212</v>
      </c>
      <c r="C34" s="91"/>
      <c r="D34" s="89"/>
      <c r="E34" s="93">
        <f t="shared" si="1"/>
        <v>7</v>
      </c>
      <c r="F34" s="327" t="s">
        <v>163</v>
      </c>
      <c r="G34" s="95" t="s">
        <v>9</v>
      </c>
      <c r="H34" s="95" t="s">
        <v>180</v>
      </c>
      <c r="I34" s="96">
        <f t="shared" si="5"/>
        <v>14</v>
      </c>
      <c r="J34" s="97">
        <v>40905.0</v>
      </c>
      <c r="K34" s="98" t="s">
        <v>951</v>
      </c>
      <c r="L34" s="97" t="s">
        <v>18</v>
      </c>
      <c r="M34" s="95">
        <v>2.0</v>
      </c>
      <c r="N34" s="128" t="s">
        <v>952</v>
      </c>
      <c r="O34" s="97">
        <v>46037.0</v>
      </c>
      <c r="P34" s="97">
        <v>46068.0</v>
      </c>
      <c r="Q34" s="97">
        <v>46098.0</v>
      </c>
      <c r="R34" s="97">
        <v>46129.0</v>
      </c>
      <c r="S34" s="97">
        <v>46150.0</v>
      </c>
      <c r="T34" s="97">
        <v>46181.0</v>
      </c>
      <c r="U34" s="97">
        <v>46211.0</v>
      </c>
      <c r="V34" s="97">
        <v>46275.0</v>
      </c>
      <c r="W34" s="95" t="s">
        <v>955</v>
      </c>
      <c r="X34" s="95" t="s">
        <v>955</v>
      </c>
      <c r="Y34" s="95" t="s">
        <v>955</v>
      </c>
      <c r="Z34" s="95" t="s">
        <v>956</v>
      </c>
      <c r="AA34" s="129">
        <v>15.0</v>
      </c>
      <c r="AB34" s="104"/>
      <c r="AC34" s="104"/>
      <c r="AD34" s="108" t="s">
        <v>9</v>
      </c>
      <c r="AE34" s="95" t="s">
        <v>9</v>
      </c>
      <c r="AF34" s="108"/>
      <c r="AG34" s="108"/>
      <c r="AH34" s="108" t="s">
        <v>543</v>
      </c>
      <c r="AI34" s="95" t="s">
        <v>959</v>
      </c>
      <c r="AJ34" s="108" t="s">
        <v>281</v>
      </c>
      <c r="AK34" s="108" t="s">
        <v>960</v>
      </c>
      <c r="AL34" s="130" t="s">
        <v>30</v>
      </c>
      <c r="AM34" s="109"/>
    </row>
    <row r="35" ht="22.5" customHeight="1">
      <c r="A35" s="87"/>
      <c r="B35" s="89"/>
      <c r="C35" s="91"/>
      <c r="D35" s="89"/>
      <c r="E35" s="93">
        <f t="shared" si="1"/>
        <v>6</v>
      </c>
      <c r="F35" s="94" t="s">
        <v>961</v>
      </c>
      <c r="G35" s="95" t="s">
        <v>9</v>
      </c>
      <c r="H35" s="95" t="s">
        <v>10</v>
      </c>
      <c r="I35" s="96">
        <f t="shared" si="5"/>
        <v>8</v>
      </c>
      <c r="J35" s="97">
        <v>43123.0</v>
      </c>
      <c r="K35" s="111" t="s">
        <v>962</v>
      </c>
      <c r="L35" s="97">
        <v>46255.0</v>
      </c>
      <c r="M35" s="95">
        <v>2.0</v>
      </c>
      <c r="N35" s="225">
        <v>4.7984800201E10</v>
      </c>
      <c r="O35" s="95" t="s">
        <v>18</v>
      </c>
      <c r="P35" s="95" t="s">
        <v>18</v>
      </c>
      <c r="Q35" s="95" t="s">
        <v>18</v>
      </c>
      <c r="R35" s="95" t="s">
        <v>18</v>
      </c>
      <c r="S35" s="95" t="s">
        <v>18</v>
      </c>
      <c r="T35" s="95" t="s">
        <v>18</v>
      </c>
      <c r="U35" s="95" t="s">
        <v>18</v>
      </c>
      <c r="V35" s="97">
        <v>46255.0</v>
      </c>
      <c r="W35" s="97">
        <v>46255.0</v>
      </c>
      <c r="X35" s="97">
        <v>46255.0</v>
      </c>
      <c r="Y35" s="97">
        <v>46255.0</v>
      </c>
      <c r="Z35" s="95" t="s">
        <v>963</v>
      </c>
      <c r="AA35" s="226" t="s">
        <v>18</v>
      </c>
      <c r="AB35" s="226">
        <v>2026.0</v>
      </c>
      <c r="AC35" s="95" t="s">
        <v>9</v>
      </c>
      <c r="AD35" s="95" t="s">
        <v>9</v>
      </c>
      <c r="AE35" s="95" t="s">
        <v>9</v>
      </c>
      <c r="AF35" s="95" t="s">
        <v>9</v>
      </c>
      <c r="AG35" s="111" t="s">
        <v>222</v>
      </c>
      <c r="AH35" s="95"/>
      <c r="AI35" s="95"/>
      <c r="AJ35" s="108"/>
      <c r="AK35" s="108"/>
      <c r="AL35" s="130"/>
      <c r="AM35" s="109"/>
    </row>
    <row r="36" ht="22.5" customHeight="1">
      <c r="A36" s="87"/>
      <c r="B36" s="89"/>
      <c r="C36" s="89"/>
      <c r="D36" s="89"/>
      <c r="E36" s="93">
        <f t="shared" si="1"/>
        <v>7</v>
      </c>
      <c r="F36" s="94" t="s">
        <v>964</v>
      </c>
      <c r="G36" s="95" t="s">
        <v>9</v>
      </c>
      <c r="H36" s="95" t="s">
        <v>10</v>
      </c>
      <c r="I36" s="96">
        <f t="shared" si="5"/>
        <v>9</v>
      </c>
      <c r="J36" s="97">
        <v>42725.0</v>
      </c>
      <c r="K36" s="111" t="s">
        <v>965</v>
      </c>
      <c r="L36" s="95" t="s">
        <v>18</v>
      </c>
      <c r="M36" s="95"/>
      <c r="N36" s="225" t="s">
        <v>966</v>
      </c>
      <c r="O36" s="95" t="s">
        <v>18</v>
      </c>
      <c r="P36" s="95" t="s">
        <v>18</v>
      </c>
      <c r="Q36" s="95" t="s">
        <v>18</v>
      </c>
      <c r="R36" s="95" t="s">
        <v>18</v>
      </c>
      <c r="S36" s="95" t="s">
        <v>18</v>
      </c>
      <c r="T36" s="95" t="s">
        <v>18</v>
      </c>
      <c r="U36" s="95" t="s">
        <v>18</v>
      </c>
      <c r="V36" s="97">
        <v>46258.0</v>
      </c>
      <c r="W36" s="97">
        <v>46295.0</v>
      </c>
      <c r="X36" s="97"/>
      <c r="Y36" s="97"/>
      <c r="Z36" s="97"/>
      <c r="AA36" s="226">
        <v>20.0</v>
      </c>
      <c r="AB36" s="226">
        <v>2026.0</v>
      </c>
      <c r="AC36" s="226" t="s">
        <v>9</v>
      </c>
      <c r="AD36" s="226" t="s">
        <v>24</v>
      </c>
      <c r="AE36" s="226" t="s">
        <v>24</v>
      </c>
      <c r="AF36" s="226" t="s">
        <v>9</v>
      </c>
      <c r="AG36" s="229" t="s">
        <v>222</v>
      </c>
      <c r="AH36" s="226" t="s">
        <v>191</v>
      </c>
      <c r="AI36" s="95"/>
      <c r="AJ36" s="226"/>
      <c r="AK36" s="226"/>
      <c r="AL36" s="130"/>
      <c r="AM36" s="109"/>
    </row>
    <row r="37" ht="22.5" customHeight="1">
      <c r="A37" s="87"/>
      <c r="B37" s="89" t="s">
        <v>212</v>
      </c>
      <c r="C37" s="91"/>
      <c r="D37" s="89"/>
      <c r="E37" s="93">
        <f t="shared" si="1"/>
        <v>9</v>
      </c>
      <c r="F37" s="258" t="s">
        <v>967</v>
      </c>
      <c r="G37" s="95" t="s">
        <v>9</v>
      </c>
      <c r="H37" s="95" t="s">
        <v>968</v>
      </c>
      <c r="I37" s="96">
        <f t="shared" si="5"/>
        <v>13</v>
      </c>
      <c r="J37" s="97">
        <v>41247.0</v>
      </c>
      <c r="K37" s="98" t="s">
        <v>447</v>
      </c>
      <c r="L37" s="97" t="s">
        <v>18</v>
      </c>
      <c r="M37" s="95">
        <v>4.0</v>
      </c>
      <c r="N37" s="225" t="s">
        <v>969</v>
      </c>
      <c r="O37" s="97">
        <v>46051.0</v>
      </c>
      <c r="P37" s="97">
        <v>46081.0</v>
      </c>
      <c r="Q37" s="97">
        <v>46113.0</v>
      </c>
      <c r="R37" s="97">
        <v>46113.0</v>
      </c>
      <c r="S37" s="97">
        <v>46175.0</v>
      </c>
      <c r="T37" s="97">
        <v>46204.0</v>
      </c>
      <c r="U37" s="97">
        <v>46231.0</v>
      </c>
      <c r="V37" s="97">
        <v>46253.0</v>
      </c>
      <c r="W37" s="97">
        <v>46304.0</v>
      </c>
      <c r="X37" s="97">
        <v>46304.0</v>
      </c>
      <c r="Y37" s="97"/>
      <c r="Z37" s="97"/>
      <c r="AA37" s="226">
        <v>20.0</v>
      </c>
      <c r="AB37" s="286"/>
      <c r="AC37" s="95" t="s">
        <v>9</v>
      </c>
      <c r="AD37" s="95" t="s">
        <v>24</v>
      </c>
      <c r="AE37" s="108" t="s">
        <v>9</v>
      </c>
      <c r="AF37" s="108"/>
      <c r="AG37" s="111" t="s">
        <v>222</v>
      </c>
      <c r="AH37" s="95" t="s">
        <v>26</v>
      </c>
      <c r="AI37" s="95" t="s">
        <v>970</v>
      </c>
      <c r="AJ37" s="108" t="s">
        <v>425</v>
      </c>
      <c r="AK37" s="108" t="s">
        <v>971</v>
      </c>
      <c r="AL37" s="130" t="s">
        <v>30</v>
      </c>
      <c r="AM37" s="109"/>
    </row>
    <row r="38" ht="22.5" customHeight="1">
      <c r="A38" s="87"/>
      <c r="B38" s="89" t="s">
        <v>212</v>
      </c>
      <c r="C38" s="91"/>
      <c r="D38" s="89"/>
      <c r="E38" s="93">
        <f t="shared" si="1"/>
        <v>11</v>
      </c>
      <c r="F38" s="94" t="s">
        <v>972</v>
      </c>
      <c r="G38" s="95" t="s">
        <v>9</v>
      </c>
      <c r="H38" s="95" t="s">
        <v>180</v>
      </c>
      <c r="I38" s="96">
        <f t="shared" si="5"/>
        <v>7</v>
      </c>
      <c r="J38" s="97">
        <v>43508.0</v>
      </c>
      <c r="K38" s="98" t="s">
        <v>973</v>
      </c>
      <c r="L38" s="97" t="s">
        <v>18</v>
      </c>
      <c r="M38" s="226">
        <v>4.0</v>
      </c>
      <c r="N38" s="225" t="s">
        <v>974</v>
      </c>
      <c r="O38" s="95" t="s">
        <v>18</v>
      </c>
      <c r="P38" s="97">
        <v>46055.0</v>
      </c>
      <c r="Q38" s="97">
        <v>46090.0</v>
      </c>
      <c r="R38" s="97">
        <v>46119.0</v>
      </c>
      <c r="S38" s="97">
        <v>46161.0</v>
      </c>
      <c r="T38" s="97">
        <v>46184.0</v>
      </c>
      <c r="U38" s="97">
        <v>46213.0</v>
      </c>
      <c r="V38" s="97">
        <v>46246.0</v>
      </c>
      <c r="W38" s="97">
        <v>46276.0</v>
      </c>
      <c r="X38" s="97"/>
      <c r="Y38" s="97"/>
      <c r="Z38" s="97"/>
      <c r="AA38" s="229" t="s">
        <v>975</v>
      </c>
      <c r="AB38" s="226">
        <v>2026.0</v>
      </c>
      <c r="AC38" s="226" t="s">
        <v>9</v>
      </c>
      <c r="AD38" s="226" t="s">
        <v>9</v>
      </c>
      <c r="AE38" s="226" t="s">
        <v>9</v>
      </c>
      <c r="AF38" s="226" t="s">
        <v>190</v>
      </c>
      <c r="AG38" s="229" t="s">
        <v>222</v>
      </c>
      <c r="AH38" s="226" t="s">
        <v>191</v>
      </c>
      <c r="AI38" s="226" t="s">
        <v>976</v>
      </c>
      <c r="AJ38" s="226" t="s">
        <v>128</v>
      </c>
      <c r="AK38" s="226" t="s">
        <v>977</v>
      </c>
      <c r="AL38" s="130" t="s">
        <v>30</v>
      </c>
      <c r="AM38" s="109"/>
    </row>
    <row r="39" ht="22.5" customHeight="1">
      <c r="A39" s="87"/>
      <c r="B39" s="89" t="s">
        <v>212</v>
      </c>
      <c r="C39" s="89"/>
      <c r="D39" s="89"/>
      <c r="E39" s="93">
        <f t="shared" si="1"/>
        <v>8</v>
      </c>
      <c r="F39" s="94" t="s">
        <v>143</v>
      </c>
      <c r="G39" s="95" t="s">
        <v>9</v>
      </c>
      <c r="H39" s="95" t="s">
        <v>10</v>
      </c>
      <c r="I39" s="96">
        <f t="shared" si="5"/>
        <v>8</v>
      </c>
      <c r="J39" s="97">
        <v>43109.0</v>
      </c>
      <c r="K39" s="98" t="s">
        <v>978</v>
      </c>
      <c r="L39" s="97" t="s">
        <v>18</v>
      </c>
      <c r="M39" s="95">
        <v>2.0</v>
      </c>
      <c r="N39" s="225" t="s">
        <v>979</v>
      </c>
      <c r="O39" s="97" t="s">
        <v>18</v>
      </c>
      <c r="P39" s="97" t="s">
        <v>18</v>
      </c>
      <c r="Q39" s="97">
        <v>46096.0</v>
      </c>
      <c r="R39" s="97">
        <v>46184.0</v>
      </c>
      <c r="S39" s="97">
        <v>46184.0</v>
      </c>
      <c r="T39" s="97">
        <v>46055.0</v>
      </c>
      <c r="U39" s="97">
        <v>46218.0</v>
      </c>
      <c r="V39" s="97">
        <v>46254.0</v>
      </c>
      <c r="W39" s="97">
        <v>46293.0</v>
      </c>
      <c r="X39" s="97"/>
      <c r="Y39" s="97"/>
      <c r="Z39" s="97"/>
      <c r="AA39" s="226">
        <v>10.0</v>
      </c>
      <c r="AB39" s="226">
        <v>2026.0</v>
      </c>
      <c r="AC39" s="286"/>
      <c r="AD39" s="226" t="s">
        <v>9</v>
      </c>
      <c r="AE39" s="226"/>
      <c r="AF39" s="226" t="s">
        <v>9</v>
      </c>
      <c r="AG39" s="229" t="s">
        <v>222</v>
      </c>
      <c r="AH39" s="292"/>
      <c r="AI39" s="226" t="s">
        <v>980</v>
      </c>
      <c r="AJ39" s="226" t="s">
        <v>981</v>
      </c>
      <c r="AK39" s="226" t="s">
        <v>982</v>
      </c>
      <c r="AL39" s="130" t="s">
        <v>30</v>
      </c>
      <c r="AM39" s="109"/>
    </row>
    <row r="40" ht="22.5" customHeight="1">
      <c r="A40" s="87"/>
      <c r="B40" s="89"/>
      <c r="C40" s="91"/>
      <c r="D40" s="89"/>
      <c r="E40" s="93">
        <f t="shared" si="1"/>
        <v>7</v>
      </c>
      <c r="F40" s="94" t="s">
        <v>983</v>
      </c>
      <c r="G40" s="95" t="s">
        <v>9</v>
      </c>
      <c r="H40" s="95" t="s">
        <v>10</v>
      </c>
      <c r="I40" s="96">
        <f t="shared" si="5"/>
        <v>8</v>
      </c>
      <c r="J40" s="97">
        <v>43164.0</v>
      </c>
      <c r="K40" s="111" t="s">
        <v>985</v>
      </c>
      <c r="L40" s="97">
        <v>46238.0</v>
      </c>
      <c r="M40" s="95">
        <v>3.0</v>
      </c>
      <c r="N40" s="99" t="s">
        <v>986</v>
      </c>
      <c r="O40" s="95" t="s">
        <v>18</v>
      </c>
      <c r="P40" s="95" t="s">
        <v>18</v>
      </c>
      <c r="Q40" s="95" t="s">
        <v>18</v>
      </c>
      <c r="R40" s="95" t="s">
        <v>18</v>
      </c>
      <c r="S40" s="95" t="s">
        <v>18</v>
      </c>
      <c r="T40" s="95" t="s">
        <v>18</v>
      </c>
      <c r="U40" s="95" t="s">
        <v>18</v>
      </c>
      <c r="V40" s="97">
        <v>46238.0</v>
      </c>
      <c r="W40" s="97">
        <v>46280.0</v>
      </c>
      <c r="X40" s="97"/>
      <c r="Y40" s="97"/>
      <c r="Z40" s="97"/>
      <c r="AA40" s="95">
        <v>5.0</v>
      </c>
      <c r="AB40" s="104"/>
      <c r="AC40" s="104"/>
      <c r="AD40" s="95" t="s">
        <v>9</v>
      </c>
      <c r="AE40" s="95" t="s">
        <v>9</v>
      </c>
      <c r="AF40" s="108"/>
      <c r="AG40" s="111" t="s">
        <v>222</v>
      </c>
      <c r="AH40" s="108"/>
      <c r="AI40" s="95" t="s">
        <v>989</v>
      </c>
      <c r="AJ40" s="95" t="s">
        <v>990</v>
      </c>
      <c r="AK40" s="95" t="s">
        <v>991</v>
      </c>
      <c r="AL40" s="130" t="s">
        <v>30</v>
      </c>
      <c r="AM40" s="109"/>
    </row>
    <row r="41" ht="22.5" hidden="1" customHeight="1">
      <c r="A41" s="87"/>
      <c r="B41" s="89"/>
      <c r="C41" s="91"/>
      <c r="D41" s="89"/>
      <c r="E41" s="93">
        <f t="shared" si="1"/>
        <v>5</v>
      </c>
      <c r="F41" s="94" t="s">
        <v>144</v>
      </c>
      <c r="G41" s="95" t="s">
        <v>9</v>
      </c>
      <c r="H41" s="95" t="s">
        <v>180</v>
      </c>
      <c r="I41" s="96">
        <f t="shared" si="5"/>
        <v>10</v>
      </c>
      <c r="J41" s="97">
        <v>42478.0</v>
      </c>
      <c r="K41" s="98" t="s">
        <v>992</v>
      </c>
      <c r="L41" s="97" t="s">
        <v>18</v>
      </c>
      <c r="M41" s="95">
        <v>4.0</v>
      </c>
      <c r="N41" s="99" t="s">
        <v>993</v>
      </c>
      <c r="O41" s="97">
        <v>46062.0</v>
      </c>
      <c r="P41" s="97">
        <v>46171.0</v>
      </c>
      <c r="Q41" s="97">
        <v>46171.0</v>
      </c>
      <c r="R41" s="95" t="s">
        <v>18</v>
      </c>
      <c r="S41" s="95" t="s">
        <v>18</v>
      </c>
      <c r="T41" s="97">
        <v>46179.0</v>
      </c>
      <c r="U41" s="97">
        <v>46233.0</v>
      </c>
      <c r="V41" s="97">
        <v>46241.0</v>
      </c>
      <c r="W41" s="97">
        <v>46269.0</v>
      </c>
      <c r="X41" s="97">
        <v>46301.0</v>
      </c>
      <c r="Y41" s="97"/>
      <c r="Z41" s="97"/>
      <c r="AA41" s="95">
        <v>5.0</v>
      </c>
      <c r="AB41" s="104"/>
      <c r="AC41" s="104"/>
      <c r="AD41" s="108" t="s">
        <v>9</v>
      </c>
      <c r="AE41" s="108" t="s">
        <v>9</v>
      </c>
      <c r="AF41" s="108"/>
      <c r="AG41" s="98"/>
      <c r="AH41" s="108"/>
      <c r="AI41" s="95" t="s">
        <v>994</v>
      </c>
      <c r="AJ41" s="95" t="s">
        <v>532</v>
      </c>
      <c r="AK41" s="95" t="s">
        <v>18</v>
      </c>
      <c r="AL41" s="130" t="s">
        <v>30</v>
      </c>
      <c r="AM41" s="109"/>
    </row>
    <row r="42" ht="22.5" hidden="1" customHeight="1">
      <c r="A42" s="87"/>
      <c r="B42" s="89" t="s">
        <v>212</v>
      </c>
      <c r="C42" s="91" t="s">
        <v>98</v>
      </c>
      <c r="D42" s="89"/>
      <c r="E42" s="93">
        <f t="shared" si="1"/>
        <v>8</v>
      </c>
      <c r="F42" s="127" t="s">
        <v>995</v>
      </c>
      <c r="G42" s="95" t="s">
        <v>9</v>
      </c>
      <c r="H42" s="95" t="s">
        <v>180</v>
      </c>
      <c r="I42" s="96">
        <f t="shared" si="5"/>
        <v>13</v>
      </c>
      <c r="J42" s="97">
        <v>41446.0</v>
      </c>
      <c r="K42" s="98" t="s">
        <v>997</v>
      </c>
      <c r="L42" s="97" t="s">
        <v>18</v>
      </c>
      <c r="M42" s="95">
        <v>2.0</v>
      </c>
      <c r="N42" s="128" t="s">
        <v>999</v>
      </c>
      <c r="O42" s="97">
        <v>45845.0</v>
      </c>
      <c r="P42" s="97">
        <v>45845.0</v>
      </c>
      <c r="Q42" s="97">
        <v>45845.0</v>
      </c>
      <c r="R42" s="97">
        <v>45845.0</v>
      </c>
      <c r="S42" s="97" t="s">
        <v>1006</v>
      </c>
      <c r="T42" s="97" t="s">
        <v>1006</v>
      </c>
      <c r="U42" s="97" t="s">
        <v>1006</v>
      </c>
      <c r="V42" s="97" t="s">
        <v>1006</v>
      </c>
      <c r="W42" s="97" t="s">
        <v>1006</v>
      </c>
      <c r="X42" s="97" t="s">
        <v>1006</v>
      </c>
      <c r="Y42" s="97" t="s">
        <v>1006</v>
      </c>
      <c r="Z42" s="95" t="s">
        <v>1006</v>
      </c>
      <c r="AA42" s="129">
        <v>10.0</v>
      </c>
      <c r="AB42" s="104"/>
      <c r="AC42" s="104"/>
      <c r="AD42" s="95" t="s">
        <v>24</v>
      </c>
      <c r="AE42" s="108" t="s">
        <v>9</v>
      </c>
      <c r="AF42" s="108" t="s">
        <v>9</v>
      </c>
      <c r="AG42" s="98"/>
      <c r="AH42" s="108" t="s">
        <v>191</v>
      </c>
      <c r="AI42" s="95" t="s">
        <v>1012</v>
      </c>
      <c r="AJ42" s="108" t="s">
        <v>990</v>
      </c>
      <c r="AK42" s="108" t="s">
        <v>1013</v>
      </c>
      <c r="AL42" s="130" t="s">
        <v>30</v>
      </c>
      <c r="AM42" s="109"/>
    </row>
    <row r="43" ht="22.5" hidden="1" customHeight="1">
      <c r="A43" s="87"/>
      <c r="B43" s="89" t="s">
        <v>212</v>
      </c>
      <c r="C43" s="91" t="s">
        <v>97</v>
      </c>
      <c r="D43" s="89"/>
      <c r="E43" s="93">
        <f t="shared" si="1"/>
        <v>11</v>
      </c>
      <c r="F43" s="377" t="s">
        <v>1014</v>
      </c>
      <c r="G43" s="95" t="s">
        <v>9</v>
      </c>
      <c r="H43" s="95" t="s">
        <v>180</v>
      </c>
      <c r="I43" s="96">
        <f t="shared" si="5"/>
        <v>10</v>
      </c>
      <c r="J43" s="97">
        <v>42471.0</v>
      </c>
      <c r="K43" s="98" t="s">
        <v>1015</v>
      </c>
      <c r="L43" s="97" t="s">
        <v>18</v>
      </c>
      <c r="M43" s="95">
        <v>3.0</v>
      </c>
      <c r="N43" s="128" t="s">
        <v>1016</v>
      </c>
      <c r="O43" s="97" t="s">
        <v>1017</v>
      </c>
      <c r="P43" s="97" t="s">
        <v>1018</v>
      </c>
      <c r="Q43" s="97" t="s">
        <v>24</v>
      </c>
      <c r="R43" s="95" t="s">
        <v>24</v>
      </c>
      <c r="S43" s="97" t="s">
        <v>1019</v>
      </c>
      <c r="T43" s="97" t="s">
        <v>1020</v>
      </c>
      <c r="U43" s="97">
        <v>46218.0</v>
      </c>
      <c r="V43" s="97">
        <v>46248.0</v>
      </c>
      <c r="W43" s="97">
        <v>46248.0</v>
      </c>
      <c r="X43" s="97">
        <v>46248.0</v>
      </c>
      <c r="Y43" s="97">
        <v>46248.0</v>
      </c>
      <c r="Z43" s="379" t="s">
        <v>1021</v>
      </c>
      <c r="AA43" s="129">
        <v>10.0</v>
      </c>
      <c r="AB43" s="95">
        <v>2026.0</v>
      </c>
      <c r="AC43" s="95" t="s">
        <v>9</v>
      </c>
      <c r="AD43" s="108" t="s">
        <v>9</v>
      </c>
      <c r="AE43" s="108" t="s">
        <v>9</v>
      </c>
      <c r="AF43" s="108" t="s">
        <v>9</v>
      </c>
      <c r="AG43" s="111" t="s">
        <v>222</v>
      </c>
      <c r="AH43" s="108" t="s">
        <v>210</v>
      </c>
      <c r="AI43" s="95" t="s">
        <v>1022</v>
      </c>
      <c r="AJ43" s="108" t="s">
        <v>619</v>
      </c>
      <c r="AK43" s="108" t="s">
        <v>1023</v>
      </c>
      <c r="AL43" s="130" t="s">
        <v>30</v>
      </c>
      <c r="AM43" s="380"/>
    </row>
    <row r="44" ht="22.5" customHeight="1">
      <c r="A44" s="201"/>
      <c r="B44" s="95" t="s">
        <v>212</v>
      </c>
      <c r="C44" s="381"/>
      <c r="D44" s="95"/>
      <c r="E44" s="93">
        <f t="shared" si="1"/>
        <v>8</v>
      </c>
      <c r="F44" s="127" t="s">
        <v>1024</v>
      </c>
      <c r="G44" s="95" t="s">
        <v>9</v>
      </c>
      <c r="H44" s="95" t="s">
        <v>10</v>
      </c>
      <c r="I44" s="96">
        <f t="shared" si="5"/>
        <v>11</v>
      </c>
      <c r="J44" s="97">
        <v>42254.0</v>
      </c>
      <c r="K44" s="111" t="s">
        <v>1025</v>
      </c>
      <c r="L44" s="97" t="s">
        <v>18</v>
      </c>
      <c r="M44" s="95">
        <v>3.0</v>
      </c>
      <c r="N44" s="128" t="s">
        <v>1026</v>
      </c>
      <c r="O44" s="97">
        <v>46058.0</v>
      </c>
      <c r="P44" s="97">
        <v>46091.0</v>
      </c>
      <c r="Q44" s="97">
        <v>46113.0</v>
      </c>
      <c r="R44" s="97">
        <v>46171.0</v>
      </c>
      <c r="S44" s="97">
        <v>46171.0</v>
      </c>
      <c r="T44" s="97">
        <v>46212.0</v>
      </c>
      <c r="U44" s="97">
        <v>46248.0</v>
      </c>
      <c r="V44" s="97">
        <v>46276.0</v>
      </c>
      <c r="W44" s="97">
        <v>46304.0</v>
      </c>
      <c r="X44" s="97"/>
      <c r="Y44" s="97"/>
      <c r="Z44" s="97"/>
      <c r="AA44" s="95">
        <v>15.0</v>
      </c>
      <c r="AB44" s="104"/>
      <c r="AC44" s="104"/>
      <c r="AD44" s="108" t="s">
        <v>101</v>
      </c>
      <c r="AE44" s="108" t="s">
        <v>9</v>
      </c>
      <c r="AF44" s="108" t="s">
        <v>9</v>
      </c>
      <c r="AG44" s="382"/>
      <c r="AH44" s="108" t="s">
        <v>26</v>
      </c>
      <c r="AI44" s="95" t="s">
        <v>1027</v>
      </c>
      <c r="AJ44" s="108" t="s">
        <v>532</v>
      </c>
      <c r="AK44" s="108" t="s">
        <v>1028</v>
      </c>
      <c r="AL44" s="95" t="s">
        <v>178</v>
      </c>
      <c r="AM44" s="109"/>
    </row>
    <row r="45" ht="22.5" customHeight="1">
      <c r="A45" s="87"/>
      <c r="B45" s="89"/>
      <c r="C45" s="275"/>
      <c r="D45" s="89"/>
      <c r="E45" s="93">
        <f t="shared" si="1"/>
        <v>8</v>
      </c>
      <c r="F45" s="94" t="s">
        <v>1029</v>
      </c>
      <c r="G45" s="95" t="s">
        <v>9</v>
      </c>
      <c r="H45" s="95" t="s">
        <v>10</v>
      </c>
      <c r="I45" s="96">
        <f t="shared" si="5"/>
        <v>9</v>
      </c>
      <c r="J45" s="97">
        <v>42921.0</v>
      </c>
      <c r="K45" s="111" t="s">
        <v>1030</v>
      </c>
      <c r="L45" s="97">
        <v>46281.0</v>
      </c>
      <c r="M45" s="95">
        <v>2.0</v>
      </c>
      <c r="N45" s="99" t="s">
        <v>1031</v>
      </c>
      <c r="O45" s="95" t="s">
        <v>115</v>
      </c>
      <c r="P45" s="95" t="s">
        <v>18</v>
      </c>
      <c r="Q45" s="95" t="s">
        <v>18</v>
      </c>
      <c r="R45" s="95" t="s">
        <v>18</v>
      </c>
      <c r="S45" s="95" t="s">
        <v>18</v>
      </c>
      <c r="T45" s="95" t="s">
        <v>18</v>
      </c>
      <c r="U45" s="95" t="s">
        <v>18</v>
      </c>
      <c r="V45" s="95" t="s">
        <v>18</v>
      </c>
      <c r="W45" s="97">
        <v>46283.0</v>
      </c>
      <c r="X45" s="97"/>
      <c r="Y45" s="97"/>
      <c r="Z45" s="97"/>
      <c r="AA45" s="95"/>
      <c r="AB45" s="104"/>
      <c r="AC45" s="104"/>
      <c r="AD45" s="95" t="s">
        <v>9</v>
      </c>
      <c r="AE45" s="95" t="s">
        <v>9</v>
      </c>
      <c r="AF45" s="95" t="s">
        <v>190</v>
      </c>
      <c r="AG45" s="111" t="s">
        <v>222</v>
      </c>
      <c r="AH45" s="108"/>
      <c r="AI45" s="95" t="s">
        <v>1032</v>
      </c>
      <c r="AJ45" s="95" t="s">
        <v>1033</v>
      </c>
      <c r="AK45" s="95" t="s">
        <v>1034</v>
      </c>
      <c r="AL45" s="95" t="s">
        <v>186</v>
      </c>
      <c r="AM45" s="109"/>
    </row>
    <row r="46" ht="22.5" customHeight="1">
      <c r="A46" s="87"/>
      <c r="B46" s="89" t="s">
        <v>760</v>
      </c>
      <c r="C46" s="275"/>
      <c r="D46" s="89"/>
      <c r="E46" s="93">
        <f t="shared" si="1"/>
        <v>9</v>
      </c>
      <c r="F46" s="127" t="s">
        <v>166</v>
      </c>
      <c r="G46" s="95" t="s">
        <v>9</v>
      </c>
      <c r="H46" s="95" t="s">
        <v>10</v>
      </c>
      <c r="I46" s="96">
        <f t="shared" si="5"/>
        <v>9</v>
      </c>
      <c r="J46" s="97">
        <v>42813.0</v>
      </c>
      <c r="K46" s="98" t="s">
        <v>1037</v>
      </c>
      <c r="L46" s="97" t="s">
        <v>18</v>
      </c>
      <c r="M46" s="95">
        <v>2.0</v>
      </c>
      <c r="N46" s="128" t="s">
        <v>1038</v>
      </c>
      <c r="O46" s="97">
        <v>46042.0</v>
      </c>
      <c r="P46" s="97">
        <v>46063.0</v>
      </c>
      <c r="Q46" s="95" t="s">
        <v>60</v>
      </c>
      <c r="R46" s="95" t="s">
        <v>60</v>
      </c>
      <c r="S46" s="97">
        <v>46154.0</v>
      </c>
      <c r="T46" s="97">
        <v>46188.0</v>
      </c>
      <c r="U46" s="97">
        <v>46212.0</v>
      </c>
      <c r="V46" s="97">
        <v>46247.0</v>
      </c>
      <c r="W46" s="97">
        <v>46280.0</v>
      </c>
      <c r="X46" s="97">
        <v>46304.0</v>
      </c>
      <c r="Y46" s="97"/>
      <c r="Z46" s="97"/>
      <c r="AA46" s="129">
        <v>14.0</v>
      </c>
      <c r="AB46" s="97"/>
      <c r="AC46" s="104"/>
      <c r="AD46" s="108" t="s">
        <v>9</v>
      </c>
      <c r="AE46" s="108" t="s">
        <v>9</v>
      </c>
      <c r="AF46" s="108" t="s">
        <v>9</v>
      </c>
      <c r="AG46" s="111" t="s">
        <v>222</v>
      </c>
      <c r="AH46" s="95" t="s">
        <v>543</v>
      </c>
      <c r="AI46" s="95" t="s">
        <v>1066</v>
      </c>
      <c r="AJ46" s="108" t="s">
        <v>532</v>
      </c>
      <c r="AK46" s="108" t="s">
        <v>1070</v>
      </c>
      <c r="AL46" s="130" t="s">
        <v>30</v>
      </c>
      <c r="AM46" s="109"/>
    </row>
    <row r="47" ht="22.5" customHeight="1">
      <c r="A47" s="87"/>
      <c r="B47" s="89"/>
      <c r="C47" s="275"/>
      <c r="D47" s="89"/>
      <c r="E47" s="93">
        <f t="shared" si="1"/>
        <v>2</v>
      </c>
      <c r="F47" s="94" t="s">
        <v>1072</v>
      </c>
      <c r="G47" s="95" t="s">
        <v>9</v>
      </c>
      <c r="H47" s="95" t="s">
        <v>10</v>
      </c>
      <c r="I47" s="96">
        <f t="shared" si="5"/>
        <v>9</v>
      </c>
      <c r="J47" s="97">
        <v>42928.0</v>
      </c>
      <c r="K47" s="111" t="s">
        <v>1073</v>
      </c>
      <c r="L47" s="97">
        <v>46255.0</v>
      </c>
      <c r="M47" s="95"/>
      <c r="N47" s="99" t="s">
        <v>1074</v>
      </c>
      <c r="O47" s="95" t="s">
        <v>18</v>
      </c>
      <c r="P47" s="95" t="s">
        <v>18</v>
      </c>
      <c r="Q47" s="95" t="s">
        <v>18</v>
      </c>
      <c r="R47" s="95" t="s">
        <v>18</v>
      </c>
      <c r="S47" s="95" t="s">
        <v>18</v>
      </c>
      <c r="T47" s="95" t="s">
        <v>18</v>
      </c>
      <c r="U47" s="95" t="s">
        <v>18</v>
      </c>
      <c r="V47" s="97">
        <v>46259.0</v>
      </c>
      <c r="W47" s="97">
        <v>46280.0</v>
      </c>
      <c r="X47" s="97"/>
      <c r="Y47" s="97"/>
      <c r="Z47" s="97"/>
      <c r="AA47" s="95">
        <v>21.0</v>
      </c>
      <c r="AB47" s="95">
        <v>2026.0</v>
      </c>
      <c r="AC47" s="95" t="s">
        <v>9</v>
      </c>
      <c r="AD47" s="108"/>
      <c r="AE47" s="108"/>
      <c r="AF47" s="108"/>
      <c r="AG47" s="111"/>
      <c r="AH47" s="95"/>
      <c r="AI47" s="95"/>
      <c r="AJ47" s="108"/>
      <c r="AK47" s="108"/>
      <c r="AL47" s="130"/>
      <c r="AM47" s="109"/>
    </row>
    <row r="48" ht="22.5" hidden="1" customHeight="1">
      <c r="A48" s="87"/>
      <c r="B48" s="89"/>
      <c r="C48" s="275"/>
      <c r="D48" s="89"/>
      <c r="E48" s="93">
        <f t="shared" si="1"/>
        <v>6</v>
      </c>
      <c r="F48" s="377" t="s">
        <v>594</v>
      </c>
      <c r="G48" s="95" t="s">
        <v>9</v>
      </c>
      <c r="H48" s="95" t="s">
        <v>168</v>
      </c>
      <c r="I48" s="96">
        <f t="shared" si="5"/>
        <v>8</v>
      </c>
      <c r="J48" s="97">
        <v>43029.0</v>
      </c>
      <c r="K48" s="129" t="s">
        <v>597</v>
      </c>
      <c r="L48" s="97">
        <v>46286.0</v>
      </c>
      <c r="M48" s="95">
        <v>4.0</v>
      </c>
      <c r="N48" s="128" t="s">
        <v>595</v>
      </c>
      <c r="O48" s="95" t="s">
        <v>18</v>
      </c>
      <c r="P48" s="95" t="s">
        <v>18</v>
      </c>
      <c r="Q48" s="95" t="s">
        <v>18</v>
      </c>
      <c r="R48" s="95" t="s">
        <v>18</v>
      </c>
      <c r="S48" s="95" t="s">
        <v>18</v>
      </c>
      <c r="T48" s="95" t="s">
        <v>18</v>
      </c>
      <c r="U48" s="95" t="s">
        <v>18</v>
      </c>
      <c r="V48" s="95" t="s">
        <v>18</v>
      </c>
      <c r="W48" s="95" t="s">
        <v>1075</v>
      </c>
      <c r="X48" s="95" t="s">
        <v>1075</v>
      </c>
      <c r="Y48" s="95" t="s">
        <v>1075</v>
      </c>
      <c r="Z48" s="379" t="s">
        <v>1076</v>
      </c>
      <c r="AA48" s="95">
        <v>20.0</v>
      </c>
      <c r="AB48" s="97"/>
      <c r="AC48" s="95" t="s">
        <v>9</v>
      </c>
      <c r="AD48" s="95" t="s">
        <v>9</v>
      </c>
      <c r="AE48" s="95" t="s">
        <v>9</v>
      </c>
      <c r="AF48" s="95" t="s">
        <v>9</v>
      </c>
      <c r="AG48" s="111" t="s">
        <v>222</v>
      </c>
      <c r="AH48" s="95" t="s">
        <v>260</v>
      </c>
      <c r="AI48" s="95"/>
      <c r="AJ48" s="108"/>
      <c r="AK48" s="108"/>
      <c r="AL48" s="130"/>
      <c r="AM48" s="109"/>
    </row>
    <row r="49" ht="22.5" customHeight="1">
      <c r="A49" s="87"/>
      <c r="B49" s="89" t="s">
        <v>212</v>
      </c>
      <c r="C49" s="91"/>
      <c r="D49" s="89"/>
      <c r="E49" s="93">
        <f t="shared" si="1"/>
        <v>7</v>
      </c>
      <c r="F49" s="94" t="s">
        <v>140</v>
      </c>
      <c r="G49" s="95" t="s">
        <v>9</v>
      </c>
      <c r="H49" s="95" t="s">
        <v>10</v>
      </c>
      <c r="I49" s="96">
        <f t="shared" si="5"/>
        <v>8</v>
      </c>
      <c r="J49" s="97">
        <v>43346.0</v>
      </c>
      <c r="K49" s="98" t="s">
        <v>474</v>
      </c>
      <c r="L49" s="97">
        <v>46091.0</v>
      </c>
      <c r="M49" s="95">
        <v>1.0</v>
      </c>
      <c r="N49" s="99" t="s">
        <v>1077</v>
      </c>
      <c r="O49" s="97" t="s">
        <v>18</v>
      </c>
      <c r="P49" s="97" t="s">
        <v>18</v>
      </c>
      <c r="Q49" s="97">
        <v>46091.0</v>
      </c>
      <c r="R49" s="97"/>
      <c r="S49" s="97"/>
      <c r="T49" s="97"/>
      <c r="U49" s="97"/>
      <c r="V49" s="97"/>
      <c r="W49" s="97"/>
      <c r="X49" s="97"/>
      <c r="Y49" s="97"/>
      <c r="Z49" s="97"/>
      <c r="AA49" s="95">
        <v>10.0</v>
      </c>
      <c r="AB49" s="95">
        <v>2026.0</v>
      </c>
      <c r="AC49" s="104"/>
      <c r="AD49" s="95" t="s">
        <v>9</v>
      </c>
      <c r="AE49" s="95" t="s">
        <v>9</v>
      </c>
      <c r="AF49" s="95" t="s">
        <v>9</v>
      </c>
      <c r="AG49" s="111"/>
      <c r="AH49" s="108"/>
      <c r="AI49" s="95" t="s">
        <v>18</v>
      </c>
      <c r="AJ49" s="95" t="s">
        <v>1078</v>
      </c>
      <c r="AK49" s="95" t="s">
        <v>1079</v>
      </c>
      <c r="AL49" s="130" t="s">
        <v>30</v>
      </c>
      <c r="AM49" s="109"/>
    </row>
    <row r="50" ht="22.5" customHeight="1">
      <c r="A50" s="87"/>
      <c r="B50" s="89" t="s">
        <v>936</v>
      </c>
      <c r="C50" s="89"/>
      <c r="D50" s="89"/>
      <c r="E50" s="93">
        <f t="shared" si="1"/>
        <v>5</v>
      </c>
      <c r="F50" s="94" t="s">
        <v>145</v>
      </c>
      <c r="G50" s="95" t="s">
        <v>9</v>
      </c>
      <c r="H50" s="95" t="s">
        <v>10</v>
      </c>
      <c r="I50" s="96">
        <f t="shared" si="5"/>
        <v>11</v>
      </c>
      <c r="J50" s="97">
        <v>42221.0</v>
      </c>
      <c r="K50" s="98" t="s">
        <v>1081</v>
      </c>
      <c r="L50" s="97">
        <v>46139.0</v>
      </c>
      <c r="M50" s="95">
        <v>1.0</v>
      </c>
      <c r="N50" s="225" t="s">
        <v>1083</v>
      </c>
      <c r="O50" s="95" t="s">
        <v>1084</v>
      </c>
      <c r="P50" s="95" t="s">
        <v>1085</v>
      </c>
      <c r="Q50" s="95" t="s">
        <v>1086</v>
      </c>
      <c r="R50" s="95">
        <v>15.0</v>
      </c>
      <c r="S50" s="95" t="s">
        <v>18</v>
      </c>
      <c r="T50" s="97">
        <v>46195.0</v>
      </c>
      <c r="U50" s="97">
        <v>46217.0</v>
      </c>
      <c r="V50" s="97">
        <v>46251.0</v>
      </c>
      <c r="W50" s="97">
        <v>46294.0</v>
      </c>
      <c r="X50" s="97"/>
      <c r="Y50" s="97"/>
      <c r="Z50" s="97"/>
      <c r="AA50" s="226">
        <v>15.0</v>
      </c>
      <c r="AB50" s="286"/>
      <c r="AC50" s="286"/>
      <c r="AD50" s="226"/>
      <c r="AE50" s="226"/>
      <c r="AF50" s="226"/>
      <c r="AG50" s="229"/>
      <c r="AH50" s="226" t="s">
        <v>191</v>
      </c>
      <c r="AI50" s="226" t="s">
        <v>1107</v>
      </c>
      <c r="AJ50" s="226" t="s">
        <v>128</v>
      </c>
      <c r="AK50" s="226" t="s">
        <v>1108</v>
      </c>
      <c r="AL50" s="130" t="s">
        <v>30</v>
      </c>
      <c r="AM50" s="109"/>
    </row>
    <row r="51" ht="22.5" customHeight="1">
      <c r="A51" s="87"/>
      <c r="B51" s="89"/>
      <c r="C51" s="275"/>
      <c r="D51" s="89"/>
      <c r="E51" s="93">
        <f t="shared" si="1"/>
        <v>4</v>
      </c>
      <c r="F51" s="94" t="s">
        <v>1109</v>
      </c>
      <c r="G51" s="95" t="s">
        <v>9</v>
      </c>
      <c r="H51" s="95" t="s">
        <v>180</v>
      </c>
      <c r="I51" s="96">
        <f t="shared" si="5"/>
        <v>12</v>
      </c>
      <c r="J51" s="97">
        <v>41630.0</v>
      </c>
      <c r="K51" s="111" t="s">
        <v>1110</v>
      </c>
      <c r="L51" s="97">
        <v>46266.0</v>
      </c>
      <c r="M51" s="95">
        <v>2.0</v>
      </c>
      <c r="N51" s="225" t="s">
        <v>1111</v>
      </c>
      <c r="O51" s="95" t="s">
        <v>18</v>
      </c>
      <c r="P51" s="95" t="s">
        <v>18</v>
      </c>
      <c r="Q51" s="95" t="s">
        <v>18</v>
      </c>
      <c r="R51" s="95" t="s">
        <v>18</v>
      </c>
      <c r="S51" s="95" t="s">
        <v>18</v>
      </c>
      <c r="T51" s="95" t="s">
        <v>18</v>
      </c>
      <c r="U51" s="95" t="s">
        <v>18</v>
      </c>
      <c r="V51" s="95" t="s">
        <v>18</v>
      </c>
      <c r="W51" s="97">
        <v>46268.0</v>
      </c>
      <c r="X51" s="97"/>
      <c r="Y51" s="97"/>
      <c r="Z51" s="97"/>
      <c r="AA51" s="95">
        <v>5.0</v>
      </c>
      <c r="AB51" s="97"/>
      <c r="AC51" s="97"/>
      <c r="AD51" s="95"/>
      <c r="AE51" s="95"/>
      <c r="AF51" s="95"/>
      <c r="AG51" s="111"/>
      <c r="AH51" s="405"/>
      <c r="AI51" s="95" t="s">
        <v>1112</v>
      </c>
      <c r="AJ51" s="95" t="s">
        <v>337</v>
      </c>
      <c r="AK51" s="95" t="s">
        <v>1113</v>
      </c>
      <c r="AL51" s="95" t="s">
        <v>178</v>
      </c>
      <c r="AM51" s="109"/>
    </row>
    <row r="52" ht="22.5" customHeight="1">
      <c r="A52" s="87"/>
      <c r="B52" s="89"/>
      <c r="C52" s="275"/>
      <c r="D52" s="89"/>
      <c r="E52" s="93">
        <f t="shared" si="1"/>
        <v>0</v>
      </c>
      <c r="F52" s="94" t="s">
        <v>158</v>
      </c>
      <c r="G52" s="95"/>
      <c r="H52" s="95" t="s">
        <v>10</v>
      </c>
      <c r="I52" s="96">
        <f t="shared" si="5"/>
        <v>7</v>
      </c>
      <c r="J52" s="97">
        <v>43429.0</v>
      </c>
      <c r="K52" s="98"/>
      <c r="L52" s="97" t="s">
        <v>18</v>
      </c>
      <c r="M52" s="95"/>
      <c r="N52" s="225" t="s">
        <v>1114</v>
      </c>
      <c r="O52" s="95" t="s">
        <v>18</v>
      </c>
      <c r="P52" s="97">
        <v>46072.0</v>
      </c>
      <c r="Q52" s="97">
        <v>46105.0</v>
      </c>
      <c r="R52" s="97">
        <v>46142.0</v>
      </c>
      <c r="S52" s="97">
        <v>46199.0</v>
      </c>
      <c r="T52" s="97">
        <v>46199.0</v>
      </c>
      <c r="U52" s="95" t="s">
        <v>1115</v>
      </c>
      <c r="V52" s="97">
        <v>46254.0</v>
      </c>
      <c r="W52" s="97">
        <v>46289.0</v>
      </c>
      <c r="X52" s="97"/>
      <c r="Y52" s="97"/>
      <c r="Z52" s="97"/>
      <c r="AA52" s="95">
        <v>25.0</v>
      </c>
      <c r="AB52" s="97"/>
      <c r="AC52" s="97"/>
      <c r="AD52" s="95"/>
      <c r="AE52" s="95"/>
      <c r="AF52" s="95"/>
      <c r="AG52" s="111"/>
      <c r="AH52" s="405"/>
      <c r="AI52" s="95" t="s">
        <v>18</v>
      </c>
      <c r="AJ52" s="95"/>
      <c r="AK52" s="95"/>
      <c r="AL52" s="95"/>
      <c r="AM52" s="109"/>
    </row>
    <row r="53" ht="22.5" customHeight="1">
      <c r="A53" s="87"/>
      <c r="B53" s="89"/>
      <c r="C53" s="275"/>
      <c r="D53" s="89"/>
      <c r="E53" s="93">
        <f t="shared" si="1"/>
        <v>6</v>
      </c>
      <c r="F53" s="94" t="s">
        <v>156</v>
      </c>
      <c r="G53" s="95"/>
      <c r="H53" s="95" t="s">
        <v>10</v>
      </c>
      <c r="I53" s="96">
        <f t="shared" si="5"/>
        <v>11</v>
      </c>
      <c r="J53" s="97">
        <v>42277.0</v>
      </c>
      <c r="K53" s="111" t="s">
        <v>1116</v>
      </c>
      <c r="L53" s="97">
        <v>46111.0</v>
      </c>
      <c r="M53" s="95">
        <v>1.0</v>
      </c>
      <c r="N53" s="225" t="s">
        <v>1117</v>
      </c>
      <c r="O53" s="99" t="s">
        <v>18</v>
      </c>
      <c r="P53" s="95" t="s">
        <v>18</v>
      </c>
      <c r="Q53" s="95" t="s">
        <v>18</v>
      </c>
      <c r="R53" s="267">
        <v>46160.0</v>
      </c>
      <c r="S53" s="97">
        <v>46160.0</v>
      </c>
      <c r="T53" s="97">
        <v>46195.0</v>
      </c>
      <c r="U53" s="97">
        <v>46237.0</v>
      </c>
      <c r="V53" s="97">
        <v>46237.0</v>
      </c>
      <c r="W53" s="97">
        <v>46286.0</v>
      </c>
      <c r="X53" s="97"/>
      <c r="Y53" s="97"/>
      <c r="Z53" s="97"/>
      <c r="AA53" s="95">
        <v>5.0</v>
      </c>
      <c r="AB53" s="97"/>
      <c r="AC53" s="95" t="s">
        <v>9</v>
      </c>
      <c r="AD53" s="95" t="s">
        <v>9</v>
      </c>
      <c r="AE53" s="95" t="s">
        <v>9</v>
      </c>
      <c r="AF53" s="95" t="s">
        <v>9</v>
      </c>
      <c r="AG53" s="111" t="s">
        <v>222</v>
      </c>
      <c r="AH53" s="95" t="s">
        <v>26</v>
      </c>
      <c r="AI53" s="95"/>
      <c r="AJ53" s="95"/>
      <c r="AK53" s="95"/>
      <c r="AL53" s="95"/>
      <c r="AM53" s="109"/>
    </row>
    <row r="54" ht="22.5" hidden="1" customHeight="1">
      <c r="A54" s="87"/>
      <c r="B54" s="89"/>
      <c r="C54" s="91"/>
      <c r="D54" s="89"/>
      <c r="E54" s="93">
        <f t="shared" si="1"/>
        <v>5</v>
      </c>
      <c r="F54" s="94" t="s">
        <v>1118</v>
      </c>
      <c r="G54" s="95" t="s">
        <v>9</v>
      </c>
      <c r="H54" s="95" t="s">
        <v>10</v>
      </c>
      <c r="I54" s="96">
        <f t="shared" si="5"/>
        <v>11</v>
      </c>
      <c r="J54" s="97">
        <v>42184.0</v>
      </c>
      <c r="K54" s="111" t="s">
        <v>1119</v>
      </c>
      <c r="L54" s="97">
        <v>46212.0</v>
      </c>
      <c r="M54" s="95">
        <v>2.0</v>
      </c>
      <c r="N54" s="99">
        <v>4.7999582838E10</v>
      </c>
      <c r="O54" s="95" t="s">
        <v>18</v>
      </c>
      <c r="P54" s="95" t="s">
        <v>18</v>
      </c>
      <c r="Q54" s="95" t="s">
        <v>18</v>
      </c>
      <c r="R54" s="95" t="s">
        <v>18</v>
      </c>
      <c r="S54" s="95" t="s">
        <v>18</v>
      </c>
      <c r="T54" s="95" t="s">
        <v>18</v>
      </c>
      <c r="U54" s="97">
        <v>46212.0</v>
      </c>
      <c r="V54" s="97">
        <v>46242.0</v>
      </c>
      <c r="W54" s="97">
        <v>46267.0</v>
      </c>
      <c r="X54" s="97">
        <v>46303.0</v>
      </c>
      <c r="Y54" s="97"/>
      <c r="Z54" s="97"/>
      <c r="AA54" s="95">
        <v>10.0</v>
      </c>
      <c r="AB54" s="104"/>
      <c r="AC54" s="104"/>
      <c r="AD54" s="95" t="s">
        <v>9</v>
      </c>
      <c r="AE54" s="108"/>
      <c r="AF54" s="108"/>
      <c r="AG54" s="98"/>
      <c r="AH54" s="95"/>
      <c r="AI54" s="95" t="s">
        <v>1120</v>
      </c>
      <c r="AJ54" s="95" t="s">
        <v>281</v>
      </c>
      <c r="AK54" s="95" t="s">
        <v>1121</v>
      </c>
      <c r="AL54" s="95" t="s">
        <v>186</v>
      </c>
      <c r="AM54" s="109"/>
    </row>
    <row r="55" ht="22.5" customHeight="1">
      <c r="A55" s="87"/>
      <c r="B55" s="89" t="s">
        <v>212</v>
      </c>
      <c r="C55" s="91"/>
      <c r="D55" s="89"/>
      <c r="E55" s="93">
        <f t="shared" si="1"/>
        <v>7</v>
      </c>
      <c r="F55" s="258" t="s">
        <v>1122</v>
      </c>
      <c r="G55" s="95" t="s">
        <v>9</v>
      </c>
      <c r="H55" s="95" t="s">
        <v>168</v>
      </c>
      <c r="I55" s="96">
        <f t="shared" si="5"/>
        <v>11</v>
      </c>
      <c r="J55" s="97">
        <v>42287.0</v>
      </c>
      <c r="K55" s="98" t="s">
        <v>1123</v>
      </c>
      <c r="L55" s="97" t="s">
        <v>18</v>
      </c>
      <c r="M55" s="95">
        <v>3.0</v>
      </c>
      <c r="N55" s="128" t="s">
        <v>1124</v>
      </c>
      <c r="O55" s="97">
        <v>46115.0</v>
      </c>
      <c r="P55" s="97">
        <v>46125.0</v>
      </c>
      <c r="Q55" s="97">
        <v>46147.0</v>
      </c>
      <c r="R55" s="97">
        <v>46195.0</v>
      </c>
      <c r="S55" s="97">
        <v>46212.0</v>
      </c>
      <c r="T55" s="97">
        <v>46219.0</v>
      </c>
      <c r="U55" s="97">
        <v>46219.0</v>
      </c>
      <c r="V55" s="97">
        <v>46254.0</v>
      </c>
      <c r="W55" s="97">
        <v>46296.0</v>
      </c>
      <c r="X55" s="97"/>
      <c r="Y55" s="97"/>
      <c r="Z55" s="97"/>
      <c r="AA55" s="129">
        <v>20.0</v>
      </c>
      <c r="AB55" s="104"/>
      <c r="AC55" s="104"/>
      <c r="AD55" s="108" t="s">
        <v>9</v>
      </c>
      <c r="AE55" s="108" t="s">
        <v>9</v>
      </c>
      <c r="AF55" s="108" t="s">
        <v>1125</v>
      </c>
      <c r="AG55" s="98"/>
      <c r="AH55" s="95"/>
      <c r="AI55" s="95" t="s">
        <v>1126</v>
      </c>
      <c r="AJ55" s="108" t="s">
        <v>128</v>
      </c>
      <c r="AK55" s="95" t="s">
        <v>1127</v>
      </c>
      <c r="AL55" s="95" t="s">
        <v>30</v>
      </c>
      <c r="AM55" s="109"/>
    </row>
    <row r="56" ht="22.5" customHeight="1">
      <c r="A56" s="87"/>
      <c r="B56" s="89" t="s">
        <v>936</v>
      </c>
      <c r="C56" s="406"/>
      <c r="D56" s="89"/>
      <c r="E56" s="93">
        <f t="shared" si="1"/>
        <v>1</v>
      </c>
      <c r="F56" s="94" t="s">
        <v>155</v>
      </c>
      <c r="G56" s="95" t="s">
        <v>9</v>
      </c>
      <c r="H56" s="95" t="s">
        <v>10</v>
      </c>
      <c r="I56" s="96">
        <f t="shared" si="5"/>
        <v>5</v>
      </c>
      <c r="J56" s="97">
        <v>44182.0</v>
      </c>
      <c r="K56" s="98" t="s">
        <v>1128</v>
      </c>
      <c r="L56" s="97">
        <v>46072.0</v>
      </c>
      <c r="M56" s="95"/>
      <c r="N56" s="99" t="s">
        <v>1114</v>
      </c>
      <c r="O56" s="97" t="s">
        <v>690</v>
      </c>
      <c r="P56" s="97">
        <v>46072.0</v>
      </c>
      <c r="Q56" s="97">
        <v>46105.0</v>
      </c>
      <c r="R56" s="97">
        <v>46142.0</v>
      </c>
      <c r="S56" s="97">
        <v>46199.0</v>
      </c>
      <c r="T56" s="97">
        <v>46199.0</v>
      </c>
      <c r="U56" s="95" t="s">
        <v>1115</v>
      </c>
      <c r="V56" s="97">
        <v>46254.0</v>
      </c>
      <c r="W56" s="97">
        <v>46289.0</v>
      </c>
      <c r="X56" s="97"/>
      <c r="Y56" s="97"/>
      <c r="Z56" s="97"/>
      <c r="AA56" s="95">
        <v>20.0</v>
      </c>
      <c r="AB56" s="97"/>
      <c r="AC56" s="104"/>
      <c r="AD56" s="95" t="s">
        <v>24</v>
      </c>
      <c r="AE56" s="108"/>
      <c r="AF56" s="108"/>
      <c r="AG56" s="98"/>
      <c r="AH56" s="95"/>
      <c r="AI56" s="95"/>
      <c r="AJ56" s="108"/>
      <c r="AK56" s="95"/>
      <c r="AL56" s="95"/>
      <c r="AM56" s="109"/>
    </row>
    <row r="57" ht="22.5" customHeight="1">
      <c r="A57" s="87"/>
      <c r="B57" s="89"/>
      <c r="C57" s="91"/>
      <c r="D57" s="89"/>
      <c r="E57" s="93">
        <f t="shared" si="1"/>
        <v>4</v>
      </c>
      <c r="F57" s="94" t="s">
        <v>1129</v>
      </c>
      <c r="G57" s="95" t="s">
        <v>9</v>
      </c>
      <c r="H57" s="95" t="s">
        <v>10</v>
      </c>
      <c r="I57" s="96">
        <f t="shared" si="5"/>
        <v>10</v>
      </c>
      <c r="J57" s="97">
        <v>42384.0</v>
      </c>
      <c r="K57" s="111" t="s">
        <v>1130</v>
      </c>
      <c r="L57" s="95" t="s">
        <v>18</v>
      </c>
      <c r="M57" s="95"/>
      <c r="N57" s="99" t="s">
        <v>1131</v>
      </c>
      <c r="O57" s="95" t="s">
        <v>18</v>
      </c>
      <c r="P57" s="95" t="s">
        <v>18</v>
      </c>
      <c r="Q57" s="95" t="s">
        <v>18</v>
      </c>
      <c r="R57" s="95" t="s">
        <v>18</v>
      </c>
      <c r="S57" s="95" t="s">
        <v>18</v>
      </c>
      <c r="T57" s="95" t="s">
        <v>18</v>
      </c>
      <c r="U57" s="95" t="s">
        <v>18</v>
      </c>
      <c r="V57" s="95" t="s">
        <v>18</v>
      </c>
      <c r="W57" s="97"/>
      <c r="X57" s="97"/>
      <c r="Y57" s="97"/>
      <c r="Z57" s="97"/>
      <c r="AA57" s="95">
        <v>20.0</v>
      </c>
      <c r="AB57" s="97"/>
      <c r="AC57" s="97"/>
      <c r="AD57" s="95"/>
      <c r="AE57" s="95" t="s">
        <v>9</v>
      </c>
      <c r="AF57" s="95"/>
      <c r="AG57" s="111"/>
      <c r="AH57" s="95"/>
      <c r="AI57" s="95" t="s">
        <v>18</v>
      </c>
      <c r="AJ57" s="95" t="s">
        <v>1132</v>
      </c>
      <c r="AK57" s="95" t="s">
        <v>1133</v>
      </c>
      <c r="AL57" s="95" t="s">
        <v>178</v>
      </c>
      <c r="AM57" s="109"/>
    </row>
    <row r="58" ht="22.5" customHeight="1">
      <c r="A58" s="87"/>
      <c r="B58" s="89"/>
      <c r="C58" s="91"/>
      <c r="D58" s="89"/>
      <c r="E58" s="93">
        <f t="shared" si="1"/>
        <v>8</v>
      </c>
      <c r="F58" s="94" t="s">
        <v>1134</v>
      </c>
      <c r="G58" s="95" t="s">
        <v>9</v>
      </c>
      <c r="H58" s="95" t="s">
        <v>10</v>
      </c>
      <c r="I58" s="96">
        <f t="shared" si="5"/>
        <v>8</v>
      </c>
      <c r="J58" s="97">
        <v>43298.0</v>
      </c>
      <c r="K58" s="111" t="s">
        <v>1135</v>
      </c>
      <c r="L58" s="97">
        <v>46279.0</v>
      </c>
      <c r="M58" s="95">
        <v>4.0</v>
      </c>
      <c r="N58" s="99" t="s">
        <v>1136</v>
      </c>
      <c r="O58" s="95" t="s">
        <v>18</v>
      </c>
      <c r="P58" s="95" t="s">
        <v>18</v>
      </c>
      <c r="Q58" s="95" t="s">
        <v>18</v>
      </c>
      <c r="R58" s="95" t="s">
        <v>18</v>
      </c>
      <c r="S58" s="95" t="s">
        <v>18</v>
      </c>
      <c r="T58" s="95" t="s">
        <v>18</v>
      </c>
      <c r="U58" s="95" t="s">
        <v>18</v>
      </c>
      <c r="V58" s="95" t="s">
        <v>18</v>
      </c>
      <c r="W58" s="97">
        <v>46280.0</v>
      </c>
      <c r="X58" s="97"/>
      <c r="Y58" s="97"/>
      <c r="Z58" s="97"/>
      <c r="AA58" s="95">
        <v>15.0</v>
      </c>
      <c r="AB58" s="97"/>
      <c r="AC58" s="97"/>
      <c r="AD58" s="95" t="s">
        <v>9</v>
      </c>
      <c r="AE58" s="95" t="s">
        <v>9</v>
      </c>
      <c r="AF58" s="95" t="s">
        <v>9</v>
      </c>
      <c r="AG58" s="111"/>
      <c r="AH58" s="95" t="s">
        <v>260</v>
      </c>
      <c r="AI58" s="95" t="s">
        <v>1137</v>
      </c>
      <c r="AJ58" s="95" t="s">
        <v>532</v>
      </c>
      <c r="AK58" s="95" t="s">
        <v>1138</v>
      </c>
      <c r="AL58" s="95" t="s">
        <v>186</v>
      </c>
      <c r="AM58" s="109"/>
    </row>
    <row r="59" ht="22.5" customHeight="1">
      <c r="A59" s="87"/>
      <c r="B59" s="89" t="s">
        <v>212</v>
      </c>
      <c r="C59" s="91"/>
      <c r="D59" s="89"/>
      <c r="E59" s="93">
        <f t="shared" si="1"/>
        <v>5</v>
      </c>
      <c r="F59" s="94" t="s">
        <v>146</v>
      </c>
      <c r="G59" s="95" t="s">
        <v>9</v>
      </c>
      <c r="H59" s="95" t="s">
        <v>10</v>
      </c>
      <c r="I59" s="96">
        <f t="shared" si="5"/>
        <v>11</v>
      </c>
      <c r="J59" s="97">
        <v>42039.0</v>
      </c>
      <c r="K59" s="111" t="s">
        <v>1139</v>
      </c>
      <c r="L59" s="97">
        <v>46045.0</v>
      </c>
      <c r="M59" s="95">
        <v>3.0</v>
      </c>
      <c r="N59" s="99" t="s">
        <v>1140</v>
      </c>
      <c r="O59" s="97">
        <v>46045.0</v>
      </c>
      <c r="P59" s="97">
        <v>46101.0</v>
      </c>
      <c r="Q59" s="95" t="s">
        <v>18</v>
      </c>
      <c r="R59" s="95" t="s">
        <v>18</v>
      </c>
      <c r="S59" s="95" t="s">
        <v>18</v>
      </c>
      <c r="T59" s="95" t="s">
        <v>18</v>
      </c>
      <c r="U59" s="97">
        <v>46227.0</v>
      </c>
      <c r="V59" s="97">
        <v>46248.0</v>
      </c>
      <c r="W59" s="97">
        <v>46283.0</v>
      </c>
      <c r="X59" s="97"/>
      <c r="Y59" s="97"/>
      <c r="Z59" s="97"/>
      <c r="AA59" s="95">
        <v>10.0</v>
      </c>
      <c r="AB59" s="97"/>
      <c r="AC59" s="97"/>
      <c r="AD59" s="95" t="s">
        <v>9</v>
      </c>
      <c r="AE59" s="95"/>
      <c r="AF59" s="95"/>
      <c r="AG59" s="111"/>
      <c r="AH59" s="95"/>
      <c r="AI59" s="95" t="s">
        <v>1141</v>
      </c>
      <c r="AJ59" s="95" t="s">
        <v>1142</v>
      </c>
      <c r="AK59" s="95" t="s">
        <v>1143</v>
      </c>
      <c r="AL59" s="95" t="s">
        <v>178</v>
      </c>
      <c r="AM59" s="109"/>
    </row>
    <row r="60" ht="22.5" customHeight="1">
      <c r="A60" s="87"/>
      <c r="B60" s="89" t="s">
        <v>212</v>
      </c>
      <c r="C60" s="91"/>
      <c r="D60" s="89"/>
      <c r="E60" s="93">
        <f t="shared" si="1"/>
        <v>11</v>
      </c>
      <c r="F60" s="327" t="s">
        <v>162</v>
      </c>
      <c r="G60" s="95" t="s">
        <v>9</v>
      </c>
      <c r="H60" s="95" t="s">
        <v>180</v>
      </c>
      <c r="I60" s="96">
        <f t="shared" si="5"/>
        <v>12</v>
      </c>
      <c r="J60" s="97">
        <v>41811.0</v>
      </c>
      <c r="K60" s="98" t="s">
        <v>1144</v>
      </c>
      <c r="L60" s="97">
        <v>46048.0</v>
      </c>
      <c r="M60" s="95">
        <v>3.0</v>
      </c>
      <c r="N60" s="99" t="s">
        <v>1145</v>
      </c>
      <c r="O60" s="97" t="s">
        <v>1146</v>
      </c>
      <c r="P60" s="97">
        <v>46078.0</v>
      </c>
      <c r="Q60" s="97">
        <v>46106.0</v>
      </c>
      <c r="R60" s="97">
        <v>46138.0</v>
      </c>
      <c r="S60" s="97">
        <v>46165.0</v>
      </c>
      <c r="T60" s="97">
        <v>46192.0</v>
      </c>
      <c r="U60" s="97">
        <v>46227.0</v>
      </c>
      <c r="V60" s="97">
        <v>46258.0</v>
      </c>
      <c r="W60" s="97">
        <v>46300.0</v>
      </c>
      <c r="X60" s="97"/>
      <c r="Y60" s="97"/>
      <c r="Z60" s="97"/>
      <c r="AA60" s="95">
        <v>5.0</v>
      </c>
      <c r="AB60" s="95">
        <v>2026.0</v>
      </c>
      <c r="AC60" s="95" t="s">
        <v>9</v>
      </c>
      <c r="AD60" s="95" t="s">
        <v>9</v>
      </c>
      <c r="AE60" s="95" t="s">
        <v>9</v>
      </c>
      <c r="AF60" s="95" t="s">
        <v>9</v>
      </c>
      <c r="AG60" s="111" t="s">
        <v>222</v>
      </c>
      <c r="AH60" s="111" t="s">
        <v>26</v>
      </c>
      <c r="AI60" s="111" t="s">
        <v>1147</v>
      </c>
      <c r="AJ60" s="95" t="s">
        <v>1148</v>
      </c>
      <c r="AK60" s="95" t="s">
        <v>1149</v>
      </c>
      <c r="AL60" s="95" t="s">
        <v>178</v>
      </c>
      <c r="AM60" s="109"/>
    </row>
    <row r="61" ht="22.5" customHeight="1">
      <c r="A61" s="87"/>
      <c r="B61" s="89"/>
      <c r="C61" s="91"/>
      <c r="D61" s="89"/>
      <c r="E61" s="93">
        <f t="shared" si="1"/>
        <v>5</v>
      </c>
      <c r="F61" s="94" t="s">
        <v>1150</v>
      </c>
      <c r="G61" s="95" t="s">
        <v>9</v>
      </c>
      <c r="H61" s="95" t="s">
        <v>180</v>
      </c>
      <c r="I61" s="96">
        <f t="shared" si="5"/>
        <v>10</v>
      </c>
      <c r="J61" s="97">
        <v>42575.0</v>
      </c>
      <c r="K61" s="98"/>
      <c r="L61" s="97">
        <v>46231.0</v>
      </c>
      <c r="M61" s="95">
        <v>4.0</v>
      </c>
      <c r="N61" s="99" t="s">
        <v>1151</v>
      </c>
      <c r="O61" s="95" t="s">
        <v>18</v>
      </c>
      <c r="P61" s="95" t="s">
        <v>18</v>
      </c>
      <c r="Q61" s="95" t="s">
        <v>18</v>
      </c>
      <c r="R61" s="95" t="s">
        <v>18</v>
      </c>
      <c r="S61" s="95" t="s">
        <v>18</v>
      </c>
      <c r="T61" s="95" t="s">
        <v>18</v>
      </c>
      <c r="U61" s="97">
        <v>46231.0</v>
      </c>
      <c r="V61" s="97">
        <v>46279.0</v>
      </c>
      <c r="W61" s="97">
        <v>46279.0</v>
      </c>
      <c r="X61" s="97"/>
      <c r="Y61" s="97"/>
      <c r="Z61" s="97"/>
      <c r="AA61" s="95">
        <v>28.0</v>
      </c>
      <c r="AB61" s="97"/>
      <c r="AC61" s="97"/>
      <c r="AD61" s="95"/>
      <c r="AE61" s="95"/>
      <c r="AF61" s="95"/>
      <c r="AG61" s="111"/>
      <c r="AH61" s="95" t="s">
        <v>191</v>
      </c>
      <c r="AI61" s="95" t="s">
        <v>1152</v>
      </c>
      <c r="AJ61" s="95" t="s">
        <v>1148</v>
      </c>
      <c r="AK61" s="95" t="s">
        <v>1153</v>
      </c>
      <c r="AL61" s="95" t="s">
        <v>178</v>
      </c>
      <c r="AM61" s="109"/>
    </row>
    <row r="62" ht="22.5" customHeight="1">
      <c r="A62" s="87"/>
      <c r="B62" s="89"/>
      <c r="C62" s="91"/>
      <c r="D62" s="89"/>
      <c r="E62" s="93">
        <f t="shared" si="1"/>
        <v>5</v>
      </c>
      <c r="F62" s="94" t="s">
        <v>1154</v>
      </c>
      <c r="G62" s="95" t="s">
        <v>9</v>
      </c>
      <c r="H62" s="95" t="s">
        <v>10</v>
      </c>
      <c r="I62" s="96">
        <f t="shared" si="5"/>
        <v>11</v>
      </c>
      <c r="J62" s="97">
        <v>42265.0</v>
      </c>
      <c r="K62" s="111" t="s">
        <v>1155</v>
      </c>
      <c r="L62" s="95" t="s">
        <v>18</v>
      </c>
      <c r="M62" s="95">
        <v>2.0</v>
      </c>
      <c r="N62" s="99" t="s">
        <v>1156</v>
      </c>
      <c r="O62" s="95" t="s">
        <v>18</v>
      </c>
      <c r="P62" s="95" t="s">
        <v>18</v>
      </c>
      <c r="Q62" s="95" t="s">
        <v>18</v>
      </c>
      <c r="R62" s="95" t="s">
        <v>18</v>
      </c>
      <c r="S62" s="95" t="s">
        <v>18</v>
      </c>
      <c r="T62" s="95" t="s">
        <v>18</v>
      </c>
      <c r="U62" s="95" t="s">
        <v>18</v>
      </c>
      <c r="V62" s="95" t="s">
        <v>18</v>
      </c>
      <c r="W62" s="97">
        <v>46279.0</v>
      </c>
      <c r="X62" s="97"/>
      <c r="Y62" s="97"/>
      <c r="Z62" s="97"/>
      <c r="AA62" s="95">
        <v>15.0</v>
      </c>
      <c r="AB62" s="97"/>
      <c r="AC62" s="97"/>
      <c r="AD62" s="95"/>
      <c r="AE62" s="95"/>
      <c r="AF62" s="95"/>
      <c r="AG62" s="111"/>
      <c r="AH62" s="95" t="s">
        <v>26</v>
      </c>
      <c r="AI62" s="95" t="s">
        <v>1157</v>
      </c>
      <c r="AJ62" s="95" t="s">
        <v>1158</v>
      </c>
      <c r="AK62" s="95" t="s">
        <v>1159</v>
      </c>
      <c r="AL62" s="95" t="s">
        <v>186</v>
      </c>
      <c r="AM62" s="109"/>
    </row>
    <row r="63" ht="22.5" customHeight="1">
      <c r="A63" s="87"/>
      <c r="B63" s="89"/>
      <c r="C63" s="91"/>
      <c r="D63" s="89"/>
      <c r="E63" s="93">
        <f t="shared" si="1"/>
        <v>6</v>
      </c>
      <c r="F63" s="94" t="s">
        <v>147</v>
      </c>
      <c r="G63" s="95" t="s">
        <v>9</v>
      </c>
      <c r="H63" s="95" t="s">
        <v>10</v>
      </c>
      <c r="I63" s="96">
        <f t="shared" si="5"/>
        <v>11</v>
      </c>
      <c r="J63" s="97">
        <v>42255.0</v>
      </c>
      <c r="K63" s="98" t="s">
        <v>1160</v>
      </c>
      <c r="L63" s="97">
        <v>46217.0</v>
      </c>
      <c r="M63" s="95"/>
      <c r="N63" s="99" t="s">
        <v>1161</v>
      </c>
      <c r="O63" s="95" t="s">
        <v>18</v>
      </c>
      <c r="P63" s="95" t="s">
        <v>18</v>
      </c>
      <c r="Q63" s="95" t="s">
        <v>18</v>
      </c>
      <c r="R63" s="95" t="s">
        <v>18</v>
      </c>
      <c r="S63" s="95" t="s">
        <v>18</v>
      </c>
      <c r="T63" s="95" t="s">
        <v>18</v>
      </c>
      <c r="U63" s="97">
        <v>46213.0</v>
      </c>
      <c r="V63" s="97">
        <v>46247.0</v>
      </c>
      <c r="W63" s="97">
        <v>46281.0</v>
      </c>
      <c r="X63" s="97"/>
      <c r="Y63" s="97"/>
      <c r="Z63" s="97"/>
      <c r="AA63" s="95">
        <v>15.0</v>
      </c>
      <c r="AB63" s="97"/>
      <c r="AC63" s="97"/>
      <c r="AD63" s="95" t="s">
        <v>9</v>
      </c>
      <c r="AE63" s="95"/>
      <c r="AF63" s="95" t="s">
        <v>9</v>
      </c>
      <c r="AG63" s="111"/>
      <c r="AH63" s="95"/>
      <c r="AI63" s="95" t="s">
        <v>1162</v>
      </c>
      <c r="AJ63" s="95" t="s">
        <v>134</v>
      </c>
      <c r="AK63" s="95" t="s">
        <v>1163</v>
      </c>
      <c r="AL63" s="95" t="s">
        <v>30</v>
      </c>
      <c r="AM63" s="109"/>
    </row>
    <row r="64" ht="22.5" customHeight="1">
      <c r="A64" s="87"/>
      <c r="B64" s="89"/>
      <c r="C64" s="91"/>
      <c r="D64" s="89"/>
      <c r="E64" s="93">
        <f t="shared" si="1"/>
        <v>4</v>
      </c>
      <c r="F64" s="94" t="s">
        <v>150</v>
      </c>
      <c r="G64" s="95" t="s">
        <v>9</v>
      </c>
      <c r="H64" s="95" t="s">
        <v>180</v>
      </c>
      <c r="I64" s="96">
        <f t="shared" si="5"/>
        <v>11</v>
      </c>
      <c r="J64" s="97">
        <v>42046.0</v>
      </c>
      <c r="K64" s="98" t="s">
        <v>1164</v>
      </c>
      <c r="L64" s="97">
        <v>46217.0</v>
      </c>
      <c r="M64" s="95">
        <v>4.0</v>
      </c>
      <c r="N64" s="99">
        <v>4.799779171E10</v>
      </c>
      <c r="O64" s="95" t="s">
        <v>18</v>
      </c>
      <c r="P64" s="95" t="s">
        <v>18</v>
      </c>
      <c r="Q64" s="95" t="s">
        <v>18</v>
      </c>
      <c r="R64" s="95" t="s">
        <v>18</v>
      </c>
      <c r="S64" s="95" t="s">
        <v>18</v>
      </c>
      <c r="T64" s="95" t="s">
        <v>18</v>
      </c>
      <c r="U64" s="97">
        <v>46217.0</v>
      </c>
      <c r="V64" s="97">
        <v>46254.0</v>
      </c>
      <c r="W64" s="97">
        <v>46295.0</v>
      </c>
      <c r="X64" s="97"/>
      <c r="Y64" s="97"/>
      <c r="Z64" s="97"/>
      <c r="AA64" s="95">
        <v>10.0</v>
      </c>
      <c r="AB64" s="97"/>
      <c r="AC64" s="97"/>
      <c r="AD64" s="95"/>
      <c r="AE64" s="95"/>
      <c r="AF64" s="95"/>
      <c r="AG64" s="111"/>
      <c r="AH64" s="95"/>
      <c r="AI64" s="95" t="s">
        <v>1165</v>
      </c>
      <c r="AJ64" s="95" t="s">
        <v>541</v>
      </c>
      <c r="AK64" s="95" t="s">
        <v>1166</v>
      </c>
      <c r="AL64" s="95" t="s">
        <v>178</v>
      </c>
      <c r="AM64" s="109"/>
    </row>
    <row r="65" ht="22.5" customHeight="1">
      <c r="A65" s="87"/>
      <c r="B65" s="89" t="s">
        <v>212</v>
      </c>
      <c r="C65" s="91"/>
      <c r="D65" s="89"/>
      <c r="E65" s="93">
        <f t="shared" si="1"/>
        <v>11</v>
      </c>
      <c r="F65" s="127" t="s">
        <v>685</v>
      </c>
      <c r="G65" s="95" t="s">
        <v>9</v>
      </c>
      <c r="H65" s="95" t="s">
        <v>10</v>
      </c>
      <c r="I65" s="96">
        <f t="shared" si="5"/>
        <v>11</v>
      </c>
      <c r="J65" s="97">
        <v>42168.0</v>
      </c>
      <c r="K65" s="98" t="s">
        <v>1167</v>
      </c>
      <c r="L65" s="97" t="s">
        <v>18</v>
      </c>
      <c r="M65" s="95">
        <v>2.0</v>
      </c>
      <c r="N65" s="128" t="s">
        <v>1168</v>
      </c>
      <c r="O65" s="97">
        <v>46032.0</v>
      </c>
      <c r="P65" s="97">
        <v>46066.0</v>
      </c>
      <c r="Q65" s="97">
        <v>46094.0</v>
      </c>
      <c r="R65" s="97">
        <v>46122.0</v>
      </c>
      <c r="S65" s="97">
        <v>46188.0</v>
      </c>
      <c r="T65" s="97">
        <v>46188.0</v>
      </c>
      <c r="U65" s="97">
        <v>46209.0</v>
      </c>
      <c r="V65" s="97">
        <v>46248.0</v>
      </c>
      <c r="W65" s="97">
        <v>46276.0</v>
      </c>
      <c r="X65" s="97">
        <v>46306.0</v>
      </c>
      <c r="Y65" s="97"/>
      <c r="Z65" s="97"/>
      <c r="AA65" s="129">
        <v>10.0</v>
      </c>
      <c r="AB65" s="95">
        <v>2026.0</v>
      </c>
      <c r="AC65" s="95" t="s">
        <v>9</v>
      </c>
      <c r="AD65" s="95" t="s">
        <v>9</v>
      </c>
      <c r="AE65" s="95" t="s">
        <v>9</v>
      </c>
      <c r="AF65" s="95" t="s">
        <v>9</v>
      </c>
      <c r="AG65" s="111" t="s">
        <v>222</v>
      </c>
      <c r="AH65" s="95" t="s">
        <v>543</v>
      </c>
      <c r="AI65" s="95" t="s">
        <v>1169</v>
      </c>
      <c r="AJ65" s="108" t="s">
        <v>217</v>
      </c>
      <c r="AK65" s="95" t="s">
        <v>1170</v>
      </c>
      <c r="AL65" s="95" t="s">
        <v>30</v>
      </c>
      <c r="AM65" s="109"/>
    </row>
    <row r="66" ht="22.5" customHeight="1">
      <c r="A66" s="87"/>
      <c r="B66" s="89"/>
      <c r="C66" s="407"/>
      <c r="D66" s="89"/>
      <c r="E66" s="93">
        <f t="shared" si="1"/>
        <v>8</v>
      </c>
      <c r="F66" s="94" t="s">
        <v>1171</v>
      </c>
      <c r="G66" s="95" t="s">
        <v>9</v>
      </c>
      <c r="H66" s="95" t="s">
        <v>180</v>
      </c>
      <c r="I66" s="96">
        <f t="shared" si="5"/>
        <v>14</v>
      </c>
      <c r="J66" s="97">
        <v>41037.0</v>
      </c>
      <c r="K66" s="98" t="s">
        <v>1172</v>
      </c>
      <c r="L66" s="97" t="s">
        <v>18</v>
      </c>
      <c r="M66" s="95">
        <v>2.0</v>
      </c>
      <c r="N66" s="408" t="s">
        <v>1173</v>
      </c>
      <c r="O66" s="97">
        <v>46028.0</v>
      </c>
      <c r="P66" s="95" t="s">
        <v>1174</v>
      </c>
      <c r="Q66" s="95" t="s">
        <v>1175</v>
      </c>
      <c r="R66" s="95" t="s">
        <v>1176</v>
      </c>
      <c r="S66" s="95" t="s">
        <v>1020</v>
      </c>
      <c r="T66" s="97">
        <v>46178.0</v>
      </c>
      <c r="U66" s="97">
        <v>46216.0</v>
      </c>
      <c r="V66" s="97">
        <v>46251.0</v>
      </c>
      <c r="W66" s="97">
        <v>46280.0</v>
      </c>
      <c r="X66" s="97"/>
      <c r="Y66" s="97"/>
      <c r="Z66" s="97"/>
      <c r="AA66" s="95">
        <v>20.0</v>
      </c>
      <c r="AB66" s="97"/>
      <c r="AC66" s="104"/>
      <c r="AD66" s="95" t="s">
        <v>24</v>
      </c>
      <c r="AE66" s="95" t="s">
        <v>9</v>
      </c>
      <c r="AF66" s="95" t="s">
        <v>9</v>
      </c>
      <c r="AG66" s="98"/>
      <c r="AH66" s="95" t="s">
        <v>543</v>
      </c>
      <c r="AI66" s="95" t="s">
        <v>1177</v>
      </c>
      <c r="AJ66" s="95" t="s">
        <v>1178</v>
      </c>
      <c r="AK66" s="95" t="s">
        <v>1179</v>
      </c>
      <c r="AL66" s="95" t="s">
        <v>178</v>
      </c>
      <c r="AM66" s="109"/>
    </row>
    <row r="67" ht="22.5" customHeight="1">
      <c r="A67" s="87"/>
      <c r="B67" s="89" t="s">
        <v>760</v>
      </c>
      <c r="C67" s="409"/>
      <c r="D67" s="89"/>
      <c r="E67" s="93">
        <f t="shared" si="1"/>
        <v>11</v>
      </c>
      <c r="F67" s="127" t="s">
        <v>160</v>
      </c>
      <c r="G67" s="95" t="s">
        <v>9</v>
      </c>
      <c r="H67" s="95" t="s">
        <v>10</v>
      </c>
      <c r="I67" s="96">
        <f t="shared" si="5"/>
        <v>8</v>
      </c>
      <c r="J67" s="97">
        <v>43179.0</v>
      </c>
      <c r="K67" s="98" t="s">
        <v>1180</v>
      </c>
      <c r="L67" s="97" t="s">
        <v>18</v>
      </c>
      <c r="M67" s="95">
        <v>4.0</v>
      </c>
      <c r="N67" s="128" t="s">
        <v>1181</v>
      </c>
      <c r="O67" s="97">
        <v>46042.0</v>
      </c>
      <c r="P67" s="97">
        <v>46063.0</v>
      </c>
      <c r="Q67" s="97">
        <v>46090.0</v>
      </c>
      <c r="R67" s="97">
        <v>46122.0</v>
      </c>
      <c r="S67" s="97">
        <v>46152.0</v>
      </c>
      <c r="T67" s="97">
        <v>46183.0</v>
      </c>
      <c r="U67" s="97">
        <v>46213.0</v>
      </c>
      <c r="V67" s="97">
        <v>46246.0</v>
      </c>
      <c r="W67" s="97">
        <v>46269.0</v>
      </c>
      <c r="X67" s="97"/>
      <c r="Y67" s="97"/>
      <c r="Z67" s="97"/>
      <c r="AA67" s="129">
        <v>5.0</v>
      </c>
      <c r="AB67" s="95">
        <v>2026.0</v>
      </c>
      <c r="AC67" s="95" t="s">
        <v>9</v>
      </c>
      <c r="AD67" s="108" t="s">
        <v>9</v>
      </c>
      <c r="AE67" s="108" t="s">
        <v>9</v>
      </c>
      <c r="AF67" s="108" t="s">
        <v>9</v>
      </c>
      <c r="AG67" s="111" t="s">
        <v>222</v>
      </c>
      <c r="AH67" s="108" t="s">
        <v>543</v>
      </c>
      <c r="AI67" s="95" t="s">
        <v>1182</v>
      </c>
      <c r="AJ67" s="108" t="s">
        <v>559</v>
      </c>
      <c r="AK67" s="95" t="s">
        <v>1183</v>
      </c>
      <c r="AL67" s="95" t="s">
        <v>30</v>
      </c>
      <c r="AM67" s="109"/>
    </row>
    <row r="68" ht="22.5" customHeight="1">
      <c r="A68" s="87"/>
      <c r="B68" s="89" t="s">
        <v>1184</v>
      </c>
      <c r="C68" s="410"/>
      <c r="D68" s="89"/>
      <c r="E68" s="93">
        <f t="shared" si="1"/>
        <v>4</v>
      </c>
      <c r="F68" s="327" t="s">
        <v>151</v>
      </c>
      <c r="G68" s="95" t="s">
        <v>9</v>
      </c>
      <c r="H68" s="95" t="s">
        <v>168</v>
      </c>
      <c r="I68" s="96">
        <f t="shared" si="5"/>
        <v>12</v>
      </c>
      <c r="J68" s="97">
        <v>41773.0</v>
      </c>
      <c r="K68" s="98" t="s">
        <v>1185</v>
      </c>
      <c r="L68" s="97">
        <v>46149.0</v>
      </c>
      <c r="M68" s="95">
        <v>4.0</v>
      </c>
      <c r="N68" s="99" t="s">
        <v>1186</v>
      </c>
      <c r="O68" s="95" t="s">
        <v>18</v>
      </c>
      <c r="P68" s="95" t="s">
        <v>18</v>
      </c>
      <c r="Q68" s="95" t="s">
        <v>18</v>
      </c>
      <c r="R68" s="95" t="s">
        <v>18</v>
      </c>
      <c r="S68" s="97">
        <v>46149.0</v>
      </c>
      <c r="T68" s="97">
        <v>46195.0</v>
      </c>
      <c r="U68" s="97">
        <v>46234.0</v>
      </c>
      <c r="V68" s="95" t="s">
        <v>170</v>
      </c>
      <c r="W68" s="97">
        <v>46245.0</v>
      </c>
      <c r="X68" s="97"/>
      <c r="Y68" s="97"/>
      <c r="Z68" s="97"/>
      <c r="AA68" s="95">
        <v>10.0</v>
      </c>
      <c r="AB68" s="104"/>
      <c r="AC68" s="104"/>
      <c r="AD68" s="95"/>
      <c r="AE68" s="95"/>
      <c r="AF68" s="108"/>
      <c r="AG68" s="98"/>
      <c r="AH68" s="98"/>
      <c r="AI68" s="95" t="s">
        <v>1187</v>
      </c>
      <c r="AJ68" s="95" t="s">
        <v>368</v>
      </c>
      <c r="AK68" s="95" t="s">
        <v>1188</v>
      </c>
      <c r="AL68" s="95" t="s">
        <v>178</v>
      </c>
      <c r="AM68" s="109"/>
    </row>
    <row r="69" ht="22.5" customHeight="1">
      <c r="A69" s="411"/>
      <c r="B69" s="412"/>
      <c r="C69" s="413"/>
      <c r="D69" s="89"/>
      <c r="E69" s="93">
        <f t="shared" si="1"/>
        <v>8</v>
      </c>
      <c r="F69" s="94" t="s">
        <v>1189</v>
      </c>
      <c r="G69" s="95" t="s">
        <v>9</v>
      </c>
      <c r="H69" s="95" t="s">
        <v>180</v>
      </c>
      <c r="I69" s="96">
        <f t="shared" si="5"/>
        <v>9</v>
      </c>
      <c r="J69" s="97">
        <v>42865.0</v>
      </c>
      <c r="K69" s="111" t="s">
        <v>1190</v>
      </c>
      <c r="L69" s="97">
        <v>46237.0</v>
      </c>
      <c r="M69" s="95">
        <v>2.0</v>
      </c>
      <c r="N69" s="225" t="s">
        <v>1191</v>
      </c>
      <c r="O69" s="95" t="s">
        <v>18</v>
      </c>
      <c r="P69" s="95" t="s">
        <v>18</v>
      </c>
      <c r="Q69" s="95" t="s">
        <v>18</v>
      </c>
      <c r="R69" s="95" t="s">
        <v>18</v>
      </c>
      <c r="S69" s="95" t="s">
        <v>18</v>
      </c>
      <c r="T69" s="95" t="s">
        <v>18</v>
      </c>
      <c r="U69" s="95" t="s">
        <v>18</v>
      </c>
      <c r="V69" s="97">
        <v>46237.0</v>
      </c>
      <c r="W69" s="97">
        <v>46282.0</v>
      </c>
      <c r="X69" s="97"/>
      <c r="Y69" s="97"/>
      <c r="Z69" s="97"/>
      <c r="AA69" s="226">
        <v>5.0</v>
      </c>
      <c r="AB69" s="286"/>
      <c r="AC69" s="286"/>
      <c r="AD69" s="226" t="s">
        <v>9</v>
      </c>
      <c r="AE69" s="226" t="s">
        <v>9</v>
      </c>
      <c r="AF69" s="226" t="s">
        <v>9</v>
      </c>
      <c r="AG69" s="229" t="s">
        <v>222</v>
      </c>
      <c r="AH69" s="226" t="s">
        <v>260</v>
      </c>
      <c r="AI69" s="95" t="s">
        <v>1192</v>
      </c>
      <c r="AJ69" s="226" t="s">
        <v>18</v>
      </c>
      <c r="AK69" s="95" t="s">
        <v>1193</v>
      </c>
      <c r="AL69" s="95" t="s">
        <v>178</v>
      </c>
      <c r="AM69" s="109"/>
    </row>
    <row r="70" ht="22.5" customHeight="1">
      <c r="A70" s="411"/>
      <c r="B70" s="412"/>
      <c r="C70" s="413"/>
      <c r="D70" s="89"/>
      <c r="E70" s="93">
        <f t="shared" si="1"/>
        <v>8</v>
      </c>
      <c r="F70" s="94" t="s">
        <v>1194</v>
      </c>
      <c r="G70" s="95" t="s">
        <v>9</v>
      </c>
      <c r="H70" s="95" t="s">
        <v>180</v>
      </c>
      <c r="I70" s="96">
        <f t="shared" si="5"/>
        <v>12</v>
      </c>
      <c r="J70" s="97">
        <v>41699.0</v>
      </c>
      <c r="K70" s="111" t="s">
        <v>1195</v>
      </c>
      <c r="L70" s="97">
        <v>46237.0</v>
      </c>
      <c r="M70" s="95">
        <v>3.0</v>
      </c>
      <c r="N70" s="225" t="s">
        <v>1191</v>
      </c>
      <c r="O70" s="95" t="s">
        <v>18</v>
      </c>
      <c r="P70" s="95" t="s">
        <v>18</v>
      </c>
      <c r="Q70" s="95" t="s">
        <v>18</v>
      </c>
      <c r="R70" s="95" t="s">
        <v>18</v>
      </c>
      <c r="S70" s="95" t="s">
        <v>18</v>
      </c>
      <c r="T70" s="95" t="s">
        <v>18</v>
      </c>
      <c r="U70" s="95" t="s">
        <v>18</v>
      </c>
      <c r="V70" s="97">
        <v>46237.0</v>
      </c>
      <c r="W70" s="97">
        <v>46282.0</v>
      </c>
      <c r="X70" s="97"/>
      <c r="Y70" s="97"/>
      <c r="Z70" s="97"/>
      <c r="AA70" s="226">
        <v>5.0</v>
      </c>
      <c r="AB70" s="286"/>
      <c r="AC70" s="286"/>
      <c r="AD70" s="226" t="s">
        <v>9</v>
      </c>
      <c r="AE70" s="226" t="s">
        <v>9</v>
      </c>
      <c r="AF70" s="226" t="s">
        <v>9</v>
      </c>
      <c r="AG70" s="229" t="s">
        <v>222</v>
      </c>
      <c r="AH70" s="226" t="s">
        <v>260</v>
      </c>
      <c r="AI70" s="95" t="s">
        <v>1192</v>
      </c>
      <c r="AJ70" s="226" t="s">
        <v>18</v>
      </c>
      <c r="AK70" s="95" t="s">
        <v>1193</v>
      </c>
      <c r="AL70" s="95" t="s">
        <v>178</v>
      </c>
      <c r="AM70" s="109"/>
    </row>
    <row r="71" ht="22.5" customHeight="1">
      <c r="A71" s="411"/>
      <c r="B71" s="412"/>
      <c r="C71" s="414"/>
      <c r="D71" s="89"/>
      <c r="E71" s="93">
        <f t="shared" si="1"/>
        <v>0</v>
      </c>
      <c r="F71" s="94" t="s">
        <v>1196</v>
      </c>
      <c r="G71" s="95"/>
      <c r="H71" s="95" t="s">
        <v>10</v>
      </c>
      <c r="I71" s="96">
        <f t="shared" si="5"/>
        <v>9</v>
      </c>
      <c r="J71" s="97">
        <v>42912.0</v>
      </c>
      <c r="K71" s="111" t="s">
        <v>1197</v>
      </c>
      <c r="L71" s="95" t="s">
        <v>18</v>
      </c>
      <c r="M71" s="95"/>
      <c r="N71" s="225"/>
      <c r="O71" s="95" t="s">
        <v>18</v>
      </c>
      <c r="P71" s="95" t="s">
        <v>18</v>
      </c>
      <c r="Q71" s="95" t="s">
        <v>18</v>
      </c>
      <c r="R71" s="95" t="s">
        <v>18</v>
      </c>
      <c r="S71" s="95" t="s">
        <v>18</v>
      </c>
      <c r="T71" s="95" t="s">
        <v>18</v>
      </c>
      <c r="U71" s="95" t="s">
        <v>18</v>
      </c>
      <c r="V71" s="95" t="s">
        <v>18</v>
      </c>
      <c r="W71" s="97">
        <v>46268.0</v>
      </c>
      <c r="X71" s="97"/>
      <c r="Y71" s="97"/>
      <c r="Z71" s="97"/>
      <c r="AA71" s="226">
        <v>5.0</v>
      </c>
      <c r="AB71" s="286"/>
      <c r="AC71" s="286"/>
      <c r="AD71" s="226"/>
      <c r="AE71" s="226"/>
      <c r="AF71" s="226"/>
      <c r="AG71" s="229"/>
      <c r="AH71" s="292"/>
      <c r="AI71" s="95"/>
      <c r="AJ71" s="226"/>
      <c r="AK71" s="95"/>
      <c r="AL71" s="95"/>
      <c r="AM71" s="109"/>
    </row>
    <row r="72" ht="22.5" hidden="1" customHeight="1">
      <c r="A72" s="411"/>
      <c r="B72" s="412"/>
      <c r="C72" s="414"/>
      <c r="D72" s="89"/>
      <c r="E72" s="93">
        <f t="shared" si="1"/>
        <v>4</v>
      </c>
      <c r="F72" s="94" t="s">
        <v>152</v>
      </c>
      <c r="G72" s="95" t="s">
        <v>9</v>
      </c>
      <c r="H72" s="95" t="s">
        <v>180</v>
      </c>
      <c r="I72" s="96">
        <f t="shared" si="5"/>
        <v>13</v>
      </c>
      <c r="J72" s="97">
        <v>41522.0</v>
      </c>
      <c r="K72" s="98" t="s">
        <v>1198</v>
      </c>
      <c r="L72" s="97">
        <v>46163.0</v>
      </c>
      <c r="M72" s="95">
        <v>2.0</v>
      </c>
      <c r="N72" s="128" t="s">
        <v>834</v>
      </c>
      <c r="O72" s="95" t="s">
        <v>18</v>
      </c>
      <c r="P72" s="95" t="s">
        <v>18</v>
      </c>
      <c r="Q72" s="95" t="s">
        <v>18</v>
      </c>
      <c r="R72" s="97">
        <v>46163.0</v>
      </c>
      <c r="S72" s="97">
        <v>46163.0</v>
      </c>
      <c r="T72" s="97">
        <v>46163.0</v>
      </c>
      <c r="U72" s="97">
        <v>46163.0</v>
      </c>
      <c r="V72" s="97">
        <v>46163.0</v>
      </c>
      <c r="W72" s="97">
        <v>46163.0</v>
      </c>
      <c r="X72" s="97">
        <v>46163.0</v>
      </c>
      <c r="Y72" s="97">
        <v>46163.0</v>
      </c>
      <c r="Z72" s="97">
        <v>46163.0</v>
      </c>
      <c r="AA72" s="226">
        <v>5.0</v>
      </c>
      <c r="AB72" s="286"/>
      <c r="AC72" s="286"/>
      <c r="AD72" s="226"/>
      <c r="AE72" s="226"/>
      <c r="AF72" s="226"/>
      <c r="AG72" s="229"/>
      <c r="AH72" s="292"/>
      <c r="AI72" s="95" t="s">
        <v>838</v>
      </c>
      <c r="AJ72" s="226" t="s">
        <v>839</v>
      </c>
      <c r="AK72" s="95" t="s">
        <v>840</v>
      </c>
      <c r="AL72" s="95" t="s">
        <v>30</v>
      </c>
      <c r="AM72" s="109"/>
    </row>
    <row r="73" ht="22.5" customHeight="1">
      <c r="A73" s="87"/>
      <c r="B73" s="89"/>
      <c r="C73" s="91"/>
      <c r="D73" s="89"/>
      <c r="E73" s="93">
        <f t="shared" si="1"/>
        <v>3</v>
      </c>
      <c r="F73" s="94" t="s">
        <v>1199</v>
      </c>
      <c r="G73" s="95" t="s">
        <v>9</v>
      </c>
      <c r="H73" s="95" t="s">
        <v>1200</v>
      </c>
      <c r="I73" s="96">
        <f t="shared" si="5"/>
        <v>13</v>
      </c>
      <c r="J73" s="97">
        <v>41499.0</v>
      </c>
      <c r="K73" s="111" t="s">
        <v>1201</v>
      </c>
      <c r="L73" s="97">
        <v>46244.0</v>
      </c>
      <c r="M73" s="95"/>
      <c r="N73" s="225">
        <v>4.7999020352E10</v>
      </c>
      <c r="O73" s="95" t="s">
        <v>18</v>
      </c>
      <c r="P73" s="95" t="s">
        <v>18</v>
      </c>
      <c r="Q73" s="95" t="s">
        <v>18</v>
      </c>
      <c r="R73" s="95" t="s">
        <v>18</v>
      </c>
      <c r="S73" s="95" t="s">
        <v>18</v>
      </c>
      <c r="T73" s="95" t="s">
        <v>18</v>
      </c>
      <c r="U73" s="95" t="s">
        <v>18</v>
      </c>
      <c r="V73" s="97">
        <v>46244.0</v>
      </c>
      <c r="W73" s="97">
        <v>46294.0</v>
      </c>
      <c r="X73" s="97"/>
      <c r="Y73" s="97"/>
      <c r="Z73" s="97"/>
      <c r="AA73" s="226">
        <v>15.0</v>
      </c>
      <c r="AB73" s="415"/>
      <c r="AC73" s="104"/>
      <c r="AD73" s="95" t="s">
        <v>9</v>
      </c>
      <c r="AE73" s="95" t="s">
        <v>9</v>
      </c>
      <c r="AF73" s="95" t="s">
        <v>9</v>
      </c>
      <c r="AG73" s="111"/>
      <c r="AH73" s="95"/>
      <c r="AI73" s="95"/>
      <c r="AJ73" s="95"/>
      <c r="AK73" s="95"/>
      <c r="AL73" s="95"/>
      <c r="AM73" s="109"/>
    </row>
    <row r="74" ht="22.5" hidden="1" customHeight="1">
      <c r="A74" s="87"/>
      <c r="B74" s="89" t="s">
        <v>212</v>
      </c>
      <c r="C74" s="91" t="s">
        <v>97</v>
      </c>
      <c r="D74" s="89"/>
      <c r="E74" s="93">
        <f t="shared" si="1"/>
        <v>6</v>
      </c>
      <c r="F74" s="258" t="s">
        <v>1202</v>
      </c>
      <c r="G74" s="95" t="s">
        <v>9</v>
      </c>
      <c r="H74" s="95" t="s">
        <v>180</v>
      </c>
      <c r="I74" s="96">
        <f t="shared" si="5"/>
        <v>10</v>
      </c>
      <c r="J74" s="97">
        <v>42472.0</v>
      </c>
      <c r="K74" s="98" t="s">
        <v>1203</v>
      </c>
      <c r="L74" s="97">
        <v>46049.0</v>
      </c>
      <c r="M74" s="95">
        <v>3.0</v>
      </c>
      <c r="N74" s="225" t="s">
        <v>1204</v>
      </c>
      <c r="O74" s="97">
        <v>46049.0</v>
      </c>
      <c r="P74" s="97">
        <v>46049.0</v>
      </c>
      <c r="Q74" s="97">
        <v>46049.0</v>
      </c>
      <c r="R74" s="97">
        <v>46049.0</v>
      </c>
      <c r="S74" s="97">
        <v>46049.0</v>
      </c>
      <c r="T74" s="97">
        <v>46049.0</v>
      </c>
      <c r="U74" s="97">
        <v>46246.0</v>
      </c>
      <c r="V74" s="97">
        <v>46246.0</v>
      </c>
      <c r="W74" s="97">
        <v>46246.0</v>
      </c>
      <c r="X74" s="97">
        <v>46246.0</v>
      </c>
      <c r="Y74" s="97">
        <v>46246.0</v>
      </c>
      <c r="Z74" s="97">
        <v>46246.0</v>
      </c>
      <c r="AA74" s="226">
        <v>10.0</v>
      </c>
      <c r="AB74" s="415"/>
      <c r="AC74" s="104"/>
      <c r="AD74" s="95" t="s">
        <v>9</v>
      </c>
      <c r="AE74" s="108"/>
      <c r="AF74" s="108"/>
      <c r="AG74" s="111"/>
      <c r="AH74" s="95" t="s">
        <v>260</v>
      </c>
      <c r="AI74" s="95" t="s">
        <v>1205</v>
      </c>
      <c r="AJ74" s="95" t="s">
        <v>281</v>
      </c>
      <c r="AK74" s="95" t="s">
        <v>1206</v>
      </c>
      <c r="AL74" s="95" t="s">
        <v>178</v>
      </c>
      <c r="AM74" s="109"/>
    </row>
    <row r="75" ht="22.5" customHeight="1">
      <c r="A75" s="87"/>
      <c r="B75" s="89" t="s">
        <v>1207</v>
      </c>
      <c r="C75" s="91"/>
      <c r="D75" s="89"/>
      <c r="E75" s="93">
        <f t="shared" si="1"/>
        <v>11</v>
      </c>
      <c r="F75" s="94" t="s">
        <v>915</v>
      </c>
      <c r="G75" s="95" t="s">
        <v>9</v>
      </c>
      <c r="H75" s="95" t="s">
        <v>180</v>
      </c>
      <c r="I75" s="96">
        <f t="shared" si="5"/>
        <v>10</v>
      </c>
      <c r="J75" s="97">
        <v>42350.0</v>
      </c>
      <c r="K75" s="98" t="s">
        <v>1208</v>
      </c>
      <c r="L75" s="97">
        <v>46100.0</v>
      </c>
      <c r="M75" s="95">
        <v>3.0</v>
      </c>
      <c r="N75" s="225">
        <v>4.7999714705E10</v>
      </c>
      <c r="O75" s="97" t="s">
        <v>18</v>
      </c>
      <c r="P75" s="97" t="s">
        <v>18</v>
      </c>
      <c r="Q75" s="97">
        <v>46100.0</v>
      </c>
      <c r="R75" s="97">
        <v>46150.0</v>
      </c>
      <c r="S75" s="416">
        <v>46196.0</v>
      </c>
      <c r="T75" s="416">
        <v>46196.0</v>
      </c>
      <c r="U75" s="416">
        <v>46218.0</v>
      </c>
      <c r="V75" s="97">
        <v>46253.0</v>
      </c>
      <c r="W75" s="97">
        <v>46288.0</v>
      </c>
      <c r="X75" s="97"/>
      <c r="Y75" s="97"/>
      <c r="Z75" s="97"/>
      <c r="AA75" s="226">
        <v>20.0</v>
      </c>
      <c r="AB75" s="226">
        <v>2026.0</v>
      </c>
      <c r="AC75" s="226" t="s">
        <v>9</v>
      </c>
      <c r="AD75" s="226" t="s">
        <v>9</v>
      </c>
      <c r="AE75" s="226" t="s">
        <v>9</v>
      </c>
      <c r="AF75" s="226" t="s">
        <v>9</v>
      </c>
      <c r="AG75" s="229" t="s">
        <v>222</v>
      </c>
      <c r="AH75" s="226" t="s">
        <v>26</v>
      </c>
      <c r="AI75" s="226" t="s">
        <v>1209</v>
      </c>
      <c r="AJ75" s="226" t="s">
        <v>532</v>
      </c>
      <c r="AK75" s="95" t="s">
        <v>1210</v>
      </c>
      <c r="AL75" s="95" t="s">
        <v>30</v>
      </c>
      <c r="AM75" s="109"/>
    </row>
    <row r="76" ht="22.5" customHeight="1">
      <c r="A76" s="87"/>
      <c r="B76" s="89"/>
      <c r="C76" s="91"/>
      <c r="D76" s="89"/>
      <c r="E76" s="93">
        <f t="shared" si="1"/>
        <v>6</v>
      </c>
      <c r="F76" s="94" t="s">
        <v>1211</v>
      </c>
      <c r="G76" s="95" t="s">
        <v>9</v>
      </c>
      <c r="H76" s="130" t="s">
        <v>1200</v>
      </c>
      <c r="I76" s="96">
        <f t="shared" si="5"/>
        <v>14</v>
      </c>
      <c r="J76" s="97">
        <v>41026.0</v>
      </c>
      <c r="K76" s="111" t="s">
        <v>1212</v>
      </c>
      <c r="L76" s="97">
        <v>46303.0</v>
      </c>
      <c r="M76" s="95">
        <v>1.0</v>
      </c>
      <c r="N76" s="225" t="s">
        <v>1213</v>
      </c>
      <c r="O76" s="95" t="s">
        <v>18</v>
      </c>
      <c r="P76" s="95" t="s">
        <v>18</v>
      </c>
      <c r="Q76" s="95" t="s">
        <v>18</v>
      </c>
      <c r="R76" s="95" t="s">
        <v>18</v>
      </c>
      <c r="S76" s="95" t="s">
        <v>18</v>
      </c>
      <c r="T76" s="95" t="s">
        <v>18</v>
      </c>
      <c r="U76" s="95" t="s">
        <v>18</v>
      </c>
      <c r="V76" s="95" t="s">
        <v>18</v>
      </c>
      <c r="W76" s="95" t="s">
        <v>18</v>
      </c>
      <c r="X76" s="97"/>
      <c r="Y76" s="97"/>
      <c r="Z76" s="97"/>
      <c r="AA76" s="226">
        <v>10.0</v>
      </c>
      <c r="AB76" s="286"/>
      <c r="AC76" s="286"/>
      <c r="AD76" s="226" t="s">
        <v>9</v>
      </c>
      <c r="AE76" s="226" t="s">
        <v>9</v>
      </c>
      <c r="AF76" s="226"/>
      <c r="AG76" s="229" t="s">
        <v>222</v>
      </c>
      <c r="AH76" s="226"/>
      <c r="AI76" s="226" t="s">
        <v>18</v>
      </c>
      <c r="AJ76" s="226" t="s">
        <v>1214</v>
      </c>
      <c r="AK76" s="95" t="s">
        <v>1215</v>
      </c>
      <c r="AL76" s="95" t="s">
        <v>30</v>
      </c>
      <c r="AM76" s="109"/>
    </row>
    <row r="77" ht="22.5" customHeight="1">
      <c r="A77" s="87"/>
      <c r="B77" s="89"/>
      <c r="C77" s="275"/>
      <c r="D77" s="89"/>
      <c r="E77" s="93">
        <f t="shared" si="1"/>
        <v>0</v>
      </c>
      <c r="F77" s="127"/>
      <c r="G77" s="97"/>
      <c r="H77" s="97"/>
      <c r="I77" s="104"/>
      <c r="J77" s="104"/>
      <c r="K77" s="111"/>
      <c r="L77" s="382"/>
      <c r="M77" s="95"/>
      <c r="N77" s="128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129"/>
      <c r="AB77" s="104"/>
      <c r="AC77" s="104"/>
      <c r="AD77" s="108"/>
      <c r="AE77" s="108"/>
      <c r="AF77" s="108"/>
      <c r="AG77" s="111"/>
      <c r="AH77" s="108"/>
      <c r="AI77" s="95"/>
      <c r="AJ77" s="108"/>
      <c r="AK77" s="108"/>
      <c r="AL77" s="108"/>
      <c r="AM77" s="109"/>
    </row>
    <row r="78" ht="22.5" customHeight="1">
      <c r="A78" s="87"/>
      <c r="B78" s="89"/>
      <c r="C78" s="417"/>
      <c r="D78" s="89"/>
      <c r="E78" s="93">
        <f t="shared" si="1"/>
        <v>0</v>
      </c>
      <c r="F78" s="127"/>
      <c r="G78" s="97"/>
      <c r="H78" s="97"/>
      <c r="I78" s="104"/>
      <c r="J78" s="104"/>
      <c r="K78" s="98"/>
      <c r="L78" s="97"/>
      <c r="M78" s="95"/>
      <c r="N78" s="128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7"/>
      <c r="Z78" s="97"/>
      <c r="AA78" s="129"/>
      <c r="AB78" s="104"/>
      <c r="AC78" s="104"/>
      <c r="AD78" s="95"/>
      <c r="AE78" s="108"/>
      <c r="AF78" s="108"/>
      <c r="AG78" s="111"/>
      <c r="AH78" s="108"/>
      <c r="AI78" s="95"/>
      <c r="AJ78" s="95"/>
      <c r="AK78" s="108"/>
      <c r="AL78" s="108"/>
      <c r="AM78" s="109"/>
    </row>
    <row r="79" ht="22.5" customHeight="1">
      <c r="A79" s="87"/>
      <c r="B79" s="89"/>
      <c r="C79" s="89"/>
      <c r="D79" s="89"/>
      <c r="E79" s="93">
        <f t="shared" si="1"/>
        <v>0</v>
      </c>
      <c r="F79" s="418"/>
      <c r="G79" s="97"/>
      <c r="H79" s="97"/>
      <c r="I79" s="286"/>
      <c r="J79" s="286"/>
      <c r="K79" s="229"/>
      <c r="L79" s="97"/>
      <c r="M79" s="95"/>
      <c r="N79" s="225"/>
      <c r="O79" s="97"/>
      <c r="P79" s="97"/>
      <c r="Q79" s="97"/>
      <c r="R79" s="97"/>
      <c r="S79" s="97"/>
      <c r="T79" s="97"/>
      <c r="U79" s="97"/>
      <c r="V79" s="97"/>
      <c r="W79" s="97"/>
      <c r="X79" s="97"/>
      <c r="Y79" s="97"/>
      <c r="Z79" s="97"/>
      <c r="AA79" s="226"/>
      <c r="AB79" s="286"/>
      <c r="AC79" s="286"/>
      <c r="AD79" s="226"/>
      <c r="AE79" s="226"/>
      <c r="AF79" s="226"/>
      <c r="AG79" s="229"/>
      <c r="AH79" s="292"/>
      <c r="AI79" s="226"/>
      <c r="AJ79" s="226"/>
      <c r="AK79" s="226"/>
      <c r="AL79" s="226"/>
      <c r="AM79" s="109"/>
    </row>
    <row r="80" ht="22.5" customHeight="1">
      <c r="A80" s="87"/>
      <c r="B80" s="89"/>
      <c r="C80" s="89"/>
      <c r="D80" s="89"/>
      <c r="E80" s="93">
        <f t="shared" si="1"/>
        <v>0</v>
      </c>
      <c r="F80" s="418"/>
      <c r="G80" s="97"/>
      <c r="H80" s="97"/>
      <c r="I80" s="286"/>
      <c r="J80" s="286"/>
      <c r="K80" s="229"/>
      <c r="L80" s="97"/>
      <c r="M80" s="95"/>
      <c r="N80" s="225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7"/>
      <c r="Z80" s="97"/>
      <c r="AA80" s="226"/>
      <c r="AB80" s="286"/>
      <c r="AC80" s="286"/>
      <c r="AD80" s="226"/>
      <c r="AE80" s="226"/>
      <c r="AF80" s="226"/>
      <c r="AG80" s="229"/>
      <c r="AH80" s="292"/>
      <c r="AI80" s="226"/>
      <c r="AJ80" s="226"/>
      <c r="AK80" s="226"/>
      <c r="AL80" s="226"/>
      <c r="AM80" s="109"/>
    </row>
    <row r="81" ht="22.5" customHeight="1">
      <c r="A81" s="419"/>
      <c r="B81" s="93"/>
      <c r="C81" s="93"/>
      <c r="D81" s="93"/>
      <c r="E81" s="93">
        <f t="shared" si="1"/>
        <v>0</v>
      </c>
      <c r="F81" s="94"/>
      <c r="G81" s="97"/>
      <c r="H81" s="97"/>
      <c r="I81" s="286"/>
      <c r="J81" s="286"/>
      <c r="K81" s="229"/>
      <c r="L81" s="97"/>
      <c r="M81" s="95"/>
      <c r="N81" s="225"/>
      <c r="O81" s="97"/>
      <c r="P81" s="97"/>
      <c r="Q81" s="97"/>
      <c r="R81" s="97"/>
      <c r="S81" s="97"/>
      <c r="T81" s="97"/>
      <c r="U81" s="97"/>
      <c r="V81" s="97"/>
      <c r="W81" s="97"/>
      <c r="X81" s="97"/>
      <c r="Y81" s="97"/>
      <c r="Z81" s="97"/>
      <c r="AA81" s="226"/>
      <c r="AB81" s="286"/>
      <c r="AC81" s="286"/>
      <c r="AD81" s="226"/>
      <c r="AE81" s="226"/>
      <c r="AF81" s="226"/>
      <c r="AG81" s="229"/>
      <c r="AH81" s="292"/>
      <c r="AI81" s="226"/>
      <c r="AJ81" s="226"/>
      <c r="AK81" s="226"/>
      <c r="AL81" s="226"/>
      <c r="AM81" s="109"/>
    </row>
    <row r="82" ht="22.5" customHeight="1">
      <c r="A82" s="87"/>
      <c r="B82" s="87"/>
      <c r="C82" s="89"/>
      <c r="D82" s="89"/>
      <c r="E82" s="93">
        <f t="shared" si="1"/>
        <v>0</v>
      </c>
      <c r="F82" s="94"/>
      <c r="G82" s="97"/>
      <c r="H82" s="97"/>
      <c r="I82" s="286"/>
      <c r="J82" s="286"/>
      <c r="K82" s="229"/>
      <c r="L82" s="97"/>
      <c r="M82" s="95"/>
      <c r="N82" s="225"/>
      <c r="O82" s="97"/>
      <c r="P82" s="97"/>
      <c r="Q82" s="97"/>
      <c r="R82" s="97"/>
      <c r="S82" s="97"/>
      <c r="T82" s="97"/>
      <c r="U82" s="97"/>
      <c r="V82" s="97"/>
      <c r="W82" s="97"/>
      <c r="X82" s="97"/>
      <c r="Y82" s="97"/>
      <c r="Z82" s="97"/>
      <c r="AA82" s="226"/>
      <c r="AB82" s="286"/>
      <c r="AC82" s="286"/>
      <c r="AD82" s="226"/>
      <c r="AE82" s="226"/>
      <c r="AF82" s="226"/>
      <c r="AG82" s="229"/>
      <c r="AH82" s="292"/>
      <c r="AI82" s="226"/>
      <c r="AJ82" s="226"/>
      <c r="AK82" s="226"/>
      <c r="AL82" s="226"/>
      <c r="AM82" s="109"/>
    </row>
    <row r="83" ht="22.5" customHeight="1">
      <c r="A83" s="420"/>
      <c r="B83" s="420"/>
      <c r="C83" s="421"/>
      <c r="D83" s="421"/>
      <c r="E83" s="93">
        <f t="shared" si="1"/>
        <v>0</v>
      </c>
      <c r="F83" s="94"/>
      <c r="G83" s="97"/>
      <c r="H83" s="97"/>
      <c r="I83" s="286"/>
      <c r="J83" s="286"/>
      <c r="K83" s="229"/>
      <c r="L83" s="97"/>
      <c r="M83" s="95"/>
      <c r="N83" s="225"/>
      <c r="O83" s="97"/>
      <c r="P83" s="97"/>
      <c r="Q83" s="97"/>
      <c r="R83" s="97"/>
      <c r="S83" s="97"/>
      <c r="T83" s="97"/>
      <c r="U83" s="97"/>
      <c r="V83" s="97"/>
      <c r="W83" s="97"/>
      <c r="X83" s="97"/>
      <c r="Y83" s="97"/>
      <c r="Z83" s="97"/>
      <c r="AA83" s="226"/>
      <c r="AB83" s="286"/>
      <c r="AC83" s="286"/>
      <c r="AD83" s="226"/>
      <c r="AE83" s="226"/>
      <c r="AF83" s="226"/>
      <c r="AG83" s="229"/>
      <c r="AH83" s="292"/>
      <c r="AI83" s="226"/>
      <c r="AJ83" s="226"/>
      <c r="AK83" s="226"/>
      <c r="AL83" s="226"/>
      <c r="AM83" s="109"/>
    </row>
    <row r="84" ht="22.5" customHeight="1">
      <c r="A84" s="419"/>
      <c r="B84" s="419"/>
      <c r="C84" s="93"/>
      <c r="D84" s="93"/>
      <c r="E84" s="93">
        <f t="shared" si="1"/>
        <v>0</v>
      </c>
      <c r="F84" s="258"/>
      <c r="G84" s="97"/>
      <c r="H84" s="97"/>
      <c r="I84" s="286"/>
      <c r="J84" s="286"/>
      <c r="K84" s="229"/>
      <c r="L84" s="97"/>
      <c r="M84" s="95"/>
      <c r="N84" s="225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7"/>
      <c r="Z84" s="97"/>
      <c r="AA84" s="226"/>
      <c r="AB84" s="286"/>
      <c r="AC84" s="286"/>
      <c r="AD84" s="226"/>
      <c r="AE84" s="226"/>
      <c r="AF84" s="226"/>
      <c r="AG84" s="229"/>
      <c r="AH84" s="292"/>
      <c r="AI84" s="226"/>
      <c r="AJ84" s="226"/>
      <c r="AK84" s="226"/>
      <c r="AL84" s="226"/>
      <c r="AM84" s="109"/>
    </row>
    <row r="85" ht="22.5" customHeight="1">
      <c r="A85" s="87"/>
      <c r="B85" s="87"/>
      <c r="C85" s="89"/>
      <c r="D85" s="89"/>
      <c r="E85" s="93">
        <f t="shared" si="1"/>
        <v>0</v>
      </c>
      <c r="F85" s="258"/>
      <c r="G85" s="104"/>
      <c r="H85" s="104"/>
      <c r="I85" s="104"/>
      <c r="J85" s="104"/>
      <c r="K85" s="98"/>
      <c r="L85" s="104"/>
      <c r="M85" s="129"/>
      <c r="N85" s="128"/>
      <c r="O85" s="422"/>
      <c r="P85" s="104"/>
      <c r="Q85" s="108"/>
      <c r="R85" s="108"/>
      <c r="S85" s="104"/>
      <c r="T85" s="104"/>
      <c r="U85" s="104"/>
      <c r="V85" s="104"/>
      <c r="W85" s="104"/>
      <c r="X85" s="104"/>
      <c r="Y85" s="104"/>
      <c r="Z85" s="104"/>
      <c r="AA85" s="129"/>
      <c r="AB85" s="104"/>
      <c r="AC85" s="104"/>
      <c r="AD85" s="108"/>
      <c r="AE85" s="108"/>
      <c r="AF85" s="108"/>
      <c r="AG85" s="98"/>
      <c r="AH85" s="108"/>
      <c r="AI85" s="108"/>
      <c r="AJ85" s="108"/>
      <c r="AK85" s="108"/>
      <c r="AL85" s="108"/>
      <c r="AM85" s="109"/>
    </row>
    <row r="86" ht="22.5" customHeight="1">
      <c r="A86" s="419"/>
      <c r="B86" s="419"/>
      <c r="C86" s="93"/>
      <c r="D86" s="93"/>
      <c r="E86" s="93">
        <f t="shared" ref="E86:E200" si="6">SUMPRODUCT((K86:AK86&lt;&gt;"")*(K86:AK86&lt;&gt;"-"))</f>
        <v>0</v>
      </c>
      <c r="F86" s="258"/>
      <c r="G86" s="423"/>
      <c r="H86" s="423"/>
      <c r="I86" s="423"/>
      <c r="J86" s="423"/>
      <c r="K86" s="258"/>
      <c r="L86" s="423"/>
      <c r="M86" s="424"/>
      <c r="N86" s="128"/>
      <c r="O86" s="104"/>
      <c r="P86" s="104"/>
      <c r="Q86" s="108"/>
      <c r="R86" s="108"/>
      <c r="S86" s="104"/>
      <c r="T86" s="104"/>
      <c r="U86" s="104"/>
      <c r="V86" s="104"/>
      <c r="W86" s="104"/>
      <c r="X86" s="104"/>
      <c r="Y86" s="104"/>
      <c r="Z86" s="104"/>
      <c r="AA86" s="129"/>
      <c r="AB86" s="425"/>
      <c r="AC86" s="104"/>
      <c r="AD86" s="108"/>
      <c r="AE86" s="108"/>
      <c r="AF86" s="108"/>
      <c r="AG86" s="258"/>
      <c r="AH86" s="108"/>
      <c r="AI86" s="95"/>
      <c r="AJ86" s="108"/>
      <c r="AK86" s="108"/>
      <c r="AL86" s="426"/>
      <c r="AM86" s="109"/>
    </row>
    <row r="87" ht="22.5" customHeight="1">
      <c r="A87" s="420"/>
      <c r="B87" s="420"/>
      <c r="C87" s="421"/>
      <c r="D87" s="421"/>
      <c r="E87" s="93">
        <f t="shared" si="6"/>
        <v>0</v>
      </c>
      <c r="F87" s="94"/>
      <c r="G87" s="425"/>
      <c r="H87" s="425"/>
      <c r="I87" s="427"/>
      <c r="J87" s="427"/>
      <c r="K87" s="229"/>
      <c r="L87" s="425"/>
      <c r="M87" s="292"/>
      <c r="N87" s="428"/>
      <c r="O87" s="427"/>
      <c r="P87" s="427"/>
      <c r="Q87" s="292"/>
      <c r="R87" s="292"/>
      <c r="S87" s="292"/>
      <c r="T87" s="292"/>
      <c r="U87" s="226"/>
      <c r="V87" s="226"/>
      <c r="W87" s="226"/>
      <c r="X87" s="429"/>
      <c r="Y87" s="292"/>
      <c r="Z87" s="292"/>
      <c r="AA87" s="226"/>
      <c r="AB87" s="430"/>
      <c r="AC87" s="427"/>
      <c r="AD87" s="292"/>
      <c r="AE87" s="427"/>
      <c r="AF87" s="292"/>
      <c r="AG87" s="431"/>
      <c r="AH87" s="292"/>
      <c r="AI87" s="292"/>
      <c r="AJ87" s="292"/>
      <c r="AK87" s="292"/>
      <c r="AL87" s="432"/>
      <c r="AM87" s="109"/>
    </row>
    <row r="88" ht="22.5" customHeight="1">
      <c r="A88" s="419"/>
      <c r="B88" s="419"/>
      <c r="C88" s="93"/>
      <c r="D88" s="93"/>
      <c r="E88" s="93">
        <f t="shared" si="6"/>
        <v>0</v>
      </c>
      <c r="F88" s="258"/>
      <c r="G88" s="423"/>
      <c r="H88" s="423"/>
      <c r="I88" s="423"/>
      <c r="J88" s="423"/>
      <c r="K88" s="258"/>
      <c r="L88" s="423"/>
      <c r="M88" s="424"/>
      <c r="N88" s="128"/>
      <c r="O88" s="104"/>
      <c r="P88" s="104"/>
      <c r="Q88" s="108"/>
      <c r="R88" s="108"/>
      <c r="S88" s="104"/>
      <c r="T88" s="104"/>
      <c r="U88" s="104"/>
      <c r="V88" s="104"/>
      <c r="W88" s="104"/>
      <c r="X88" s="104"/>
      <c r="Y88" s="104"/>
      <c r="Z88" s="104"/>
      <c r="AA88" s="129"/>
      <c r="AB88" s="425"/>
      <c r="AC88" s="104"/>
      <c r="AD88" s="108"/>
      <c r="AE88" s="95"/>
      <c r="AF88" s="95"/>
      <c r="AG88" s="258"/>
      <c r="AH88" s="95"/>
      <c r="AI88" s="95"/>
      <c r="AJ88" s="108"/>
      <c r="AK88" s="108"/>
      <c r="AL88" s="426"/>
      <c r="AM88" s="109"/>
    </row>
    <row r="89" ht="22.5" customHeight="1">
      <c r="A89" s="420"/>
      <c r="B89" s="420"/>
      <c r="C89" s="421"/>
      <c r="D89" s="421"/>
      <c r="E89" s="93">
        <f t="shared" si="6"/>
        <v>0</v>
      </c>
      <c r="F89" s="94"/>
      <c r="G89" s="425"/>
      <c r="H89" s="425"/>
      <c r="I89" s="433"/>
      <c r="J89" s="434"/>
      <c r="K89" s="229"/>
      <c r="L89" s="425"/>
      <c r="M89" s="226"/>
      <c r="N89" s="225"/>
      <c r="O89" s="104"/>
      <c r="P89" s="104"/>
      <c r="Q89" s="108"/>
      <c r="R89" s="108"/>
      <c r="S89" s="108"/>
      <c r="T89" s="108"/>
      <c r="U89" s="108"/>
      <c r="V89" s="108"/>
      <c r="W89" s="108"/>
      <c r="X89" s="108"/>
      <c r="Y89" s="429"/>
      <c r="Z89" s="292"/>
      <c r="AA89" s="226"/>
      <c r="AB89" s="430"/>
      <c r="AC89" s="427"/>
      <c r="AD89" s="226"/>
      <c r="AE89" s="226"/>
      <c r="AF89" s="226"/>
      <c r="AG89" s="435"/>
      <c r="AH89" s="292"/>
      <c r="AI89" s="226"/>
      <c r="AJ89" s="226"/>
      <c r="AK89" s="226"/>
      <c r="AL89" s="436"/>
      <c r="AM89" s="109"/>
    </row>
    <row r="90" ht="22.5" customHeight="1">
      <c r="A90" s="87"/>
      <c r="B90" s="87"/>
      <c r="C90" s="89"/>
      <c r="D90" s="89"/>
      <c r="E90" s="93">
        <f t="shared" si="6"/>
        <v>0</v>
      </c>
      <c r="F90" s="258"/>
      <c r="G90" s="423"/>
      <c r="H90" s="423"/>
      <c r="I90" s="423"/>
      <c r="J90" s="423"/>
      <c r="K90" s="258"/>
      <c r="L90" s="423"/>
      <c r="M90" s="424"/>
      <c r="N90" s="128"/>
      <c r="O90" s="104"/>
      <c r="P90" s="104"/>
      <c r="Q90" s="108"/>
      <c r="R90" s="108"/>
      <c r="S90" s="104"/>
      <c r="T90" s="104"/>
      <c r="U90" s="104"/>
      <c r="V90" s="104"/>
      <c r="W90" s="104"/>
      <c r="X90" s="104"/>
      <c r="Y90" s="104"/>
      <c r="Z90" s="104"/>
      <c r="AA90" s="129"/>
      <c r="AB90" s="423"/>
      <c r="AC90" s="104"/>
      <c r="AD90" s="108"/>
      <c r="AE90" s="108"/>
      <c r="AF90" s="108"/>
      <c r="AG90" s="258"/>
      <c r="AH90" s="108"/>
      <c r="AI90" s="95"/>
      <c r="AJ90" s="108"/>
      <c r="AK90" s="108"/>
      <c r="AL90" s="426"/>
      <c r="AM90" s="109"/>
    </row>
    <row r="91" ht="22.5" customHeight="1">
      <c r="A91" s="419"/>
      <c r="B91" s="419"/>
      <c r="C91" s="93"/>
      <c r="D91" s="93"/>
      <c r="E91" s="93">
        <f t="shared" si="6"/>
        <v>0</v>
      </c>
      <c r="F91" s="418"/>
      <c r="G91" s="434"/>
      <c r="H91" s="434"/>
      <c r="I91" s="433"/>
      <c r="J91" s="434"/>
      <c r="K91" s="418"/>
      <c r="L91" s="434"/>
      <c r="M91" s="433"/>
      <c r="N91" s="437"/>
      <c r="O91" s="434"/>
      <c r="P91" s="434"/>
      <c r="Q91" s="433"/>
      <c r="R91" s="433"/>
      <c r="S91" s="433"/>
      <c r="T91" s="433"/>
      <c r="U91" s="433"/>
      <c r="V91" s="433"/>
      <c r="W91" s="433"/>
      <c r="X91" s="433"/>
      <c r="Y91" s="433"/>
      <c r="Z91" s="433"/>
      <c r="AA91" s="438"/>
      <c r="AB91" s="434"/>
      <c r="AC91" s="434"/>
      <c r="AD91" s="433"/>
      <c r="AE91" s="433"/>
      <c r="AF91" s="433"/>
      <c r="AG91" s="418"/>
      <c r="AH91" s="433"/>
      <c r="AI91" s="433"/>
      <c r="AJ91" s="433"/>
      <c r="AK91" s="433"/>
      <c r="AL91" s="109"/>
      <c r="AM91" s="109"/>
    </row>
    <row r="92" ht="22.5" customHeight="1">
      <c r="A92" s="419"/>
      <c r="B92" s="419"/>
      <c r="C92" s="93"/>
      <c r="D92" s="93"/>
      <c r="E92" s="93">
        <f t="shared" si="6"/>
        <v>0</v>
      </c>
      <c r="F92" s="418"/>
      <c r="G92" s="434"/>
      <c r="H92" s="434"/>
      <c r="I92" s="433"/>
      <c r="J92" s="434"/>
      <c r="K92" s="418"/>
      <c r="L92" s="434"/>
      <c r="M92" s="433"/>
      <c r="N92" s="437"/>
      <c r="O92" s="434"/>
      <c r="P92" s="434"/>
      <c r="Q92" s="433"/>
      <c r="R92" s="433"/>
      <c r="S92" s="433"/>
      <c r="T92" s="433"/>
      <c r="U92" s="433"/>
      <c r="V92" s="433"/>
      <c r="W92" s="433"/>
      <c r="X92" s="433"/>
      <c r="Y92" s="433"/>
      <c r="Z92" s="433"/>
      <c r="AA92" s="438"/>
      <c r="AB92" s="434"/>
      <c r="AC92" s="434"/>
      <c r="AD92" s="433"/>
      <c r="AE92" s="433"/>
      <c r="AF92" s="433"/>
      <c r="AG92" s="418"/>
      <c r="AH92" s="433"/>
      <c r="AI92" s="433"/>
      <c r="AJ92" s="433"/>
      <c r="AK92" s="433"/>
      <c r="AL92" s="109"/>
      <c r="AM92" s="109"/>
    </row>
    <row r="93" ht="22.5" customHeight="1">
      <c r="A93" s="87"/>
      <c r="B93" s="87"/>
      <c r="C93" s="89"/>
      <c r="D93" s="89"/>
      <c r="E93" s="93">
        <f t="shared" si="6"/>
        <v>0</v>
      </c>
      <c r="F93" s="418"/>
      <c r="G93" s="434"/>
      <c r="H93" s="434"/>
      <c r="I93" s="433"/>
      <c r="J93" s="434"/>
      <c r="K93" s="418"/>
      <c r="L93" s="434"/>
      <c r="M93" s="433"/>
      <c r="N93" s="437"/>
      <c r="O93" s="434"/>
      <c r="P93" s="434"/>
      <c r="Q93" s="433"/>
      <c r="R93" s="433"/>
      <c r="S93" s="433"/>
      <c r="T93" s="433"/>
      <c r="U93" s="433"/>
      <c r="V93" s="433"/>
      <c r="W93" s="433"/>
      <c r="X93" s="433"/>
      <c r="Y93" s="433"/>
      <c r="Z93" s="433"/>
      <c r="AA93" s="438"/>
      <c r="AB93" s="434"/>
      <c r="AC93" s="434"/>
      <c r="AD93" s="433"/>
      <c r="AE93" s="433"/>
      <c r="AF93" s="433"/>
      <c r="AG93" s="418"/>
      <c r="AH93" s="433"/>
      <c r="AI93" s="433"/>
      <c r="AJ93" s="433"/>
      <c r="AK93" s="433"/>
      <c r="AL93" s="109"/>
      <c r="AM93" s="109"/>
    </row>
    <row r="94" ht="22.5" customHeight="1">
      <c r="A94" s="419"/>
      <c r="B94" s="419"/>
      <c r="C94" s="93"/>
      <c r="D94" s="93"/>
      <c r="E94" s="93">
        <f t="shared" si="6"/>
        <v>0</v>
      </c>
      <c r="F94" s="94"/>
      <c r="G94" s="425"/>
      <c r="H94" s="425"/>
      <c r="I94" s="423"/>
      <c r="J94" s="423"/>
      <c r="K94" s="258"/>
      <c r="L94" s="425"/>
      <c r="M94" s="424"/>
      <c r="N94" s="128"/>
      <c r="O94" s="104"/>
      <c r="P94" s="104"/>
      <c r="Q94" s="108"/>
      <c r="R94" s="108"/>
      <c r="S94" s="104"/>
      <c r="T94" s="104"/>
      <c r="U94" s="104"/>
      <c r="V94" s="104"/>
      <c r="W94" s="104"/>
      <c r="X94" s="104"/>
      <c r="Y94" s="104"/>
      <c r="Z94" s="104"/>
      <c r="AA94" s="129"/>
      <c r="AB94" s="423"/>
      <c r="AC94" s="104"/>
      <c r="AD94" s="108"/>
      <c r="AE94" s="108"/>
      <c r="AF94" s="108"/>
      <c r="AG94" s="258"/>
      <c r="AH94" s="108"/>
      <c r="AI94" s="95"/>
      <c r="AJ94" s="108"/>
      <c r="AK94" s="108"/>
      <c r="AL94" s="426"/>
      <c r="AM94" s="109"/>
    </row>
    <row r="95" ht="22.5" customHeight="1">
      <c r="A95" s="87"/>
      <c r="B95" s="87"/>
      <c r="C95" s="89"/>
      <c r="D95" s="89"/>
      <c r="E95" s="93">
        <f t="shared" si="6"/>
        <v>0</v>
      </c>
      <c r="F95" s="258"/>
      <c r="G95" s="423"/>
      <c r="H95" s="423"/>
      <c r="I95" s="423"/>
      <c r="J95" s="423"/>
      <c r="K95" s="258"/>
      <c r="L95" s="423"/>
      <c r="M95" s="424"/>
      <c r="N95" s="128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29"/>
      <c r="AB95" s="423"/>
      <c r="AC95" s="104"/>
      <c r="AD95" s="108"/>
      <c r="AE95" s="108"/>
      <c r="AF95" s="108"/>
      <c r="AG95" s="94"/>
      <c r="AH95" s="108"/>
      <c r="AI95" s="95"/>
      <c r="AJ95" s="108"/>
      <c r="AK95" s="108"/>
      <c r="AL95" s="426"/>
      <c r="AM95" s="109"/>
    </row>
    <row r="96" ht="22.5" customHeight="1">
      <c r="A96" s="419"/>
      <c r="B96" s="419"/>
      <c r="C96" s="93"/>
      <c r="D96" s="93"/>
      <c r="E96" s="93">
        <f t="shared" si="6"/>
        <v>0</v>
      </c>
      <c r="F96" s="418"/>
      <c r="G96" s="434"/>
      <c r="H96" s="434"/>
      <c r="I96" s="433"/>
      <c r="J96" s="434"/>
      <c r="K96" s="418"/>
      <c r="L96" s="434"/>
      <c r="M96" s="433"/>
      <c r="N96" s="437"/>
      <c r="O96" s="434"/>
      <c r="P96" s="434"/>
      <c r="Q96" s="433"/>
      <c r="R96" s="433"/>
      <c r="S96" s="433"/>
      <c r="T96" s="433"/>
      <c r="U96" s="433"/>
      <c r="V96" s="433"/>
      <c r="W96" s="433"/>
      <c r="X96" s="433"/>
      <c r="Y96" s="433"/>
      <c r="Z96" s="433"/>
      <c r="AA96" s="438"/>
      <c r="AB96" s="434"/>
      <c r="AC96" s="434"/>
      <c r="AD96" s="433"/>
      <c r="AE96" s="433"/>
      <c r="AF96" s="433"/>
      <c r="AG96" s="418"/>
      <c r="AH96" s="433"/>
      <c r="AI96" s="433"/>
      <c r="AJ96" s="433"/>
      <c r="AK96" s="433"/>
      <c r="AL96" s="109"/>
      <c r="AM96" s="109"/>
    </row>
    <row r="97" ht="22.5" customHeight="1">
      <c r="A97" s="87"/>
      <c r="B97" s="87"/>
      <c r="C97" s="89"/>
      <c r="D97" s="89"/>
      <c r="E97" s="93">
        <f t="shared" si="6"/>
        <v>0</v>
      </c>
      <c r="F97" s="418"/>
      <c r="G97" s="434"/>
      <c r="H97" s="434"/>
      <c r="I97" s="433"/>
      <c r="J97" s="434"/>
      <c r="K97" s="418"/>
      <c r="L97" s="434"/>
      <c r="M97" s="433"/>
      <c r="N97" s="437"/>
      <c r="O97" s="434"/>
      <c r="P97" s="434"/>
      <c r="Q97" s="433"/>
      <c r="R97" s="433"/>
      <c r="S97" s="433"/>
      <c r="T97" s="433"/>
      <c r="U97" s="433"/>
      <c r="V97" s="433"/>
      <c r="W97" s="433"/>
      <c r="X97" s="433"/>
      <c r="Y97" s="433"/>
      <c r="Z97" s="433"/>
      <c r="AA97" s="438"/>
      <c r="AB97" s="434"/>
      <c r="AC97" s="434"/>
      <c r="AD97" s="433"/>
      <c r="AE97" s="433"/>
      <c r="AF97" s="433"/>
      <c r="AG97" s="418"/>
      <c r="AH97" s="433"/>
      <c r="AI97" s="433"/>
      <c r="AJ97" s="433"/>
      <c r="AK97" s="433"/>
      <c r="AL97" s="109"/>
      <c r="AM97" s="109"/>
    </row>
    <row r="98" ht="22.5" customHeight="1">
      <c r="A98" s="419"/>
      <c r="B98" s="419"/>
      <c r="C98" s="93"/>
      <c r="D98" s="93"/>
      <c r="E98" s="93">
        <f t="shared" si="6"/>
        <v>0</v>
      </c>
      <c r="F98" s="418"/>
      <c r="G98" s="434"/>
      <c r="H98" s="434"/>
      <c r="I98" s="433"/>
      <c r="J98" s="434"/>
      <c r="K98" s="418"/>
      <c r="L98" s="434"/>
      <c r="M98" s="433"/>
      <c r="N98" s="437"/>
      <c r="O98" s="434"/>
      <c r="P98" s="434"/>
      <c r="Q98" s="433"/>
      <c r="R98" s="433"/>
      <c r="S98" s="433"/>
      <c r="T98" s="433"/>
      <c r="U98" s="433"/>
      <c r="V98" s="433"/>
      <c r="W98" s="433"/>
      <c r="X98" s="433"/>
      <c r="Y98" s="433"/>
      <c r="Z98" s="433"/>
      <c r="AA98" s="438"/>
      <c r="AB98" s="434"/>
      <c r="AC98" s="434"/>
      <c r="AD98" s="433"/>
      <c r="AE98" s="433"/>
      <c r="AF98" s="433"/>
      <c r="AG98" s="418"/>
      <c r="AH98" s="433"/>
      <c r="AI98" s="433"/>
      <c r="AJ98" s="433"/>
      <c r="AK98" s="433"/>
      <c r="AL98" s="109"/>
      <c r="AM98" s="109"/>
    </row>
    <row r="99" ht="22.5" customHeight="1">
      <c r="A99" s="439"/>
      <c r="B99" s="439"/>
      <c r="C99" s="440"/>
      <c r="D99" s="440"/>
      <c r="E99" s="93">
        <f t="shared" si="6"/>
        <v>0</v>
      </c>
      <c r="F99" s="418"/>
      <c r="G99" s="434"/>
      <c r="H99" s="434"/>
      <c r="I99" s="433"/>
      <c r="J99" s="434"/>
      <c r="K99" s="418"/>
      <c r="L99" s="434"/>
      <c r="M99" s="433"/>
      <c r="N99" s="437"/>
      <c r="O99" s="434"/>
      <c r="P99" s="434"/>
      <c r="Q99" s="433"/>
      <c r="R99" s="433"/>
      <c r="S99" s="433"/>
      <c r="T99" s="433"/>
      <c r="U99" s="433"/>
      <c r="V99" s="433"/>
      <c r="W99" s="433"/>
      <c r="X99" s="433"/>
      <c r="Y99" s="433"/>
      <c r="Z99" s="433"/>
      <c r="AA99" s="438"/>
      <c r="AB99" s="434"/>
      <c r="AC99" s="434"/>
      <c r="AD99" s="433"/>
      <c r="AE99" s="433"/>
      <c r="AF99" s="433"/>
      <c r="AG99" s="418"/>
      <c r="AH99" s="433"/>
      <c r="AI99" s="433"/>
      <c r="AJ99" s="433"/>
      <c r="AK99" s="433"/>
      <c r="AL99" s="109"/>
      <c r="AM99" s="109"/>
    </row>
    <row r="100" ht="22.5" customHeight="1">
      <c r="A100" s="87"/>
      <c r="B100" s="87"/>
      <c r="C100" s="89"/>
      <c r="D100" s="89"/>
      <c r="E100" s="93">
        <f t="shared" si="6"/>
        <v>0</v>
      </c>
      <c r="F100" s="418"/>
      <c r="G100" s="434"/>
      <c r="H100" s="434"/>
      <c r="I100" s="433"/>
      <c r="J100" s="434"/>
      <c r="K100" s="418"/>
      <c r="L100" s="434"/>
      <c r="M100" s="433"/>
      <c r="N100" s="437"/>
      <c r="O100" s="434"/>
      <c r="P100" s="434"/>
      <c r="Q100" s="433"/>
      <c r="R100" s="433"/>
      <c r="S100" s="433"/>
      <c r="T100" s="433"/>
      <c r="U100" s="433"/>
      <c r="V100" s="433"/>
      <c r="W100" s="433"/>
      <c r="X100" s="433"/>
      <c r="Y100" s="433"/>
      <c r="Z100" s="433"/>
      <c r="AA100" s="438"/>
      <c r="AB100" s="434"/>
      <c r="AC100" s="434"/>
      <c r="AD100" s="433"/>
      <c r="AE100" s="433"/>
      <c r="AF100" s="433"/>
      <c r="AG100" s="418"/>
      <c r="AH100" s="433"/>
      <c r="AI100" s="433"/>
      <c r="AJ100" s="433"/>
      <c r="AK100" s="433"/>
      <c r="AL100" s="109"/>
      <c r="AM100" s="109"/>
    </row>
    <row r="101" ht="22.5" customHeight="1">
      <c r="A101" s="87"/>
      <c r="B101" s="87"/>
      <c r="C101" s="89"/>
      <c r="D101" s="89"/>
      <c r="E101" s="93">
        <f t="shared" si="6"/>
        <v>0</v>
      </c>
      <c r="F101" s="418"/>
      <c r="G101" s="434"/>
      <c r="H101" s="434"/>
      <c r="I101" s="433"/>
      <c r="J101" s="434"/>
      <c r="K101" s="418"/>
      <c r="L101" s="434"/>
      <c r="M101" s="433"/>
      <c r="N101" s="437"/>
      <c r="O101" s="434"/>
      <c r="P101" s="434"/>
      <c r="Q101" s="433"/>
      <c r="R101" s="433"/>
      <c r="S101" s="433"/>
      <c r="T101" s="433"/>
      <c r="U101" s="433"/>
      <c r="V101" s="433"/>
      <c r="W101" s="433"/>
      <c r="X101" s="433"/>
      <c r="Y101" s="433"/>
      <c r="Z101" s="433"/>
      <c r="AA101" s="438"/>
      <c r="AB101" s="434"/>
      <c r="AC101" s="434"/>
      <c r="AD101" s="433"/>
      <c r="AE101" s="433"/>
      <c r="AF101" s="433"/>
      <c r="AG101" s="418"/>
      <c r="AH101" s="433"/>
      <c r="AI101" s="433"/>
      <c r="AJ101" s="433"/>
      <c r="AK101" s="433"/>
      <c r="AL101" s="109"/>
      <c r="AM101" s="109"/>
    </row>
    <row r="102" ht="22.5" customHeight="1">
      <c r="A102" s="87"/>
      <c r="B102" s="87"/>
      <c r="C102" s="89"/>
      <c r="D102" s="89"/>
      <c r="E102" s="93">
        <f t="shared" si="6"/>
        <v>0</v>
      </c>
      <c r="F102" s="418"/>
      <c r="G102" s="434"/>
      <c r="H102" s="434"/>
      <c r="I102" s="433"/>
      <c r="J102" s="434"/>
      <c r="K102" s="418"/>
      <c r="L102" s="434"/>
      <c r="M102" s="433"/>
      <c r="N102" s="437"/>
      <c r="O102" s="434"/>
      <c r="P102" s="434"/>
      <c r="Q102" s="433"/>
      <c r="R102" s="433"/>
      <c r="S102" s="433"/>
      <c r="T102" s="433"/>
      <c r="U102" s="433"/>
      <c r="V102" s="433"/>
      <c r="W102" s="433"/>
      <c r="X102" s="433"/>
      <c r="Y102" s="433"/>
      <c r="Z102" s="433"/>
      <c r="AA102" s="438"/>
      <c r="AB102" s="434"/>
      <c r="AC102" s="434"/>
      <c r="AD102" s="433"/>
      <c r="AE102" s="433"/>
      <c r="AF102" s="433"/>
      <c r="AG102" s="418"/>
      <c r="AH102" s="433"/>
      <c r="AI102" s="433"/>
      <c r="AJ102" s="433"/>
      <c r="AK102" s="433"/>
      <c r="AL102" s="109"/>
      <c r="AM102" s="109"/>
    </row>
    <row r="103" ht="22.5" customHeight="1">
      <c r="A103" s="87"/>
      <c r="B103" s="87"/>
      <c r="C103" s="89"/>
      <c r="D103" s="89"/>
      <c r="E103" s="93">
        <f t="shared" si="6"/>
        <v>0</v>
      </c>
      <c r="F103" s="258"/>
      <c r="G103" s="423"/>
      <c r="H103" s="423"/>
      <c r="I103" s="423"/>
      <c r="J103" s="423"/>
      <c r="K103" s="258"/>
      <c r="L103" s="423"/>
      <c r="M103" s="424"/>
      <c r="N103" s="128"/>
      <c r="O103" s="104"/>
      <c r="P103" s="104"/>
      <c r="Q103" s="108"/>
      <c r="R103" s="108"/>
      <c r="S103" s="104"/>
      <c r="T103" s="104"/>
      <c r="U103" s="104"/>
      <c r="V103" s="104"/>
      <c r="W103" s="104"/>
      <c r="X103" s="104"/>
      <c r="Y103" s="104"/>
      <c r="Z103" s="104"/>
      <c r="AA103" s="129"/>
      <c r="AB103" s="423"/>
      <c r="AC103" s="104"/>
      <c r="AD103" s="108"/>
      <c r="AE103" s="108"/>
      <c r="AF103" s="108"/>
      <c r="AG103" s="258"/>
      <c r="AH103" s="108"/>
      <c r="AI103" s="108"/>
      <c r="AJ103" s="108"/>
      <c r="AK103" s="108"/>
      <c r="AL103" s="426"/>
      <c r="AM103" s="109"/>
    </row>
    <row r="104" ht="22.5" customHeight="1">
      <c r="A104" s="439"/>
      <c r="B104" s="439"/>
      <c r="C104" s="440"/>
      <c r="D104" s="440"/>
      <c r="E104" s="93">
        <f t="shared" si="6"/>
        <v>0</v>
      </c>
      <c r="F104" s="94"/>
      <c r="G104" s="425"/>
      <c r="H104" s="425"/>
      <c r="I104" s="286"/>
      <c r="J104" s="286"/>
      <c r="K104" s="229"/>
      <c r="L104" s="425"/>
      <c r="M104" s="226"/>
      <c r="N104" s="225"/>
      <c r="O104" s="286"/>
      <c r="P104" s="286"/>
      <c r="Q104" s="226"/>
      <c r="R104" s="226"/>
      <c r="S104" s="226"/>
      <c r="T104" s="226"/>
      <c r="U104" s="226"/>
      <c r="V104" s="226"/>
      <c r="W104" s="226"/>
      <c r="X104" s="226"/>
      <c r="Y104" s="429"/>
      <c r="Z104" s="292"/>
      <c r="AA104" s="226"/>
      <c r="AB104" s="430"/>
      <c r="AC104" s="427"/>
      <c r="AD104" s="226"/>
      <c r="AE104" s="226"/>
      <c r="AF104" s="226"/>
      <c r="AG104" s="435"/>
      <c r="AH104" s="292"/>
      <c r="AI104" s="226"/>
      <c r="AJ104" s="226"/>
      <c r="AK104" s="226"/>
      <c r="AL104" s="436"/>
      <c r="AM104" s="109"/>
    </row>
    <row r="105" ht="22.5" customHeight="1">
      <c r="A105" s="439"/>
      <c r="B105" s="439"/>
      <c r="C105" s="440"/>
      <c r="D105" s="440"/>
      <c r="E105" s="93">
        <f t="shared" si="6"/>
        <v>0</v>
      </c>
      <c r="F105" s="94"/>
      <c r="G105" s="425"/>
      <c r="H105" s="425"/>
      <c r="I105" s="286"/>
      <c r="J105" s="286"/>
      <c r="K105" s="229"/>
      <c r="L105" s="425"/>
      <c r="M105" s="226"/>
      <c r="N105" s="225"/>
      <c r="O105" s="286"/>
      <c r="P105" s="286"/>
      <c r="Q105" s="226"/>
      <c r="R105" s="226"/>
      <c r="S105" s="226"/>
      <c r="T105" s="226"/>
      <c r="U105" s="226"/>
      <c r="V105" s="226"/>
      <c r="W105" s="226"/>
      <c r="X105" s="226"/>
      <c r="Y105" s="429"/>
      <c r="Z105" s="292"/>
      <c r="AA105" s="226"/>
      <c r="AB105" s="430"/>
      <c r="AC105" s="427"/>
      <c r="AD105" s="226"/>
      <c r="AE105" s="226"/>
      <c r="AF105" s="226"/>
      <c r="AG105" s="435"/>
      <c r="AH105" s="292"/>
      <c r="AI105" s="226"/>
      <c r="AJ105" s="226"/>
      <c r="AK105" s="226"/>
      <c r="AL105" s="436"/>
      <c r="AM105" s="109"/>
    </row>
    <row r="106" ht="22.5" customHeight="1">
      <c r="A106" s="439"/>
      <c r="B106" s="439"/>
      <c r="C106" s="440"/>
      <c r="D106" s="440"/>
      <c r="E106" s="93">
        <f t="shared" si="6"/>
        <v>0</v>
      </c>
      <c r="F106" s="94"/>
      <c r="G106" s="425"/>
      <c r="H106" s="425"/>
      <c r="I106" s="286"/>
      <c r="J106" s="286"/>
      <c r="K106" s="229"/>
      <c r="L106" s="425"/>
      <c r="M106" s="226"/>
      <c r="N106" s="225"/>
      <c r="O106" s="286"/>
      <c r="P106" s="286"/>
      <c r="Q106" s="226"/>
      <c r="R106" s="226"/>
      <c r="S106" s="226"/>
      <c r="T106" s="226"/>
      <c r="U106" s="226"/>
      <c r="V106" s="226"/>
      <c r="W106" s="226"/>
      <c r="X106" s="226"/>
      <c r="Y106" s="429"/>
      <c r="Z106" s="292"/>
      <c r="AA106" s="226"/>
      <c r="AB106" s="430"/>
      <c r="AC106" s="427"/>
      <c r="AD106" s="226"/>
      <c r="AE106" s="226"/>
      <c r="AF106" s="226"/>
      <c r="AG106" s="435"/>
      <c r="AH106" s="292"/>
      <c r="AI106" s="226"/>
      <c r="AJ106" s="226"/>
      <c r="AK106" s="226"/>
      <c r="AL106" s="436"/>
      <c r="AM106" s="109"/>
    </row>
    <row r="107" ht="22.5" customHeight="1">
      <c r="A107" s="439"/>
      <c r="B107" s="439"/>
      <c r="C107" s="440"/>
      <c r="D107" s="440"/>
      <c r="E107" s="93">
        <f t="shared" si="6"/>
        <v>0</v>
      </c>
      <c r="F107" s="94"/>
      <c r="G107" s="425"/>
      <c r="H107" s="425"/>
      <c r="I107" s="286"/>
      <c r="J107" s="286"/>
      <c r="K107" s="229"/>
      <c r="L107" s="425"/>
      <c r="M107" s="226"/>
      <c r="N107" s="225"/>
      <c r="O107" s="286"/>
      <c r="P107" s="286"/>
      <c r="Q107" s="226"/>
      <c r="R107" s="226"/>
      <c r="S107" s="226"/>
      <c r="T107" s="226"/>
      <c r="U107" s="226"/>
      <c r="V107" s="226"/>
      <c r="W107" s="226"/>
      <c r="X107" s="226"/>
      <c r="Y107" s="429"/>
      <c r="Z107" s="292"/>
      <c r="AA107" s="226"/>
      <c r="AB107" s="430"/>
      <c r="AC107" s="427"/>
      <c r="AD107" s="226"/>
      <c r="AE107" s="226"/>
      <c r="AF107" s="226"/>
      <c r="AG107" s="435"/>
      <c r="AH107" s="292"/>
      <c r="AI107" s="226"/>
      <c r="AJ107" s="226"/>
      <c r="AK107" s="226"/>
      <c r="AL107" s="436"/>
      <c r="AM107" s="109"/>
    </row>
    <row r="108" ht="22.5" customHeight="1">
      <c r="A108" s="439"/>
      <c r="B108" s="439"/>
      <c r="C108" s="439"/>
      <c r="D108" s="439"/>
      <c r="E108" s="419">
        <f t="shared" si="6"/>
        <v>0</v>
      </c>
      <c r="F108" s="441"/>
      <c r="G108" s="442"/>
      <c r="H108" s="442"/>
      <c r="I108" s="443"/>
      <c r="J108" s="443"/>
      <c r="K108" s="444"/>
      <c r="L108" s="442"/>
      <c r="M108" s="436"/>
      <c r="N108" s="445"/>
      <c r="O108" s="443"/>
      <c r="P108" s="443"/>
      <c r="Q108" s="436"/>
      <c r="R108" s="436"/>
      <c r="S108" s="436"/>
      <c r="T108" s="436"/>
      <c r="U108" s="436"/>
      <c r="V108" s="436"/>
      <c r="W108" s="436"/>
      <c r="X108" s="436"/>
      <c r="Y108" s="446"/>
      <c r="Z108" s="432"/>
      <c r="AA108" s="436"/>
      <c r="AB108" s="447"/>
      <c r="AC108" s="448"/>
      <c r="AD108" s="436"/>
      <c r="AE108" s="436"/>
      <c r="AF108" s="436"/>
      <c r="AG108" s="449"/>
      <c r="AH108" s="432"/>
      <c r="AI108" s="436"/>
      <c r="AJ108" s="436"/>
      <c r="AK108" s="436"/>
      <c r="AL108" s="436"/>
      <c r="AM108" s="109"/>
    </row>
    <row r="109" ht="22.5" customHeight="1">
      <c r="A109" s="439"/>
      <c r="B109" s="439"/>
      <c r="C109" s="439"/>
      <c r="D109" s="439"/>
      <c r="E109" s="419">
        <f t="shared" si="6"/>
        <v>0</v>
      </c>
      <c r="F109" s="441"/>
      <c r="G109" s="442"/>
      <c r="H109" s="442"/>
      <c r="I109" s="443"/>
      <c r="J109" s="443"/>
      <c r="K109" s="444"/>
      <c r="L109" s="442"/>
      <c r="M109" s="436"/>
      <c r="N109" s="445"/>
      <c r="O109" s="443"/>
      <c r="P109" s="443"/>
      <c r="Q109" s="436"/>
      <c r="R109" s="436"/>
      <c r="S109" s="436"/>
      <c r="T109" s="436"/>
      <c r="U109" s="436"/>
      <c r="V109" s="436"/>
      <c r="W109" s="436"/>
      <c r="X109" s="436"/>
      <c r="Y109" s="446"/>
      <c r="Z109" s="432"/>
      <c r="AA109" s="436"/>
      <c r="AB109" s="447"/>
      <c r="AC109" s="448"/>
      <c r="AD109" s="436"/>
      <c r="AE109" s="436"/>
      <c r="AF109" s="436"/>
      <c r="AG109" s="449"/>
      <c r="AH109" s="432"/>
      <c r="AI109" s="436"/>
      <c r="AJ109" s="436"/>
      <c r="AK109" s="436"/>
      <c r="AL109" s="436"/>
      <c r="AM109" s="109"/>
    </row>
    <row r="110" ht="22.5" customHeight="1">
      <c r="A110" s="439"/>
      <c r="B110" s="439"/>
      <c r="C110" s="439"/>
      <c r="D110" s="439"/>
      <c r="E110" s="419">
        <f t="shared" si="6"/>
        <v>0</v>
      </c>
      <c r="F110" s="441"/>
      <c r="G110" s="442"/>
      <c r="H110" s="442"/>
      <c r="I110" s="443"/>
      <c r="J110" s="443"/>
      <c r="K110" s="444"/>
      <c r="L110" s="442"/>
      <c r="M110" s="436"/>
      <c r="N110" s="445"/>
      <c r="O110" s="443"/>
      <c r="P110" s="443"/>
      <c r="Q110" s="436"/>
      <c r="R110" s="436"/>
      <c r="S110" s="436"/>
      <c r="T110" s="436"/>
      <c r="U110" s="436"/>
      <c r="V110" s="436"/>
      <c r="W110" s="436"/>
      <c r="X110" s="436"/>
      <c r="Y110" s="446"/>
      <c r="Z110" s="432"/>
      <c r="AA110" s="436"/>
      <c r="AB110" s="447"/>
      <c r="AC110" s="448"/>
      <c r="AD110" s="436"/>
      <c r="AE110" s="436"/>
      <c r="AF110" s="436"/>
      <c r="AG110" s="449"/>
      <c r="AH110" s="432"/>
      <c r="AI110" s="436"/>
      <c r="AJ110" s="436"/>
      <c r="AK110" s="436"/>
      <c r="AL110" s="436"/>
      <c r="AM110" s="109"/>
    </row>
    <row r="111" ht="22.5" customHeight="1">
      <c r="A111" s="439"/>
      <c r="B111" s="439"/>
      <c r="C111" s="439"/>
      <c r="D111" s="439"/>
      <c r="E111" s="419">
        <f t="shared" si="6"/>
        <v>0</v>
      </c>
      <c r="F111" s="441"/>
      <c r="G111" s="442"/>
      <c r="H111" s="442"/>
      <c r="I111" s="443"/>
      <c r="J111" s="443"/>
      <c r="K111" s="444"/>
      <c r="L111" s="442"/>
      <c r="M111" s="436"/>
      <c r="N111" s="445"/>
      <c r="O111" s="443"/>
      <c r="P111" s="443"/>
      <c r="Q111" s="436"/>
      <c r="R111" s="436"/>
      <c r="S111" s="436"/>
      <c r="T111" s="436"/>
      <c r="U111" s="436"/>
      <c r="V111" s="436"/>
      <c r="W111" s="436"/>
      <c r="X111" s="436"/>
      <c r="Y111" s="446"/>
      <c r="Z111" s="432"/>
      <c r="AA111" s="436"/>
      <c r="AB111" s="447"/>
      <c r="AC111" s="448"/>
      <c r="AD111" s="436"/>
      <c r="AE111" s="436"/>
      <c r="AF111" s="436"/>
      <c r="AG111" s="449"/>
      <c r="AH111" s="432"/>
      <c r="AI111" s="436"/>
      <c r="AJ111" s="436"/>
      <c r="AK111" s="436"/>
      <c r="AL111" s="436"/>
      <c r="AM111" s="109"/>
    </row>
    <row r="112" ht="22.5" customHeight="1">
      <c r="A112" s="439"/>
      <c r="B112" s="439"/>
      <c r="C112" s="439"/>
      <c r="D112" s="439"/>
      <c r="E112" s="419">
        <f t="shared" si="6"/>
        <v>0</v>
      </c>
      <c r="F112" s="441"/>
      <c r="G112" s="442"/>
      <c r="H112" s="442"/>
      <c r="I112" s="443"/>
      <c r="J112" s="443"/>
      <c r="K112" s="444"/>
      <c r="L112" s="442"/>
      <c r="M112" s="436"/>
      <c r="N112" s="445"/>
      <c r="O112" s="443"/>
      <c r="P112" s="443"/>
      <c r="Q112" s="436"/>
      <c r="R112" s="436"/>
      <c r="S112" s="436"/>
      <c r="T112" s="436"/>
      <c r="U112" s="436"/>
      <c r="V112" s="436"/>
      <c r="W112" s="436"/>
      <c r="X112" s="436"/>
      <c r="Y112" s="446"/>
      <c r="Z112" s="432"/>
      <c r="AA112" s="436"/>
      <c r="AB112" s="447"/>
      <c r="AC112" s="448"/>
      <c r="AD112" s="436"/>
      <c r="AE112" s="436"/>
      <c r="AF112" s="436"/>
      <c r="AG112" s="449"/>
      <c r="AH112" s="432"/>
      <c r="AI112" s="436"/>
      <c r="AJ112" s="436"/>
      <c r="AK112" s="436"/>
      <c r="AL112" s="436"/>
      <c r="AM112" s="109"/>
    </row>
    <row r="113" ht="22.5" customHeight="1">
      <c r="A113" s="439"/>
      <c r="B113" s="439"/>
      <c r="C113" s="439"/>
      <c r="D113" s="439"/>
      <c r="E113" s="419">
        <f t="shared" si="6"/>
        <v>0</v>
      </c>
      <c r="F113" s="441"/>
      <c r="G113" s="442"/>
      <c r="H113" s="442"/>
      <c r="I113" s="443"/>
      <c r="J113" s="443"/>
      <c r="K113" s="444"/>
      <c r="L113" s="442"/>
      <c r="M113" s="436"/>
      <c r="N113" s="445"/>
      <c r="O113" s="443"/>
      <c r="P113" s="443"/>
      <c r="Q113" s="436"/>
      <c r="R113" s="436"/>
      <c r="S113" s="436"/>
      <c r="T113" s="436"/>
      <c r="U113" s="436"/>
      <c r="V113" s="436"/>
      <c r="W113" s="436"/>
      <c r="X113" s="436"/>
      <c r="Y113" s="446"/>
      <c r="Z113" s="432"/>
      <c r="AA113" s="436"/>
      <c r="AB113" s="447"/>
      <c r="AC113" s="448"/>
      <c r="AD113" s="436"/>
      <c r="AE113" s="436"/>
      <c r="AF113" s="436"/>
      <c r="AG113" s="449"/>
      <c r="AH113" s="432"/>
      <c r="AI113" s="436"/>
      <c r="AJ113" s="436"/>
      <c r="AK113" s="436"/>
      <c r="AL113" s="436"/>
      <c r="AM113" s="109"/>
    </row>
    <row r="114" ht="22.5" customHeight="1">
      <c r="A114" s="439"/>
      <c r="B114" s="439"/>
      <c r="C114" s="439"/>
      <c r="D114" s="439"/>
      <c r="E114" s="419">
        <f t="shared" si="6"/>
        <v>0</v>
      </c>
      <c r="F114" s="441"/>
      <c r="G114" s="442"/>
      <c r="H114" s="442"/>
      <c r="I114" s="443"/>
      <c r="J114" s="443"/>
      <c r="K114" s="444"/>
      <c r="L114" s="442"/>
      <c r="M114" s="436"/>
      <c r="N114" s="445"/>
      <c r="O114" s="443"/>
      <c r="P114" s="443"/>
      <c r="Q114" s="436"/>
      <c r="R114" s="436"/>
      <c r="S114" s="436"/>
      <c r="T114" s="436"/>
      <c r="U114" s="436"/>
      <c r="V114" s="436"/>
      <c r="W114" s="436"/>
      <c r="X114" s="436"/>
      <c r="Y114" s="446"/>
      <c r="Z114" s="432"/>
      <c r="AA114" s="436"/>
      <c r="AB114" s="447"/>
      <c r="AC114" s="448"/>
      <c r="AD114" s="436"/>
      <c r="AE114" s="436"/>
      <c r="AF114" s="436"/>
      <c r="AG114" s="449"/>
      <c r="AH114" s="432"/>
      <c r="AI114" s="436"/>
      <c r="AJ114" s="436"/>
      <c r="AK114" s="436"/>
      <c r="AL114" s="436"/>
      <c r="AM114" s="109"/>
    </row>
    <row r="115" ht="22.5" customHeight="1">
      <c r="A115" s="439"/>
      <c r="B115" s="439"/>
      <c r="C115" s="439"/>
      <c r="D115" s="439"/>
      <c r="E115" s="419">
        <f t="shared" si="6"/>
        <v>0</v>
      </c>
      <c r="F115" s="441"/>
      <c r="G115" s="442"/>
      <c r="H115" s="442"/>
      <c r="I115" s="443"/>
      <c r="J115" s="443"/>
      <c r="K115" s="444"/>
      <c r="L115" s="442"/>
      <c r="M115" s="436"/>
      <c r="N115" s="445"/>
      <c r="O115" s="443"/>
      <c r="P115" s="443"/>
      <c r="Q115" s="436"/>
      <c r="R115" s="436"/>
      <c r="S115" s="436"/>
      <c r="T115" s="436"/>
      <c r="U115" s="436"/>
      <c r="V115" s="436"/>
      <c r="W115" s="436"/>
      <c r="X115" s="436"/>
      <c r="Y115" s="446"/>
      <c r="Z115" s="432"/>
      <c r="AA115" s="436"/>
      <c r="AB115" s="447"/>
      <c r="AC115" s="448"/>
      <c r="AD115" s="436"/>
      <c r="AE115" s="436"/>
      <c r="AF115" s="436"/>
      <c r="AG115" s="449"/>
      <c r="AH115" s="432"/>
      <c r="AI115" s="436"/>
      <c r="AJ115" s="436"/>
      <c r="AK115" s="436"/>
      <c r="AL115" s="436"/>
      <c r="AM115" s="109"/>
    </row>
    <row r="116" ht="22.5" customHeight="1">
      <c r="A116" s="439"/>
      <c r="B116" s="439"/>
      <c r="C116" s="439"/>
      <c r="D116" s="439"/>
      <c r="E116" s="419">
        <f t="shared" si="6"/>
        <v>0</v>
      </c>
      <c r="F116" s="441"/>
      <c r="G116" s="442"/>
      <c r="H116" s="442"/>
      <c r="I116" s="443"/>
      <c r="J116" s="443"/>
      <c r="K116" s="444"/>
      <c r="L116" s="442"/>
      <c r="M116" s="436"/>
      <c r="N116" s="445"/>
      <c r="O116" s="443"/>
      <c r="P116" s="443"/>
      <c r="Q116" s="436"/>
      <c r="R116" s="436"/>
      <c r="S116" s="436"/>
      <c r="T116" s="436"/>
      <c r="U116" s="436"/>
      <c r="V116" s="436"/>
      <c r="W116" s="436"/>
      <c r="X116" s="436"/>
      <c r="Y116" s="446"/>
      <c r="Z116" s="432"/>
      <c r="AA116" s="436"/>
      <c r="AB116" s="447"/>
      <c r="AC116" s="448"/>
      <c r="AD116" s="436"/>
      <c r="AE116" s="436"/>
      <c r="AF116" s="436"/>
      <c r="AG116" s="449"/>
      <c r="AH116" s="432"/>
      <c r="AI116" s="436"/>
      <c r="AJ116" s="436"/>
      <c r="AK116" s="436"/>
      <c r="AL116" s="436"/>
      <c r="AM116" s="109"/>
    </row>
    <row r="117" ht="22.5" customHeight="1">
      <c r="A117" s="439"/>
      <c r="B117" s="439"/>
      <c r="C117" s="439"/>
      <c r="D117" s="439"/>
      <c r="E117" s="419">
        <f t="shared" si="6"/>
        <v>0</v>
      </c>
      <c r="F117" s="441"/>
      <c r="G117" s="442"/>
      <c r="H117" s="442"/>
      <c r="I117" s="443"/>
      <c r="J117" s="443"/>
      <c r="K117" s="444"/>
      <c r="L117" s="442"/>
      <c r="M117" s="436"/>
      <c r="N117" s="445"/>
      <c r="O117" s="443"/>
      <c r="P117" s="443"/>
      <c r="Q117" s="436"/>
      <c r="R117" s="436"/>
      <c r="S117" s="436"/>
      <c r="T117" s="436"/>
      <c r="U117" s="436"/>
      <c r="V117" s="436"/>
      <c r="W117" s="436"/>
      <c r="X117" s="436"/>
      <c r="Y117" s="446"/>
      <c r="Z117" s="432"/>
      <c r="AA117" s="436"/>
      <c r="AB117" s="447"/>
      <c r="AC117" s="448"/>
      <c r="AD117" s="436"/>
      <c r="AE117" s="436"/>
      <c r="AF117" s="436"/>
      <c r="AG117" s="449"/>
      <c r="AH117" s="432"/>
      <c r="AI117" s="436"/>
      <c r="AJ117" s="436"/>
      <c r="AK117" s="436"/>
      <c r="AL117" s="436"/>
      <c r="AM117" s="109"/>
    </row>
    <row r="118" ht="22.5" customHeight="1">
      <c r="A118" s="439"/>
      <c r="B118" s="439"/>
      <c r="C118" s="439"/>
      <c r="D118" s="439"/>
      <c r="E118" s="419">
        <f t="shared" si="6"/>
        <v>0</v>
      </c>
      <c r="F118" s="441"/>
      <c r="G118" s="442"/>
      <c r="H118" s="442"/>
      <c r="I118" s="443"/>
      <c r="J118" s="443"/>
      <c r="K118" s="444"/>
      <c r="L118" s="442"/>
      <c r="M118" s="436"/>
      <c r="N118" s="445"/>
      <c r="O118" s="443"/>
      <c r="P118" s="443"/>
      <c r="Q118" s="436"/>
      <c r="R118" s="436"/>
      <c r="S118" s="436"/>
      <c r="T118" s="436"/>
      <c r="U118" s="436"/>
      <c r="V118" s="436"/>
      <c r="W118" s="436"/>
      <c r="X118" s="436"/>
      <c r="Y118" s="446"/>
      <c r="Z118" s="432"/>
      <c r="AA118" s="436"/>
      <c r="AB118" s="447"/>
      <c r="AC118" s="448"/>
      <c r="AD118" s="436"/>
      <c r="AE118" s="436"/>
      <c r="AF118" s="436"/>
      <c r="AG118" s="449"/>
      <c r="AH118" s="432"/>
      <c r="AI118" s="436"/>
      <c r="AJ118" s="436"/>
      <c r="AK118" s="436"/>
      <c r="AL118" s="436"/>
      <c r="AM118" s="109"/>
    </row>
    <row r="119" ht="22.5" customHeight="1">
      <c r="A119" s="439"/>
      <c r="B119" s="439"/>
      <c r="C119" s="439"/>
      <c r="D119" s="439"/>
      <c r="E119" s="419">
        <f t="shared" si="6"/>
        <v>0</v>
      </c>
      <c r="F119" s="441"/>
      <c r="G119" s="442"/>
      <c r="H119" s="442"/>
      <c r="I119" s="443"/>
      <c r="J119" s="443"/>
      <c r="K119" s="444"/>
      <c r="L119" s="442"/>
      <c r="M119" s="436"/>
      <c r="N119" s="445"/>
      <c r="O119" s="443"/>
      <c r="P119" s="443"/>
      <c r="Q119" s="436"/>
      <c r="R119" s="436"/>
      <c r="S119" s="436"/>
      <c r="T119" s="436"/>
      <c r="U119" s="436"/>
      <c r="V119" s="436"/>
      <c r="W119" s="436"/>
      <c r="X119" s="436"/>
      <c r="Y119" s="446"/>
      <c r="Z119" s="432"/>
      <c r="AA119" s="436"/>
      <c r="AB119" s="447"/>
      <c r="AC119" s="448"/>
      <c r="AD119" s="436"/>
      <c r="AE119" s="436"/>
      <c r="AF119" s="436"/>
      <c r="AG119" s="449"/>
      <c r="AH119" s="432"/>
      <c r="AI119" s="436"/>
      <c r="AJ119" s="436"/>
      <c r="AK119" s="436"/>
      <c r="AL119" s="436"/>
      <c r="AM119" s="109"/>
    </row>
    <row r="120" ht="22.5" customHeight="1">
      <c r="A120" s="439"/>
      <c r="B120" s="439"/>
      <c r="C120" s="439"/>
      <c r="D120" s="439"/>
      <c r="E120" s="419">
        <f t="shared" si="6"/>
        <v>0</v>
      </c>
      <c r="F120" s="441"/>
      <c r="G120" s="442"/>
      <c r="H120" s="442"/>
      <c r="I120" s="443"/>
      <c r="J120" s="443"/>
      <c r="K120" s="444"/>
      <c r="L120" s="442"/>
      <c r="M120" s="436"/>
      <c r="N120" s="445"/>
      <c r="O120" s="443"/>
      <c r="P120" s="443"/>
      <c r="Q120" s="436"/>
      <c r="R120" s="436"/>
      <c r="S120" s="436"/>
      <c r="T120" s="436"/>
      <c r="U120" s="436"/>
      <c r="V120" s="436"/>
      <c r="W120" s="436"/>
      <c r="X120" s="436"/>
      <c r="Y120" s="446"/>
      <c r="Z120" s="432"/>
      <c r="AA120" s="436"/>
      <c r="AB120" s="447"/>
      <c r="AC120" s="448"/>
      <c r="AD120" s="436"/>
      <c r="AE120" s="436"/>
      <c r="AF120" s="436"/>
      <c r="AG120" s="449"/>
      <c r="AH120" s="432"/>
      <c r="AI120" s="436"/>
      <c r="AJ120" s="436"/>
      <c r="AK120" s="436"/>
      <c r="AL120" s="436"/>
      <c r="AM120" s="109"/>
    </row>
    <row r="121" ht="22.5" customHeight="1">
      <c r="A121" s="439"/>
      <c r="B121" s="439"/>
      <c r="C121" s="439"/>
      <c r="D121" s="439"/>
      <c r="E121" s="419">
        <f t="shared" si="6"/>
        <v>0</v>
      </c>
      <c r="F121" s="441"/>
      <c r="G121" s="442"/>
      <c r="H121" s="442"/>
      <c r="I121" s="443"/>
      <c r="J121" s="443"/>
      <c r="K121" s="444"/>
      <c r="L121" s="442"/>
      <c r="M121" s="436"/>
      <c r="N121" s="445"/>
      <c r="O121" s="443"/>
      <c r="P121" s="443"/>
      <c r="Q121" s="436"/>
      <c r="R121" s="436"/>
      <c r="S121" s="436"/>
      <c r="T121" s="436"/>
      <c r="U121" s="436"/>
      <c r="V121" s="436"/>
      <c r="W121" s="436"/>
      <c r="X121" s="436"/>
      <c r="Y121" s="446"/>
      <c r="Z121" s="432"/>
      <c r="AA121" s="436"/>
      <c r="AB121" s="447"/>
      <c r="AC121" s="448"/>
      <c r="AD121" s="436"/>
      <c r="AE121" s="436"/>
      <c r="AF121" s="436"/>
      <c r="AG121" s="449"/>
      <c r="AH121" s="432"/>
      <c r="AI121" s="436"/>
      <c r="AJ121" s="436"/>
      <c r="AK121" s="436"/>
      <c r="AL121" s="436"/>
      <c r="AM121" s="109"/>
    </row>
    <row r="122" ht="22.5" customHeight="1">
      <c r="A122" s="439"/>
      <c r="B122" s="439"/>
      <c r="C122" s="439"/>
      <c r="D122" s="439"/>
      <c r="E122" s="419">
        <f t="shared" si="6"/>
        <v>0</v>
      </c>
      <c r="F122" s="441"/>
      <c r="G122" s="442"/>
      <c r="H122" s="442"/>
      <c r="I122" s="443"/>
      <c r="J122" s="443"/>
      <c r="K122" s="444"/>
      <c r="L122" s="442"/>
      <c r="M122" s="436"/>
      <c r="N122" s="445"/>
      <c r="O122" s="443"/>
      <c r="P122" s="443"/>
      <c r="Q122" s="436"/>
      <c r="R122" s="436"/>
      <c r="S122" s="436"/>
      <c r="T122" s="436"/>
      <c r="U122" s="436"/>
      <c r="V122" s="436"/>
      <c r="W122" s="436"/>
      <c r="X122" s="436"/>
      <c r="Y122" s="446"/>
      <c r="Z122" s="432"/>
      <c r="AA122" s="436"/>
      <c r="AB122" s="447"/>
      <c r="AC122" s="448"/>
      <c r="AD122" s="436"/>
      <c r="AE122" s="436"/>
      <c r="AF122" s="436"/>
      <c r="AG122" s="449"/>
      <c r="AH122" s="432"/>
      <c r="AI122" s="436"/>
      <c r="AJ122" s="436"/>
      <c r="AK122" s="436"/>
      <c r="AL122" s="436"/>
      <c r="AM122" s="109"/>
    </row>
    <row r="123" ht="22.5" customHeight="1">
      <c r="A123" s="439"/>
      <c r="B123" s="439"/>
      <c r="C123" s="439"/>
      <c r="D123" s="439"/>
      <c r="E123" s="419">
        <f t="shared" si="6"/>
        <v>0</v>
      </c>
      <c r="F123" s="441"/>
      <c r="G123" s="442"/>
      <c r="H123" s="442"/>
      <c r="I123" s="443"/>
      <c r="J123" s="443"/>
      <c r="K123" s="444"/>
      <c r="L123" s="442"/>
      <c r="M123" s="436"/>
      <c r="N123" s="445"/>
      <c r="O123" s="443"/>
      <c r="P123" s="443"/>
      <c r="Q123" s="436"/>
      <c r="R123" s="436"/>
      <c r="S123" s="436"/>
      <c r="T123" s="436"/>
      <c r="U123" s="436"/>
      <c r="V123" s="436"/>
      <c r="W123" s="436"/>
      <c r="X123" s="436"/>
      <c r="Y123" s="446"/>
      <c r="Z123" s="432"/>
      <c r="AA123" s="436"/>
      <c r="AB123" s="447"/>
      <c r="AC123" s="448"/>
      <c r="AD123" s="436"/>
      <c r="AE123" s="436"/>
      <c r="AF123" s="436"/>
      <c r="AG123" s="449"/>
      <c r="AH123" s="432"/>
      <c r="AI123" s="436"/>
      <c r="AJ123" s="436"/>
      <c r="AK123" s="436"/>
      <c r="AL123" s="436"/>
      <c r="AM123" s="109"/>
    </row>
    <row r="124" ht="22.5" customHeight="1">
      <c r="A124" s="439"/>
      <c r="B124" s="439"/>
      <c r="C124" s="439"/>
      <c r="D124" s="439"/>
      <c r="E124" s="419">
        <f t="shared" si="6"/>
        <v>0</v>
      </c>
      <c r="F124" s="441"/>
      <c r="G124" s="442"/>
      <c r="H124" s="442"/>
      <c r="I124" s="443"/>
      <c r="J124" s="443"/>
      <c r="K124" s="444"/>
      <c r="L124" s="442"/>
      <c r="M124" s="436"/>
      <c r="N124" s="445"/>
      <c r="O124" s="443"/>
      <c r="P124" s="443"/>
      <c r="Q124" s="436"/>
      <c r="R124" s="436"/>
      <c r="S124" s="436"/>
      <c r="T124" s="436"/>
      <c r="U124" s="436"/>
      <c r="V124" s="436"/>
      <c r="W124" s="436"/>
      <c r="X124" s="436"/>
      <c r="Y124" s="446"/>
      <c r="Z124" s="432"/>
      <c r="AA124" s="436"/>
      <c r="AB124" s="447"/>
      <c r="AC124" s="448"/>
      <c r="AD124" s="436"/>
      <c r="AE124" s="436"/>
      <c r="AF124" s="436"/>
      <c r="AG124" s="449"/>
      <c r="AH124" s="432"/>
      <c r="AI124" s="436"/>
      <c r="AJ124" s="436"/>
      <c r="AK124" s="436"/>
      <c r="AL124" s="436"/>
      <c r="AM124" s="109"/>
    </row>
    <row r="125" ht="22.5" customHeight="1">
      <c r="A125" s="439"/>
      <c r="B125" s="439"/>
      <c r="C125" s="439"/>
      <c r="D125" s="439"/>
      <c r="E125" s="419">
        <f t="shared" si="6"/>
        <v>0</v>
      </c>
      <c r="F125" s="441"/>
      <c r="G125" s="442"/>
      <c r="H125" s="442"/>
      <c r="I125" s="443"/>
      <c r="J125" s="443"/>
      <c r="K125" s="444"/>
      <c r="L125" s="442"/>
      <c r="M125" s="436"/>
      <c r="N125" s="445"/>
      <c r="O125" s="443"/>
      <c r="P125" s="443"/>
      <c r="Q125" s="436"/>
      <c r="R125" s="436"/>
      <c r="S125" s="436"/>
      <c r="T125" s="436"/>
      <c r="U125" s="436"/>
      <c r="V125" s="436"/>
      <c r="W125" s="436"/>
      <c r="X125" s="436"/>
      <c r="Y125" s="446"/>
      <c r="Z125" s="432"/>
      <c r="AA125" s="436"/>
      <c r="AB125" s="447"/>
      <c r="AC125" s="448"/>
      <c r="AD125" s="436"/>
      <c r="AE125" s="436"/>
      <c r="AF125" s="436"/>
      <c r="AG125" s="449"/>
      <c r="AH125" s="432"/>
      <c r="AI125" s="436"/>
      <c r="AJ125" s="436"/>
      <c r="AK125" s="436"/>
      <c r="AL125" s="436"/>
      <c r="AM125" s="109"/>
    </row>
    <row r="126" ht="22.5" customHeight="1">
      <c r="A126" s="439"/>
      <c r="B126" s="439"/>
      <c r="C126" s="439"/>
      <c r="D126" s="439"/>
      <c r="E126" s="419">
        <f t="shared" si="6"/>
        <v>0</v>
      </c>
      <c r="F126" s="441"/>
      <c r="G126" s="442"/>
      <c r="H126" s="442"/>
      <c r="I126" s="443"/>
      <c r="J126" s="443"/>
      <c r="K126" s="444"/>
      <c r="L126" s="442"/>
      <c r="M126" s="436"/>
      <c r="N126" s="445"/>
      <c r="O126" s="443"/>
      <c r="P126" s="443"/>
      <c r="Q126" s="436"/>
      <c r="R126" s="436"/>
      <c r="S126" s="436"/>
      <c r="T126" s="436"/>
      <c r="U126" s="436"/>
      <c r="V126" s="436"/>
      <c r="W126" s="436"/>
      <c r="X126" s="436"/>
      <c r="Y126" s="446"/>
      <c r="Z126" s="432"/>
      <c r="AA126" s="436"/>
      <c r="AB126" s="447"/>
      <c r="AC126" s="448"/>
      <c r="AD126" s="436"/>
      <c r="AE126" s="436"/>
      <c r="AF126" s="436"/>
      <c r="AG126" s="449"/>
      <c r="AH126" s="432"/>
      <c r="AI126" s="436"/>
      <c r="AJ126" s="436"/>
      <c r="AK126" s="436"/>
      <c r="AL126" s="436"/>
      <c r="AM126" s="109"/>
    </row>
    <row r="127" ht="22.5" customHeight="1">
      <c r="A127" s="439"/>
      <c r="B127" s="439"/>
      <c r="C127" s="439"/>
      <c r="D127" s="439"/>
      <c r="E127" s="419">
        <f t="shared" si="6"/>
        <v>0</v>
      </c>
      <c r="F127" s="441"/>
      <c r="G127" s="442"/>
      <c r="H127" s="442"/>
      <c r="I127" s="443"/>
      <c r="J127" s="443"/>
      <c r="K127" s="444"/>
      <c r="L127" s="442"/>
      <c r="M127" s="436"/>
      <c r="N127" s="445"/>
      <c r="O127" s="443"/>
      <c r="P127" s="443"/>
      <c r="Q127" s="436"/>
      <c r="R127" s="436"/>
      <c r="S127" s="436"/>
      <c r="T127" s="436"/>
      <c r="U127" s="436"/>
      <c r="V127" s="436"/>
      <c r="W127" s="436"/>
      <c r="X127" s="436"/>
      <c r="Y127" s="446"/>
      <c r="Z127" s="432"/>
      <c r="AA127" s="436"/>
      <c r="AB127" s="447"/>
      <c r="AC127" s="448"/>
      <c r="AD127" s="436"/>
      <c r="AE127" s="436"/>
      <c r="AF127" s="436"/>
      <c r="AG127" s="449"/>
      <c r="AH127" s="432"/>
      <c r="AI127" s="436"/>
      <c r="AJ127" s="436"/>
      <c r="AK127" s="436"/>
      <c r="AL127" s="436"/>
      <c r="AM127" s="109"/>
    </row>
    <row r="128" ht="22.5" customHeight="1">
      <c r="A128" s="439"/>
      <c r="B128" s="439"/>
      <c r="C128" s="439"/>
      <c r="D128" s="439"/>
      <c r="E128" s="419">
        <f t="shared" si="6"/>
        <v>0</v>
      </c>
      <c r="F128" s="441"/>
      <c r="G128" s="442"/>
      <c r="H128" s="442"/>
      <c r="I128" s="443"/>
      <c r="J128" s="443"/>
      <c r="K128" s="444"/>
      <c r="L128" s="442"/>
      <c r="M128" s="436"/>
      <c r="N128" s="445"/>
      <c r="O128" s="443"/>
      <c r="P128" s="443"/>
      <c r="Q128" s="436"/>
      <c r="R128" s="436"/>
      <c r="S128" s="436"/>
      <c r="T128" s="436"/>
      <c r="U128" s="436"/>
      <c r="V128" s="436"/>
      <c r="W128" s="436"/>
      <c r="X128" s="436"/>
      <c r="Y128" s="446"/>
      <c r="Z128" s="432"/>
      <c r="AA128" s="436"/>
      <c r="AB128" s="447"/>
      <c r="AC128" s="448"/>
      <c r="AD128" s="436"/>
      <c r="AE128" s="436"/>
      <c r="AF128" s="436"/>
      <c r="AG128" s="449"/>
      <c r="AH128" s="432"/>
      <c r="AI128" s="436"/>
      <c r="AJ128" s="436"/>
      <c r="AK128" s="436"/>
      <c r="AL128" s="436"/>
      <c r="AM128" s="109"/>
    </row>
    <row r="129" ht="22.5" customHeight="1">
      <c r="A129" s="439"/>
      <c r="B129" s="439"/>
      <c r="C129" s="439"/>
      <c r="D129" s="439"/>
      <c r="E129" s="419">
        <f t="shared" si="6"/>
        <v>0</v>
      </c>
      <c r="F129" s="441"/>
      <c r="G129" s="442"/>
      <c r="H129" s="442"/>
      <c r="I129" s="443"/>
      <c r="J129" s="443"/>
      <c r="K129" s="444"/>
      <c r="L129" s="442"/>
      <c r="M129" s="436"/>
      <c r="N129" s="445"/>
      <c r="O129" s="443"/>
      <c r="P129" s="443"/>
      <c r="Q129" s="436"/>
      <c r="R129" s="436"/>
      <c r="S129" s="436"/>
      <c r="T129" s="436"/>
      <c r="U129" s="436"/>
      <c r="V129" s="436"/>
      <c r="W129" s="436"/>
      <c r="X129" s="436"/>
      <c r="Y129" s="446"/>
      <c r="Z129" s="432"/>
      <c r="AA129" s="436"/>
      <c r="AB129" s="447"/>
      <c r="AC129" s="448"/>
      <c r="AD129" s="436"/>
      <c r="AE129" s="436"/>
      <c r="AF129" s="436"/>
      <c r="AG129" s="449"/>
      <c r="AH129" s="432"/>
      <c r="AI129" s="436"/>
      <c r="AJ129" s="436"/>
      <c r="AK129" s="436"/>
      <c r="AL129" s="436"/>
      <c r="AM129" s="109"/>
    </row>
    <row r="130" ht="22.5" customHeight="1">
      <c r="A130" s="439"/>
      <c r="B130" s="439"/>
      <c r="C130" s="439"/>
      <c r="D130" s="439"/>
      <c r="E130" s="419">
        <f t="shared" si="6"/>
        <v>0</v>
      </c>
      <c r="F130" s="441"/>
      <c r="G130" s="442"/>
      <c r="H130" s="442"/>
      <c r="I130" s="443"/>
      <c r="J130" s="443"/>
      <c r="K130" s="444"/>
      <c r="L130" s="442"/>
      <c r="M130" s="436"/>
      <c r="N130" s="445"/>
      <c r="O130" s="443"/>
      <c r="P130" s="443"/>
      <c r="Q130" s="436"/>
      <c r="R130" s="436"/>
      <c r="S130" s="436"/>
      <c r="T130" s="436"/>
      <c r="U130" s="436"/>
      <c r="V130" s="436"/>
      <c r="W130" s="436"/>
      <c r="X130" s="436"/>
      <c r="Y130" s="446"/>
      <c r="Z130" s="432"/>
      <c r="AA130" s="436"/>
      <c r="AB130" s="447"/>
      <c r="AC130" s="448"/>
      <c r="AD130" s="436"/>
      <c r="AE130" s="436"/>
      <c r="AF130" s="436"/>
      <c r="AG130" s="449"/>
      <c r="AH130" s="432"/>
      <c r="AI130" s="436"/>
      <c r="AJ130" s="436"/>
      <c r="AK130" s="436"/>
      <c r="AL130" s="436"/>
      <c r="AM130" s="109"/>
    </row>
    <row r="131" ht="22.5" customHeight="1">
      <c r="A131" s="439"/>
      <c r="B131" s="439"/>
      <c r="C131" s="439"/>
      <c r="D131" s="439"/>
      <c r="E131" s="419">
        <f t="shared" si="6"/>
        <v>0</v>
      </c>
      <c r="F131" s="441"/>
      <c r="G131" s="442"/>
      <c r="H131" s="442"/>
      <c r="I131" s="443"/>
      <c r="J131" s="443"/>
      <c r="K131" s="444"/>
      <c r="L131" s="442"/>
      <c r="M131" s="436"/>
      <c r="N131" s="445"/>
      <c r="O131" s="443"/>
      <c r="P131" s="443"/>
      <c r="Q131" s="436"/>
      <c r="R131" s="436"/>
      <c r="S131" s="436"/>
      <c r="T131" s="436"/>
      <c r="U131" s="436"/>
      <c r="V131" s="436"/>
      <c r="W131" s="436"/>
      <c r="X131" s="436"/>
      <c r="Y131" s="446"/>
      <c r="Z131" s="432"/>
      <c r="AA131" s="436"/>
      <c r="AB131" s="447"/>
      <c r="AC131" s="448"/>
      <c r="AD131" s="436"/>
      <c r="AE131" s="436"/>
      <c r="AF131" s="436"/>
      <c r="AG131" s="449"/>
      <c r="AH131" s="432"/>
      <c r="AI131" s="436"/>
      <c r="AJ131" s="436"/>
      <c r="AK131" s="436"/>
      <c r="AL131" s="436"/>
      <c r="AM131" s="109"/>
    </row>
    <row r="132" ht="22.5" customHeight="1">
      <c r="A132" s="439"/>
      <c r="B132" s="439"/>
      <c r="C132" s="439"/>
      <c r="D132" s="439"/>
      <c r="E132" s="419">
        <f t="shared" si="6"/>
        <v>0</v>
      </c>
      <c r="F132" s="441"/>
      <c r="G132" s="442"/>
      <c r="H132" s="442"/>
      <c r="I132" s="443"/>
      <c r="J132" s="443"/>
      <c r="K132" s="444"/>
      <c r="L132" s="442"/>
      <c r="M132" s="436"/>
      <c r="N132" s="445"/>
      <c r="O132" s="443"/>
      <c r="P132" s="443"/>
      <c r="Q132" s="436"/>
      <c r="R132" s="436"/>
      <c r="S132" s="436"/>
      <c r="T132" s="436"/>
      <c r="U132" s="436"/>
      <c r="V132" s="436"/>
      <c r="W132" s="436"/>
      <c r="X132" s="436"/>
      <c r="Y132" s="446"/>
      <c r="Z132" s="432"/>
      <c r="AA132" s="436"/>
      <c r="AB132" s="447"/>
      <c r="AC132" s="448"/>
      <c r="AD132" s="436"/>
      <c r="AE132" s="436"/>
      <c r="AF132" s="436"/>
      <c r="AG132" s="449"/>
      <c r="AH132" s="432"/>
      <c r="AI132" s="436"/>
      <c r="AJ132" s="436"/>
      <c r="AK132" s="436"/>
      <c r="AL132" s="436"/>
      <c r="AM132" s="109"/>
    </row>
    <row r="133" ht="22.5" customHeight="1">
      <c r="A133" s="439"/>
      <c r="B133" s="439"/>
      <c r="C133" s="439"/>
      <c r="D133" s="439"/>
      <c r="E133" s="419">
        <f t="shared" si="6"/>
        <v>0</v>
      </c>
      <c r="F133" s="441"/>
      <c r="G133" s="442"/>
      <c r="H133" s="442"/>
      <c r="I133" s="443"/>
      <c r="J133" s="443"/>
      <c r="K133" s="444"/>
      <c r="L133" s="442"/>
      <c r="M133" s="436"/>
      <c r="N133" s="445"/>
      <c r="O133" s="443"/>
      <c r="P133" s="443"/>
      <c r="Q133" s="436"/>
      <c r="R133" s="436"/>
      <c r="S133" s="436"/>
      <c r="T133" s="436"/>
      <c r="U133" s="436"/>
      <c r="V133" s="436"/>
      <c r="W133" s="436"/>
      <c r="X133" s="436"/>
      <c r="Y133" s="446"/>
      <c r="Z133" s="432"/>
      <c r="AA133" s="436"/>
      <c r="AB133" s="447"/>
      <c r="AC133" s="448"/>
      <c r="AD133" s="436"/>
      <c r="AE133" s="436"/>
      <c r="AF133" s="436"/>
      <c r="AG133" s="449"/>
      <c r="AH133" s="432"/>
      <c r="AI133" s="436"/>
      <c r="AJ133" s="436"/>
      <c r="AK133" s="436"/>
      <c r="AL133" s="436"/>
      <c r="AM133" s="109"/>
    </row>
    <row r="134" ht="22.5" customHeight="1">
      <c r="A134" s="439"/>
      <c r="B134" s="439"/>
      <c r="C134" s="439"/>
      <c r="D134" s="439"/>
      <c r="E134" s="419">
        <f t="shared" si="6"/>
        <v>0</v>
      </c>
      <c r="F134" s="441"/>
      <c r="G134" s="442"/>
      <c r="H134" s="442"/>
      <c r="I134" s="443"/>
      <c r="J134" s="443"/>
      <c r="K134" s="444"/>
      <c r="L134" s="442"/>
      <c r="M134" s="436"/>
      <c r="N134" s="445"/>
      <c r="O134" s="443"/>
      <c r="P134" s="443"/>
      <c r="Q134" s="436"/>
      <c r="R134" s="436"/>
      <c r="S134" s="436"/>
      <c r="T134" s="436"/>
      <c r="U134" s="436"/>
      <c r="V134" s="436"/>
      <c r="W134" s="436"/>
      <c r="X134" s="436"/>
      <c r="Y134" s="446"/>
      <c r="Z134" s="432"/>
      <c r="AA134" s="436"/>
      <c r="AB134" s="447"/>
      <c r="AC134" s="448"/>
      <c r="AD134" s="436"/>
      <c r="AE134" s="436"/>
      <c r="AF134" s="436"/>
      <c r="AG134" s="449"/>
      <c r="AH134" s="432"/>
      <c r="AI134" s="436"/>
      <c r="AJ134" s="436"/>
      <c r="AK134" s="436"/>
      <c r="AL134" s="436"/>
      <c r="AM134" s="109"/>
    </row>
    <row r="135" ht="22.5" customHeight="1">
      <c r="A135" s="439"/>
      <c r="B135" s="439"/>
      <c r="C135" s="439"/>
      <c r="D135" s="439"/>
      <c r="E135" s="419">
        <f t="shared" si="6"/>
        <v>0</v>
      </c>
      <c r="F135" s="441"/>
      <c r="G135" s="442"/>
      <c r="H135" s="442"/>
      <c r="I135" s="443"/>
      <c r="J135" s="443"/>
      <c r="K135" s="444"/>
      <c r="L135" s="442"/>
      <c r="M135" s="436"/>
      <c r="N135" s="445"/>
      <c r="O135" s="443"/>
      <c r="P135" s="443"/>
      <c r="Q135" s="436"/>
      <c r="R135" s="436"/>
      <c r="S135" s="436"/>
      <c r="T135" s="436"/>
      <c r="U135" s="436"/>
      <c r="V135" s="436"/>
      <c r="W135" s="436"/>
      <c r="X135" s="436"/>
      <c r="Y135" s="446"/>
      <c r="Z135" s="432"/>
      <c r="AA135" s="436"/>
      <c r="AB135" s="447"/>
      <c r="AC135" s="448"/>
      <c r="AD135" s="436"/>
      <c r="AE135" s="436"/>
      <c r="AF135" s="436"/>
      <c r="AG135" s="449"/>
      <c r="AH135" s="432"/>
      <c r="AI135" s="436"/>
      <c r="AJ135" s="436"/>
      <c r="AK135" s="436"/>
      <c r="AL135" s="436"/>
      <c r="AM135" s="109"/>
    </row>
    <row r="136" ht="22.5" customHeight="1">
      <c r="A136" s="439"/>
      <c r="B136" s="439"/>
      <c r="C136" s="439"/>
      <c r="D136" s="439"/>
      <c r="E136" s="419">
        <f t="shared" si="6"/>
        <v>0</v>
      </c>
      <c r="F136" s="441"/>
      <c r="G136" s="442"/>
      <c r="H136" s="442"/>
      <c r="I136" s="443"/>
      <c r="J136" s="443"/>
      <c r="K136" s="444"/>
      <c r="L136" s="442"/>
      <c r="M136" s="436"/>
      <c r="N136" s="445"/>
      <c r="O136" s="443"/>
      <c r="P136" s="443"/>
      <c r="Q136" s="436"/>
      <c r="R136" s="436"/>
      <c r="S136" s="436"/>
      <c r="T136" s="436"/>
      <c r="U136" s="436"/>
      <c r="V136" s="436"/>
      <c r="W136" s="436"/>
      <c r="X136" s="436"/>
      <c r="Y136" s="446"/>
      <c r="Z136" s="432"/>
      <c r="AA136" s="436"/>
      <c r="AB136" s="447"/>
      <c r="AC136" s="448"/>
      <c r="AD136" s="436"/>
      <c r="AE136" s="436"/>
      <c r="AF136" s="436"/>
      <c r="AG136" s="449"/>
      <c r="AH136" s="432"/>
      <c r="AI136" s="436"/>
      <c r="AJ136" s="436"/>
      <c r="AK136" s="436"/>
      <c r="AL136" s="436"/>
      <c r="AM136" s="109"/>
    </row>
    <row r="137" ht="22.5" customHeight="1">
      <c r="A137" s="439"/>
      <c r="B137" s="439"/>
      <c r="C137" s="439"/>
      <c r="D137" s="439"/>
      <c r="E137" s="419">
        <f t="shared" si="6"/>
        <v>0</v>
      </c>
      <c r="F137" s="441"/>
      <c r="G137" s="442"/>
      <c r="H137" s="442"/>
      <c r="I137" s="443"/>
      <c r="J137" s="443"/>
      <c r="K137" s="444"/>
      <c r="L137" s="442"/>
      <c r="M137" s="436"/>
      <c r="N137" s="445"/>
      <c r="O137" s="443"/>
      <c r="P137" s="443"/>
      <c r="Q137" s="436"/>
      <c r="R137" s="436"/>
      <c r="S137" s="436"/>
      <c r="T137" s="436"/>
      <c r="U137" s="436"/>
      <c r="V137" s="436"/>
      <c r="W137" s="436"/>
      <c r="X137" s="436"/>
      <c r="Y137" s="446"/>
      <c r="Z137" s="432"/>
      <c r="AA137" s="436"/>
      <c r="AB137" s="447"/>
      <c r="AC137" s="448"/>
      <c r="AD137" s="436"/>
      <c r="AE137" s="436"/>
      <c r="AF137" s="436"/>
      <c r="AG137" s="449"/>
      <c r="AH137" s="432"/>
      <c r="AI137" s="436"/>
      <c r="AJ137" s="436"/>
      <c r="AK137" s="436"/>
      <c r="AL137" s="436"/>
      <c r="AM137" s="109"/>
    </row>
    <row r="138" ht="22.5" customHeight="1">
      <c r="A138" s="439"/>
      <c r="B138" s="439"/>
      <c r="C138" s="439"/>
      <c r="D138" s="439"/>
      <c r="E138" s="419">
        <f t="shared" si="6"/>
        <v>0</v>
      </c>
      <c r="F138" s="441"/>
      <c r="G138" s="442"/>
      <c r="H138" s="442"/>
      <c r="I138" s="443"/>
      <c r="J138" s="443"/>
      <c r="K138" s="444"/>
      <c r="L138" s="442"/>
      <c r="M138" s="436"/>
      <c r="N138" s="445"/>
      <c r="O138" s="443"/>
      <c r="P138" s="443"/>
      <c r="Q138" s="436"/>
      <c r="R138" s="436"/>
      <c r="S138" s="436"/>
      <c r="T138" s="436"/>
      <c r="U138" s="436"/>
      <c r="V138" s="436"/>
      <c r="W138" s="436"/>
      <c r="X138" s="436"/>
      <c r="Y138" s="446"/>
      <c r="Z138" s="432"/>
      <c r="AA138" s="436"/>
      <c r="AB138" s="447"/>
      <c r="AC138" s="448"/>
      <c r="AD138" s="436"/>
      <c r="AE138" s="436"/>
      <c r="AF138" s="436"/>
      <c r="AG138" s="449"/>
      <c r="AH138" s="432"/>
      <c r="AI138" s="436"/>
      <c r="AJ138" s="436"/>
      <c r="AK138" s="436"/>
      <c r="AL138" s="436"/>
      <c r="AM138" s="109"/>
    </row>
    <row r="139" ht="22.5" customHeight="1">
      <c r="A139" s="439"/>
      <c r="B139" s="439"/>
      <c r="C139" s="439"/>
      <c r="D139" s="439"/>
      <c r="E139" s="419">
        <f t="shared" si="6"/>
        <v>0</v>
      </c>
      <c r="F139" s="441"/>
      <c r="G139" s="442"/>
      <c r="H139" s="442"/>
      <c r="I139" s="443"/>
      <c r="J139" s="443"/>
      <c r="K139" s="444"/>
      <c r="L139" s="442"/>
      <c r="M139" s="436"/>
      <c r="N139" s="445"/>
      <c r="O139" s="443"/>
      <c r="P139" s="443"/>
      <c r="Q139" s="436"/>
      <c r="R139" s="436"/>
      <c r="S139" s="436"/>
      <c r="T139" s="436"/>
      <c r="U139" s="436"/>
      <c r="V139" s="436"/>
      <c r="W139" s="436"/>
      <c r="X139" s="436"/>
      <c r="Y139" s="446"/>
      <c r="Z139" s="432"/>
      <c r="AA139" s="436"/>
      <c r="AB139" s="447"/>
      <c r="AC139" s="448"/>
      <c r="AD139" s="436"/>
      <c r="AE139" s="436"/>
      <c r="AF139" s="436"/>
      <c r="AG139" s="449"/>
      <c r="AH139" s="432"/>
      <c r="AI139" s="436"/>
      <c r="AJ139" s="436"/>
      <c r="AK139" s="436"/>
      <c r="AL139" s="436"/>
      <c r="AM139" s="109"/>
    </row>
    <row r="140" ht="22.5" customHeight="1">
      <c r="A140" s="439"/>
      <c r="B140" s="439"/>
      <c r="C140" s="439"/>
      <c r="D140" s="439"/>
      <c r="E140" s="419">
        <f t="shared" si="6"/>
        <v>0</v>
      </c>
      <c r="F140" s="441"/>
      <c r="G140" s="442"/>
      <c r="H140" s="442"/>
      <c r="I140" s="443"/>
      <c r="J140" s="443"/>
      <c r="K140" s="444"/>
      <c r="L140" s="442"/>
      <c r="M140" s="436"/>
      <c r="N140" s="445"/>
      <c r="O140" s="443"/>
      <c r="P140" s="443"/>
      <c r="Q140" s="436"/>
      <c r="R140" s="436"/>
      <c r="S140" s="436"/>
      <c r="T140" s="436"/>
      <c r="U140" s="436"/>
      <c r="V140" s="436"/>
      <c r="W140" s="436"/>
      <c r="X140" s="436"/>
      <c r="Y140" s="446"/>
      <c r="Z140" s="432"/>
      <c r="AA140" s="436"/>
      <c r="AB140" s="447"/>
      <c r="AC140" s="448"/>
      <c r="AD140" s="436"/>
      <c r="AE140" s="436"/>
      <c r="AF140" s="436"/>
      <c r="AG140" s="449"/>
      <c r="AH140" s="432"/>
      <c r="AI140" s="436"/>
      <c r="AJ140" s="436"/>
      <c r="AK140" s="436"/>
      <c r="AL140" s="436"/>
      <c r="AM140" s="109"/>
    </row>
    <row r="141" ht="22.5" customHeight="1">
      <c r="A141" s="439"/>
      <c r="B141" s="439"/>
      <c r="C141" s="439"/>
      <c r="D141" s="439"/>
      <c r="E141" s="419">
        <f t="shared" si="6"/>
        <v>0</v>
      </c>
      <c r="F141" s="441"/>
      <c r="G141" s="442"/>
      <c r="H141" s="442"/>
      <c r="I141" s="443"/>
      <c r="J141" s="443"/>
      <c r="K141" s="444"/>
      <c r="L141" s="442"/>
      <c r="M141" s="436"/>
      <c r="N141" s="445"/>
      <c r="O141" s="443"/>
      <c r="P141" s="443"/>
      <c r="Q141" s="436"/>
      <c r="R141" s="436"/>
      <c r="S141" s="436"/>
      <c r="T141" s="436"/>
      <c r="U141" s="436"/>
      <c r="V141" s="436"/>
      <c r="W141" s="436"/>
      <c r="X141" s="436"/>
      <c r="Y141" s="446"/>
      <c r="Z141" s="432"/>
      <c r="AA141" s="436"/>
      <c r="AB141" s="447"/>
      <c r="AC141" s="448"/>
      <c r="AD141" s="436"/>
      <c r="AE141" s="436"/>
      <c r="AF141" s="436"/>
      <c r="AG141" s="449"/>
      <c r="AH141" s="432"/>
      <c r="AI141" s="436"/>
      <c r="AJ141" s="436"/>
      <c r="AK141" s="436"/>
      <c r="AL141" s="436"/>
      <c r="AM141" s="109"/>
    </row>
    <row r="142" ht="22.5" customHeight="1">
      <c r="A142" s="439"/>
      <c r="B142" s="439"/>
      <c r="C142" s="439"/>
      <c r="D142" s="439"/>
      <c r="E142" s="419">
        <f t="shared" si="6"/>
        <v>0</v>
      </c>
      <c r="F142" s="441"/>
      <c r="G142" s="442"/>
      <c r="H142" s="442"/>
      <c r="I142" s="443"/>
      <c r="J142" s="443"/>
      <c r="K142" s="444"/>
      <c r="L142" s="442"/>
      <c r="M142" s="436"/>
      <c r="N142" s="445"/>
      <c r="O142" s="443"/>
      <c r="P142" s="443"/>
      <c r="Q142" s="436"/>
      <c r="R142" s="436"/>
      <c r="S142" s="436"/>
      <c r="T142" s="436"/>
      <c r="U142" s="436"/>
      <c r="V142" s="436"/>
      <c r="W142" s="436"/>
      <c r="X142" s="436"/>
      <c r="Y142" s="446"/>
      <c r="Z142" s="432"/>
      <c r="AA142" s="436"/>
      <c r="AB142" s="447"/>
      <c r="AC142" s="448"/>
      <c r="AD142" s="436"/>
      <c r="AE142" s="436"/>
      <c r="AF142" s="436"/>
      <c r="AG142" s="449"/>
      <c r="AH142" s="432"/>
      <c r="AI142" s="436"/>
      <c r="AJ142" s="436"/>
      <c r="AK142" s="436"/>
      <c r="AL142" s="436"/>
      <c r="AM142" s="109"/>
    </row>
    <row r="143" ht="22.5" customHeight="1">
      <c r="A143" s="439"/>
      <c r="B143" s="439"/>
      <c r="C143" s="439"/>
      <c r="D143" s="439"/>
      <c r="E143" s="419">
        <f t="shared" si="6"/>
        <v>0</v>
      </c>
      <c r="F143" s="441"/>
      <c r="G143" s="442"/>
      <c r="H143" s="442"/>
      <c r="I143" s="443"/>
      <c r="J143" s="443"/>
      <c r="K143" s="444"/>
      <c r="L143" s="442"/>
      <c r="M143" s="436"/>
      <c r="N143" s="445"/>
      <c r="O143" s="443"/>
      <c r="P143" s="443"/>
      <c r="Q143" s="436"/>
      <c r="R143" s="436"/>
      <c r="S143" s="436"/>
      <c r="T143" s="436"/>
      <c r="U143" s="436"/>
      <c r="V143" s="436"/>
      <c r="W143" s="436"/>
      <c r="X143" s="436"/>
      <c r="Y143" s="446"/>
      <c r="Z143" s="432"/>
      <c r="AA143" s="436"/>
      <c r="AB143" s="447"/>
      <c r="AC143" s="448"/>
      <c r="AD143" s="436"/>
      <c r="AE143" s="436"/>
      <c r="AF143" s="436"/>
      <c r="AG143" s="449"/>
      <c r="AH143" s="432"/>
      <c r="AI143" s="436"/>
      <c r="AJ143" s="436"/>
      <c r="AK143" s="436"/>
      <c r="AL143" s="436"/>
      <c r="AM143" s="109"/>
    </row>
    <row r="144" ht="22.5" customHeight="1">
      <c r="A144" s="439"/>
      <c r="B144" s="439"/>
      <c r="C144" s="439"/>
      <c r="D144" s="439"/>
      <c r="E144" s="419">
        <f t="shared" si="6"/>
        <v>0</v>
      </c>
      <c r="F144" s="441"/>
      <c r="G144" s="442"/>
      <c r="H144" s="442"/>
      <c r="I144" s="443"/>
      <c r="J144" s="443"/>
      <c r="K144" s="444"/>
      <c r="L144" s="442"/>
      <c r="M144" s="436"/>
      <c r="N144" s="445"/>
      <c r="O144" s="443"/>
      <c r="P144" s="443"/>
      <c r="Q144" s="436"/>
      <c r="R144" s="436"/>
      <c r="S144" s="436"/>
      <c r="T144" s="436"/>
      <c r="U144" s="436"/>
      <c r="V144" s="436"/>
      <c r="W144" s="436"/>
      <c r="X144" s="436"/>
      <c r="Y144" s="446"/>
      <c r="Z144" s="432"/>
      <c r="AA144" s="436"/>
      <c r="AB144" s="447"/>
      <c r="AC144" s="448"/>
      <c r="AD144" s="436"/>
      <c r="AE144" s="436"/>
      <c r="AF144" s="436"/>
      <c r="AG144" s="449"/>
      <c r="AH144" s="432"/>
      <c r="AI144" s="436"/>
      <c r="AJ144" s="436"/>
      <c r="AK144" s="436"/>
      <c r="AL144" s="436"/>
      <c r="AM144" s="109"/>
    </row>
    <row r="145" ht="22.5" customHeight="1">
      <c r="A145" s="439"/>
      <c r="B145" s="439"/>
      <c r="C145" s="439"/>
      <c r="D145" s="439"/>
      <c r="E145" s="419">
        <f t="shared" si="6"/>
        <v>0</v>
      </c>
      <c r="F145" s="441"/>
      <c r="G145" s="442"/>
      <c r="H145" s="442"/>
      <c r="I145" s="443"/>
      <c r="J145" s="443"/>
      <c r="K145" s="444"/>
      <c r="L145" s="442"/>
      <c r="M145" s="436"/>
      <c r="N145" s="445"/>
      <c r="O145" s="443"/>
      <c r="P145" s="443"/>
      <c r="Q145" s="436"/>
      <c r="R145" s="436"/>
      <c r="S145" s="436"/>
      <c r="T145" s="436"/>
      <c r="U145" s="436"/>
      <c r="V145" s="436"/>
      <c r="W145" s="436"/>
      <c r="X145" s="436"/>
      <c r="Y145" s="446"/>
      <c r="Z145" s="432"/>
      <c r="AA145" s="436"/>
      <c r="AB145" s="447"/>
      <c r="AC145" s="448"/>
      <c r="AD145" s="436"/>
      <c r="AE145" s="436"/>
      <c r="AF145" s="436"/>
      <c r="AG145" s="449"/>
      <c r="AH145" s="432"/>
      <c r="AI145" s="436"/>
      <c r="AJ145" s="436"/>
      <c r="AK145" s="436"/>
      <c r="AL145" s="436"/>
      <c r="AM145" s="109"/>
    </row>
    <row r="146" ht="22.5" customHeight="1">
      <c r="A146" s="439"/>
      <c r="B146" s="439"/>
      <c r="C146" s="439"/>
      <c r="D146" s="439"/>
      <c r="E146" s="419">
        <f t="shared" si="6"/>
        <v>0</v>
      </c>
      <c r="F146" s="441"/>
      <c r="G146" s="442"/>
      <c r="H146" s="442"/>
      <c r="I146" s="443"/>
      <c r="J146" s="443"/>
      <c r="K146" s="444"/>
      <c r="L146" s="442"/>
      <c r="M146" s="436"/>
      <c r="N146" s="445"/>
      <c r="O146" s="443"/>
      <c r="P146" s="443"/>
      <c r="Q146" s="436"/>
      <c r="R146" s="436"/>
      <c r="S146" s="436"/>
      <c r="T146" s="436"/>
      <c r="U146" s="436"/>
      <c r="V146" s="436"/>
      <c r="W146" s="436"/>
      <c r="X146" s="436"/>
      <c r="Y146" s="446"/>
      <c r="Z146" s="432"/>
      <c r="AA146" s="436"/>
      <c r="AB146" s="447"/>
      <c r="AC146" s="448"/>
      <c r="AD146" s="436"/>
      <c r="AE146" s="436"/>
      <c r="AF146" s="436"/>
      <c r="AG146" s="449"/>
      <c r="AH146" s="432"/>
      <c r="AI146" s="436"/>
      <c r="AJ146" s="436"/>
      <c r="AK146" s="436"/>
      <c r="AL146" s="436"/>
      <c r="AM146" s="109"/>
    </row>
    <row r="147" ht="22.5" customHeight="1">
      <c r="A147" s="439"/>
      <c r="B147" s="439"/>
      <c r="C147" s="439"/>
      <c r="D147" s="439"/>
      <c r="E147" s="419">
        <f t="shared" si="6"/>
        <v>0</v>
      </c>
      <c r="F147" s="441"/>
      <c r="G147" s="442"/>
      <c r="H147" s="442"/>
      <c r="I147" s="443"/>
      <c r="J147" s="443"/>
      <c r="K147" s="444"/>
      <c r="L147" s="442"/>
      <c r="M147" s="436"/>
      <c r="N147" s="445"/>
      <c r="O147" s="443"/>
      <c r="P147" s="443"/>
      <c r="Q147" s="436"/>
      <c r="R147" s="436"/>
      <c r="S147" s="436"/>
      <c r="T147" s="436"/>
      <c r="U147" s="436"/>
      <c r="V147" s="436"/>
      <c r="W147" s="436"/>
      <c r="X147" s="436"/>
      <c r="Y147" s="446"/>
      <c r="Z147" s="432"/>
      <c r="AA147" s="436"/>
      <c r="AB147" s="447"/>
      <c r="AC147" s="448"/>
      <c r="AD147" s="436"/>
      <c r="AE147" s="436"/>
      <c r="AF147" s="436"/>
      <c r="AG147" s="449"/>
      <c r="AH147" s="432"/>
      <c r="AI147" s="436"/>
      <c r="AJ147" s="436"/>
      <c r="AK147" s="436"/>
      <c r="AL147" s="436"/>
      <c r="AM147" s="109"/>
    </row>
    <row r="148" ht="22.5" customHeight="1">
      <c r="A148" s="439"/>
      <c r="B148" s="439"/>
      <c r="C148" s="439"/>
      <c r="D148" s="439"/>
      <c r="E148" s="419">
        <f t="shared" si="6"/>
        <v>0</v>
      </c>
      <c r="F148" s="441"/>
      <c r="G148" s="442"/>
      <c r="H148" s="442"/>
      <c r="I148" s="443"/>
      <c r="J148" s="443"/>
      <c r="K148" s="444"/>
      <c r="L148" s="442"/>
      <c r="M148" s="436"/>
      <c r="N148" s="445"/>
      <c r="O148" s="443"/>
      <c r="P148" s="443"/>
      <c r="Q148" s="436"/>
      <c r="R148" s="436"/>
      <c r="S148" s="436"/>
      <c r="T148" s="436"/>
      <c r="U148" s="436"/>
      <c r="V148" s="436"/>
      <c r="W148" s="436"/>
      <c r="X148" s="436"/>
      <c r="Y148" s="446"/>
      <c r="Z148" s="432"/>
      <c r="AA148" s="436"/>
      <c r="AB148" s="447"/>
      <c r="AC148" s="448"/>
      <c r="AD148" s="436"/>
      <c r="AE148" s="436"/>
      <c r="AF148" s="436"/>
      <c r="AG148" s="449"/>
      <c r="AH148" s="432"/>
      <c r="AI148" s="436"/>
      <c r="AJ148" s="436"/>
      <c r="AK148" s="436"/>
      <c r="AL148" s="436"/>
      <c r="AM148" s="109"/>
    </row>
    <row r="149" ht="22.5" customHeight="1">
      <c r="A149" s="439"/>
      <c r="B149" s="439"/>
      <c r="C149" s="439"/>
      <c r="D149" s="439"/>
      <c r="E149" s="419">
        <f t="shared" si="6"/>
        <v>0</v>
      </c>
      <c r="F149" s="441"/>
      <c r="G149" s="442"/>
      <c r="H149" s="442"/>
      <c r="I149" s="443"/>
      <c r="J149" s="443"/>
      <c r="K149" s="444"/>
      <c r="L149" s="442"/>
      <c r="M149" s="436"/>
      <c r="N149" s="445"/>
      <c r="O149" s="443"/>
      <c r="P149" s="443"/>
      <c r="Q149" s="436"/>
      <c r="R149" s="436"/>
      <c r="S149" s="436"/>
      <c r="T149" s="436"/>
      <c r="U149" s="436"/>
      <c r="V149" s="436"/>
      <c r="W149" s="436"/>
      <c r="X149" s="436"/>
      <c r="Y149" s="446"/>
      <c r="Z149" s="432"/>
      <c r="AA149" s="436"/>
      <c r="AB149" s="447"/>
      <c r="AC149" s="448"/>
      <c r="AD149" s="436"/>
      <c r="AE149" s="436"/>
      <c r="AF149" s="436"/>
      <c r="AG149" s="449"/>
      <c r="AH149" s="432"/>
      <c r="AI149" s="436"/>
      <c r="AJ149" s="436"/>
      <c r="AK149" s="436"/>
      <c r="AL149" s="436"/>
      <c r="AM149" s="109"/>
    </row>
    <row r="150" ht="22.5" customHeight="1">
      <c r="A150" s="439"/>
      <c r="B150" s="439"/>
      <c r="C150" s="439"/>
      <c r="D150" s="439"/>
      <c r="E150" s="419">
        <f t="shared" si="6"/>
        <v>0</v>
      </c>
      <c r="F150" s="441"/>
      <c r="G150" s="442"/>
      <c r="H150" s="442"/>
      <c r="I150" s="443"/>
      <c r="J150" s="443"/>
      <c r="K150" s="444"/>
      <c r="L150" s="442"/>
      <c r="M150" s="436"/>
      <c r="N150" s="445"/>
      <c r="O150" s="443"/>
      <c r="P150" s="443"/>
      <c r="Q150" s="436"/>
      <c r="R150" s="436"/>
      <c r="S150" s="436"/>
      <c r="T150" s="436"/>
      <c r="U150" s="436"/>
      <c r="V150" s="436"/>
      <c r="W150" s="436"/>
      <c r="X150" s="436"/>
      <c r="Y150" s="446"/>
      <c r="Z150" s="432"/>
      <c r="AA150" s="436"/>
      <c r="AB150" s="447"/>
      <c r="AC150" s="448"/>
      <c r="AD150" s="436"/>
      <c r="AE150" s="436"/>
      <c r="AF150" s="436"/>
      <c r="AG150" s="449"/>
      <c r="AH150" s="432"/>
      <c r="AI150" s="436"/>
      <c r="AJ150" s="436"/>
      <c r="AK150" s="436"/>
      <c r="AL150" s="436"/>
      <c r="AM150" s="109"/>
    </row>
    <row r="151" ht="22.5" customHeight="1">
      <c r="A151" s="439"/>
      <c r="B151" s="439"/>
      <c r="C151" s="439"/>
      <c r="D151" s="439"/>
      <c r="E151" s="419">
        <f t="shared" si="6"/>
        <v>0</v>
      </c>
      <c r="F151" s="441"/>
      <c r="G151" s="442"/>
      <c r="H151" s="442"/>
      <c r="I151" s="443"/>
      <c r="J151" s="443"/>
      <c r="K151" s="444"/>
      <c r="L151" s="442"/>
      <c r="M151" s="436"/>
      <c r="N151" s="445"/>
      <c r="O151" s="443"/>
      <c r="P151" s="443"/>
      <c r="Q151" s="436"/>
      <c r="R151" s="436"/>
      <c r="S151" s="436"/>
      <c r="T151" s="436"/>
      <c r="U151" s="436"/>
      <c r="V151" s="436"/>
      <c r="W151" s="436"/>
      <c r="X151" s="436"/>
      <c r="Y151" s="446"/>
      <c r="Z151" s="432"/>
      <c r="AA151" s="436"/>
      <c r="AB151" s="447"/>
      <c r="AC151" s="448"/>
      <c r="AD151" s="436"/>
      <c r="AE151" s="436"/>
      <c r="AF151" s="436"/>
      <c r="AG151" s="449"/>
      <c r="AH151" s="432"/>
      <c r="AI151" s="436"/>
      <c r="AJ151" s="436"/>
      <c r="AK151" s="436"/>
      <c r="AL151" s="436"/>
      <c r="AM151" s="109"/>
    </row>
    <row r="152" ht="22.5" customHeight="1">
      <c r="A152" s="439"/>
      <c r="B152" s="439"/>
      <c r="C152" s="439"/>
      <c r="D152" s="439"/>
      <c r="E152" s="419">
        <f t="shared" si="6"/>
        <v>0</v>
      </c>
      <c r="F152" s="441"/>
      <c r="G152" s="442"/>
      <c r="H152" s="442"/>
      <c r="I152" s="443"/>
      <c r="J152" s="443"/>
      <c r="K152" s="444"/>
      <c r="L152" s="442"/>
      <c r="M152" s="436"/>
      <c r="N152" s="445"/>
      <c r="O152" s="443"/>
      <c r="P152" s="443"/>
      <c r="Q152" s="436"/>
      <c r="R152" s="436"/>
      <c r="S152" s="436"/>
      <c r="T152" s="436"/>
      <c r="U152" s="436"/>
      <c r="V152" s="436"/>
      <c r="W152" s="436"/>
      <c r="X152" s="436"/>
      <c r="Y152" s="446"/>
      <c r="Z152" s="432"/>
      <c r="AA152" s="436"/>
      <c r="AB152" s="447"/>
      <c r="AC152" s="448"/>
      <c r="AD152" s="436"/>
      <c r="AE152" s="436"/>
      <c r="AF152" s="436"/>
      <c r="AG152" s="449"/>
      <c r="AH152" s="432"/>
      <c r="AI152" s="436"/>
      <c r="AJ152" s="436"/>
      <c r="AK152" s="436"/>
      <c r="AL152" s="436"/>
      <c r="AM152" s="109"/>
    </row>
    <row r="153" ht="22.5" customHeight="1">
      <c r="A153" s="439"/>
      <c r="B153" s="439"/>
      <c r="C153" s="439"/>
      <c r="D153" s="439"/>
      <c r="E153" s="419">
        <f t="shared" si="6"/>
        <v>0</v>
      </c>
      <c r="F153" s="441"/>
      <c r="G153" s="442"/>
      <c r="H153" s="442"/>
      <c r="I153" s="443"/>
      <c r="J153" s="443"/>
      <c r="K153" s="444"/>
      <c r="L153" s="442"/>
      <c r="M153" s="436"/>
      <c r="N153" s="445"/>
      <c r="O153" s="443"/>
      <c r="P153" s="443"/>
      <c r="Q153" s="436"/>
      <c r="R153" s="436"/>
      <c r="S153" s="436"/>
      <c r="T153" s="436"/>
      <c r="U153" s="436"/>
      <c r="V153" s="436"/>
      <c r="W153" s="436"/>
      <c r="X153" s="436"/>
      <c r="Y153" s="446"/>
      <c r="Z153" s="432"/>
      <c r="AA153" s="436"/>
      <c r="AB153" s="447"/>
      <c r="AC153" s="448"/>
      <c r="AD153" s="436"/>
      <c r="AE153" s="436"/>
      <c r="AF153" s="436"/>
      <c r="AG153" s="449"/>
      <c r="AH153" s="432"/>
      <c r="AI153" s="436"/>
      <c r="AJ153" s="436"/>
      <c r="AK153" s="436"/>
      <c r="AL153" s="436"/>
      <c r="AM153" s="109"/>
    </row>
    <row r="154" ht="22.5" customHeight="1">
      <c r="A154" s="439"/>
      <c r="B154" s="439"/>
      <c r="C154" s="439"/>
      <c r="D154" s="439"/>
      <c r="E154" s="419">
        <f t="shared" si="6"/>
        <v>0</v>
      </c>
      <c r="F154" s="441"/>
      <c r="G154" s="442"/>
      <c r="H154" s="442"/>
      <c r="I154" s="443"/>
      <c r="J154" s="443"/>
      <c r="K154" s="444"/>
      <c r="L154" s="442"/>
      <c r="M154" s="436"/>
      <c r="N154" s="445"/>
      <c r="O154" s="443"/>
      <c r="P154" s="443"/>
      <c r="Q154" s="436"/>
      <c r="R154" s="436"/>
      <c r="S154" s="436"/>
      <c r="T154" s="436"/>
      <c r="U154" s="436"/>
      <c r="V154" s="436"/>
      <c r="W154" s="436"/>
      <c r="X154" s="436"/>
      <c r="Y154" s="446"/>
      <c r="Z154" s="432"/>
      <c r="AA154" s="436"/>
      <c r="AB154" s="447"/>
      <c r="AC154" s="448"/>
      <c r="AD154" s="436"/>
      <c r="AE154" s="436"/>
      <c r="AF154" s="436"/>
      <c r="AG154" s="449"/>
      <c r="AH154" s="432"/>
      <c r="AI154" s="436"/>
      <c r="AJ154" s="436"/>
      <c r="AK154" s="436"/>
      <c r="AL154" s="436"/>
      <c r="AM154" s="109"/>
    </row>
    <row r="155" ht="22.5" customHeight="1">
      <c r="A155" s="439"/>
      <c r="B155" s="439"/>
      <c r="C155" s="439"/>
      <c r="D155" s="439"/>
      <c r="E155" s="419">
        <f t="shared" si="6"/>
        <v>0</v>
      </c>
      <c r="F155" s="441"/>
      <c r="G155" s="442"/>
      <c r="H155" s="442"/>
      <c r="I155" s="443"/>
      <c r="J155" s="443"/>
      <c r="K155" s="444"/>
      <c r="L155" s="442"/>
      <c r="M155" s="436"/>
      <c r="N155" s="445"/>
      <c r="O155" s="443"/>
      <c r="P155" s="443"/>
      <c r="Q155" s="436"/>
      <c r="R155" s="436"/>
      <c r="S155" s="436"/>
      <c r="T155" s="436"/>
      <c r="U155" s="436"/>
      <c r="V155" s="436"/>
      <c r="W155" s="436"/>
      <c r="X155" s="436"/>
      <c r="Y155" s="446"/>
      <c r="Z155" s="432"/>
      <c r="AA155" s="436"/>
      <c r="AB155" s="447"/>
      <c r="AC155" s="448"/>
      <c r="AD155" s="436"/>
      <c r="AE155" s="436"/>
      <c r="AF155" s="436"/>
      <c r="AG155" s="449"/>
      <c r="AH155" s="432"/>
      <c r="AI155" s="436"/>
      <c r="AJ155" s="436"/>
      <c r="AK155" s="436"/>
      <c r="AL155" s="436"/>
      <c r="AM155" s="109"/>
    </row>
    <row r="156" ht="22.5" customHeight="1">
      <c r="A156" s="439"/>
      <c r="B156" s="439"/>
      <c r="C156" s="439"/>
      <c r="D156" s="439"/>
      <c r="E156" s="419">
        <f t="shared" si="6"/>
        <v>0</v>
      </c>
      <c r="F156" s="441"/>
      <c r="G156" s="442"/>
      <c r="H156" s="442"/>
      <c r="I156" s="443"/>
      <c r="J156" s="443"/>
      <c r="K156" s="444"/>
      <c r="L156" s="442"/>
      <c r="M156" s="436"/>
      <c r="N156" s="445"/>
      <c r="O156" s="443"/>
      <c r="P156" s="443"/>
      <c r="Q156" s="436"/>
      <c r="R156" s="436"/>
      <c r="S156" s="436"/>
      <c r="T156" s="436"/>
      <c r="U156" s="436"/>
      <c r="V156" s="436"/>
      <c r="W156" s="436"/>
      <c r="X156" s="436"/>
      <c r="Y156" s="446"/>
      <c r="Z156" s="432"/>
      <c r="AA156" s="436"/>
      <c r="AB156" s="447"/>
      <c r="AC156" s="448"/>
      <c r="AD156" s="436"/>
      <c r="AE156" s="436"/>
      <c r="AF156" s="436"/>
      <c r="AG156" s="449"/>
      <c r="AH156" s="432"/>
      <c r="AI156" s="436"/>
      <c r="AJ156" s="436"/>
      <c r="AK156" s="436"/>
      <c r="AL156" s="436"/>
      <c r="AM156" s="109"/>
    </row>
    <row r="157" ht="22.5" customHeight="1">
      <c r="A157" s="439"/>
      <c r="B157" s="439"/>
      <c r="C157" s="439"/>
      <c r="D157" s="439"/>
      <c r="E157" s="419">
        <f t="shared" si="6"/>
        <v>0</v>
      </c>
      <c r="F157" s="441"/>
      <c r="G157" s="442"/>
      <c r="H157" s="442"/>
      <c r="I157" s="443"/>
      <c r="J157" s="443"/>
      <c r="K157" s="444"/>
      <c r="L157" s="442"/>
      <c r="M157" s="436"/>
      <c r="N157" s="445"/>
      <c r="O157" s="443"/>
      <c r="P157" s="443"/>
      <c r="Q157" s="436"/>
      <c r="R157" s="436"/>
      <c r="S157" s="436"/>
      <c r="T157" s="436"/>
      <c r="U157" s="436"/>
      <c r="V157" s="436"/>
      <c r="W157" s="436"/>
      <c r="X157" s="436"/>
      <c r="Y157" s="446"/>
      <c r="Z157" s="432"/>
      <c r="AA157" s="436"/>
      <c r="AB157" s="447"/>
      <c r="AC157" s="448"/>
      <c r="AD157" s="436"/>
      <c r="AE157" s="436"/>
      <c r="AF157" s="436"/>
      <c r="AG157" s="449"/>
      <c r="AH157" s="432"/>
      <c r="AI157" s="436"/>
      <c r="AJ157" s="436"/>
      <c r="AK157" s="436"/>
      <c r="AL157" s="436"/>
      <c r="AM157" s="109"/>
    </row>
    <row r="158" ht="22.5" customHeight="1">
      <c r="A158" s="439"/>
      <c r="B158" s="439"/>
      <c r="C158" s="439"/>
      <c r="D158" s="439"/>
      <c r="E158" s="419">
        <f t="shared" si="6"/>
        <v>0</v>
      </c>
      <c r="F158" s="441"/>
      <c r="G158" s="442"/>
      <c r="H158" s="442"/>
      <c r="I158" s="443"/>
      <c r="J158" s="443"/>
      <c r="K158" s="444"/>
      <c r="L158" s="442"/>
      <c r="M158" s="436"/>
      <c r="N158" s="445"/>
      <c r="O158" s="443"/>
      <c r="P158" s="443"/>
      <c r="Q158" s="436"/>
      <c r="R158" s="436"/>
      <c r="S158" s="436"/>
      <c r="T158" s="436"/>
      <c r="U158" s="436"/>
      <c r="V158" s="436"/>
      <c r="W158" s="436"/>
      <c r="X158" s="436"/>
      <c r="Y158" s="446"/>
      <c r="Z158" s="432"/>
      <c r="AA158" s="436"/>
      <c r="AB158" s="447"/>
      <c r="AC158" s="448"/>
      <c r="AD158" s="436"/>
      <c r="AE158" s="436"/>
      <c r="AF158" s="436"/>
      <c r="AG158" s="449"/>
      <c r="AH158" s="432"/>
      <c r="AI158" s="436"/>
      <c r="AJ158" s="436"/>
      <c r="AK158" s="436"/>
      <c r="AL158" s="436"/>
      <c r="AM158" s="109"/>
    </row>
    <row r="159" ht="22.5" customHeight="1">
      <c r="A159" s="439"/>
      <c r="B159" s="439"/>
      <c r="C159" s="439"/>
      <c r="D159" s="439"/>
      <c r="E159" s="419">
        <f t="shared" si="6"/>
        <v>0</v>
      </c>
      <c r="F159" s="441"/>
      <c r="G159" s="442"/>
      <c r="H159" s="442"/>
      <c r="I159" s="443"/>
      <c r="J159" s="443"/>
      <c r="K159" s="444"/>
      <c r="L159" s="442"/>
      <c r="M159" s="436"/>
      <c r="N159" s="445"/>
      <c r="O159" s="443"/>
      <c r="P159" s="443"/>
      <c r="Q159" s="436"/>
      <c r="R159" s="436"/>
      <c r="S159" s="436"/>
      <c r="T159" s="436"/>
      <c r="U159" s="436"/>
      <c r="V159" s="436"/>
      <c r="W159" s="436"/>
      <c r="X159" s="436"/>
      <c r="Y159" s="446"/>
      <c r="Z159" s="432"/>
      <c r="AA159" s="436"/>
      <c r="AB159" s="447"/>
      <c r="AC159" s="448"/>
      <c r="AD159" s="436"/>
      <c r="AE159" s="436"/>
      <c r="AF159" s="436"/>
      <c r="AG159" s="449"/>
      <c r="AH159" s="432"/>
      <c r="AI159" s="436"/>
      <c r="AJ159" s="436"/>
      <c r="AK159" s="436"/>
      <c r="AL159" s="436"/>
      <c r="AM159" s="109"/>
    </row>
    <row r="160" ht="22.5" customHeight="1">
      <c r="A160" s="439"/>
      <c r="B160" s="439"/>
      <c r="C160" s="439"/>
      <c r="D160" s="439"/>
      <c r="E160" s="419">
        <f t="shared" si="6"/>
        <v>0</v>
      </c>
      <c r="F160" s="441"/>
      <c r="G160" s="442"/>
      <c r="H160" s="442"/>
      <c r="I160" s="443"/>
      <c r="J160" s="443"/>
      <c r="K160" s="444"/>
      <c r="L160" s="442"/>
      <c r="M160" s="436"/>
      <c r="N160" s="445"/>
      <c r="O160" s="443"/>
      <c r="P160" s="443"/>
      <c r="Q160" s="436"/>
      <c r="R160" s="436"/>
      <c r="S160" s="436"/>
      <c r="T160" s="436"/>
      <c r="U160" s="436"/>
      <c r="V160" s="436"/>
      <c r="W160" s="436"/>
      <c r="X160" s="436"/>
      <c r="Y160" s="446"/>
      <c r="Z160" s="432"/>
      <c r="AA160" s="436"/>
      <c r="AB160" s="447"/>
      <c r="AC160" s="448"/>
      <c r="AD160" s="436"/>
      <c r="AE160" s="436"/>
      <c r="AF160" s="436"/>
      <c r="AG160" s="449"/>
      <c r="AH160" s="432"/>
      <c r="AI160" s="436"/>
      <c r="AJ160" s="436"/>
      <c r="AK160" s="436"/>
      <c r="AL160" s="436"/>
      <c r="AM160" s="109"/>
    </row>
    <row r="161" ht="22.5" customHeight="1">
      <c r="A161" s="439"/>
      <c r="B161" s="439"/>
      <c r="C161" s="439"/>
      <c r="D161" s="439"/>
      <c r="E161" s="419">
        <f t="shared" si="6"/>
        <v>0</v>
      </c>
      <c r="F161" s="441"/>
      <c r="G161" s="442"/>
      <c r="H161" s="442"/>
      <c r="I161" s="443"/>
      <c r="J161" s="443"/>
      <c r="K161" s="444"/>
      <c r="L161" s="442"/>
      <c r="M161" s="436"/>
      <c r="N161" s="445"/>
      <c r="O161" s="443"/>
      <c r="P161" s="443"/>
      <c r="Q161" s="436"/>
      <c r="R161" s="436"/>
      <c r="S161" s="436"/>
      <c r="T161" s="436"/>
      <c r="U161" s="436"/>
      <c r="V161" s="436"/>
      <c r="W161" s="436"/>
      <c r="X161" s="436"/>
      <c r="Y161" s="446"/>
      <c r="Z161" s="432"/>
      <c r="AA161" s="436"/>
      <c r="AB161" s="447"/>
      <c r="AC161" s="448"/>
      <c r="AD161" s="436"/>
      <c r="AE161" s="436"/>
      <c r="AF161" s="436"/>
      <c r="AG161" s="449"/>
      <c r="AH161" s="432"/>
      <c r="AI161" s="436"/>
      <c r="AJ161" s="436"/>
      <c r="AK161" s="436"/>
      <c r="AL161" s="436"/>
      <c r="AM161" s="109"/>
    </row>
    <row r="162" ht="22.5" customHeight="1">
      <c r="A162" s="439"/>
      <c r="B162" s="439"/>
      <c r="C162" s="439"/>
      <c r="D162" s="439"/>
      <c r="E162" s="419">
        <f t="shared" si="6"/>
        <v>0</v>
      </c>
      <c r="F162" s="441"/>
      <c r="G162" s="442"/>
      <c r="H162" s="442"/>
      <c r="I162" s="443"/>
      <c r="J162" s="443"/>
      <c r="K162" s="444"/>
      <c r="L162" s="442"/>
      <c r="M162" s="436"/>
      <c r="N162" s="445"/>
      <c r="O162" s="443"/>
      <c r="P162" s="443"/>
      <c r="Q162" s="436"/>
      <c r="R162" s="436"/>
      <c r="S162" s="436"/>
      <c r="T162" s="436"/>
      <c r="U162" s="436"/>
      <c r="V162" s="436"/>
      <c r="W162" s="436"/>
      <c r="X162" s="436"/>
      <c r="Y162" s="446"/>
      <c r="Z162" s="432"/>
      <c r="AA162" s="436"/>
      <c r="AB162" s="447"/>
      <c r="AC162" s="448"/>
      <c r="AD162" s="436"/>
      <c r="AE162" s="436"/>
      <c r="AF162" s="436"/>
      <c r="AG162" s="449"/>
      <c r="AH162" s="432"/>
      <c r="AI162" s="436"/>
      <c r="AJ162" s="436"/>
      <c r="AK162" s="436"/>
      <c r="AL162" s="436"/>
      <c r="AM162" s="109"/>
    </row>
    <row r="163" ht="22.5" customHeight="1">
      <c r="A163" s="439"/>
      <c r="B163" s="439"/>
      <c r="C163" s="439"/>
      <c r="D163" s="439"/>
      <c r="E163" s="419">
        <f t="shared" si="6"/>
        <v>0</v>
      </c>
      <c r="F163" s="441"/>
      <c r="G163" s="442"/>
      <c r="H163" s="442"/>
      <c r="I163" s="443"/>
      <c r="J163" s="443"/>
      <c r="K163" s="444"/>
      <c r="L163" s="442"/>
      <c r="M163" s="436"/>
      <c r="N163" s="445"/>
      <c r="O163" s="443"/>
      <c r="P163" s="443"/>
      <c r="Q163" s="436"/>
      <c r="R163" s="436"/>
      <c r="S163" s="436"/>
      <c r="T163" s="436"/>
      <c r="U163" s="436"/>
      <c r="V163" s="436"/>
      <c r="W163" s="436"/>
      <c r="X163" s="436"/>
      <c r="Y163" s="446"/>
      <c r="Z163" s="432"/>
      <c r="AA163" s="436"/>
      <c r="AB163" s="447"/>
      <c r="AC163" s="448"/>
      <c r="AD163" s="436"/>
      <c r="AE163" s="436"/>
      <c r="AF163" s="436"/>
      <c r="AG163" s="449"/>
      <c r="AH163" s="432"/>
      <c r="AI163" s="436"/>
      <c r="AJ163" s="436"/>
      <c r="AK163" s="436"/>
      <c r="AL163" s="436"/>
      <c r="AM163" s="109"/>
    </row>
    <row r="164" ht="22.5" customHeight="1">
      <c r="A164" s="439"/>
      <c r="B164" s="439"/>
      <c r="C164" s="439"/>
      <c r="D164" s="439"/>
      <c r="E164" s="419">
        <f t="shared" si="6"/>
        <v>0</v>
      </c>
      <c r="F164" s="441"/>
      <c r="G164" s="442"/>
      <c r="H164" s="442"/>
      <c r="I164" s="443"/>
      <c r="J164" s="443"/>
      <c r="K164" s="444"/>
      <c r="L164" s="442"/>
      <c r="M164" s="436"/>
      <c r="N164" s="445"/>
      <c r="O164" s="443"/>
      <c r="P164" s="443"/>
      <c r="Q164" s="436"/>
      <c r="R164" s="436"/>
      <c r="S164" s="436"/>
      <c r="T164" s="436"/>
      <c r="U164" s="436"/>
      <c r="V164" s="436"/>
      <c r="W164" s="436"/>
      <c r="X164" s="436"/>
      <c r="Y164" s="446"/>
      <c r="Z164" s="432"/>
      <c r="AA164" s="436"/>
      <c r="AB164" s="447"/>
      <c r="AC164" s="448"/>
      <c r="AD164" s="436"/>
      <c r="AE164" s="436"/>
      <c r="AF164" s="436"/>
      <c r="AG164" s="449"/>
      <c r="AH164" s="432"/>
      <c r="AI164" s="436"/>
      <c r="AJ164" s="436"/>
      <c r="AK164" s="436"/>
      <c r="AL164" s="436"/>
      <c r="AM164" s="109"/>
    </row>
    <row r="165" ht="22.5" customHeight="1">
      <c r="A165" s="439"/>
      <c r="B165" s="439"/>
      <c r="C165" s="439"/>
      <c r="D165" s="439"/>
      <c r="E165" s="419">
        <f t="shared" si="6"/>
        <v>0</v>
      </c>
      <c r="F165" s="441"/>
      <c r="G165" s="442"/>
      <c r="H165" s="442"/>
      <c r="I165" s="443"/>
      <c r="J165" s="443"/>
      <c r="K165" s="444"/>
      <c r="L165" s="442"/>
      <c r="M165" s="436"/>
      <c r="N165" s="445"/>
      <c r="O165" s="443"/>
      <c r="P165" s="443"/>
      <c r="Q165" s="436"/>
      <c r="R165" s="436"/>
      <c r="S165" s="436"/>
      <c r="T165" s="436"/>
      <c r="U165" s="436"/>
      <c r="V165" s="436"/>
      <c r="W165" s="436"/>
      <c r="X165" s="436"/>
      <c r="Y165" s="446"/>
      <c r="Z165" s="432"/>
      <c r="AA165" s="436"/>
      <c r="AB165" s="447"/>
      <c r="AC165" s="448"/>
      <c r="AD165" s="436"/>
      <c r="AE165" s="436"/>
      <c r="AF165" s="436"/>
      <c r="AG165" s="449"/>
      <c r="AH165" s="432"/>
      <c r="AI165" s="436"/>
      <c r="AJ165" s="436"/>
      <c r="AK165" s="436"/>
      <c r="AL165" s="436"/>
      <c r="AM165" s="109"/>
    </row>
    <row r="166" ht="22.5" customHeight="1">
      <c r="A166" s="439"/>
      <c r="B166" s="439"/>
      <c r="C166" s="439"/>
      <c r="D166" s="439"/>
      <c r="E166" s="419">
        <f t="shared" si="6"/>
        <v>0</v>
      </c>
      <c r="F166" s="441"/>
      <c r="G166" s="442"/>
      <c r="H166" s="442"/>
      <c r="I166" s="443"/>
      <c r="J166" s="443"/>
      <c r="K166" s="444"/>
      <c r="L166" s="442"/>
      <c r="M166" s="436"/>
      <c r="N166" s="445"/>
      <c r="O166" s="443"/>
      <c r="P166" s="443"/>
      <c r="Q166" s="436"/>
      <c r="R166" s="436"/>
      <c r="S166" s="436"/>
      <c r="T166" s="436"/>
      <c r="U166" s="436"/>
      <c r="V166" s="436"/>
      <c r="W166" s="436"/>
      <c r="X166" s="436"/>
      <c r="Y166" s="446"/>
      <c r="Z166" s="432"/>
      <c r="AA166" s="436"/>
      <c r="AB166" s="447"/>
      <c r="AC166" s="448"/>
      <c r="AD166" s="436"/>
      <c r="AE166" s="436"/>
      <c r="AF166" s="436"/>
      <c r="AG166" s="449"/>
      <c r="AH166" s="432"/>
      <c r="AI166" s="436"/>
      <c r="AJ166" s="436"/>
      <c r="AK166" s="436"/>
      <c r="AL166" s="436"/>
      <c r="AM166" s="109"/>
    </row>
    <row r="167" ht="22.5" customHeight="1">
      <c r="A167" s="439"/>
      <c r="B167" s="439"/>
      <c r="C167" s="439"/>
      <c r="D167" s="439"/>
      <c r="E167" s="419">
        <f t="shared" si="6"/>
        <v>0</v>
      </c>
      <c r="F167" s="441"/>
      <c r="G167" s="442"/>
      <c r="H167" s="442"/>
      <c r="I167" s="443"/>
      <c r="J167" s="443"/>
      <c r="K167" s="444"/>
      <c r="L167" s="442"/>
      <c r="M167" s="436"/>
      <c r="N167" s="445"/>
      <c r="O167" s="443"/>
      <c r="P167" s="443"/>
      <c r="Q167" s="436"/>
      <c r="R167" s="436"/>
      <c r="S167" s="436"/>
      <c r="T167" s="436"/>
      <c r="U167" s="436"/>
      <c r="V167" s="436"/>
      <c r="W167" s="436"/>
      <c r="X167" s="436"/>
      <c r="Y167" s="446"/>
      <c r="Z167" s="432"/>
      <c r="AA167" s="436"/>
      <c r="AB167" s="447"/>
      <c r="AC167" s="448"/>
      <c r="AD167" s="436"/>
      <c r="AE167" s="436"/>
      <c r="AF167" s="436"/>
      <c r="AG167" s="449"/>
      <c r="AH167" s="432"/>
      <c r="AI167" s="436"/>
      <c r="AJ167" s="436"/>
      <c r="AK167" s="436"/>
      <c r="AL167" s="436"/>
      <c r="AM167" s="109"/>
    </row>
    <row r="168" ht="22.5" customHeight="1">
      <c r="A168" s="439"/>
      <c r="B168" s="439"/>
      <c r="C168" s="439"/>
      <c r="D168" s="439"/>
      <c r="E168" s="419">
        <f t="shared" si="6"/>
        <v>0</v>
      </c>
      <c r="F168" s="441"/>
      <c r="G168" s="442"/>
      <c r="H168" s="442"/>
      <c r="I168" s="443"/>
      <c r="J168" s="443"/>
      <c r="K168" s="444"/>
      <c r="L168" s="442"/>
      <c r="M168" s="436"/>
      <c r="N168" s="445"/>
      <c r="O168" s="443"/>
      <c r="P168" s="443"/>
      <c r="Q168" s="436"/>
      <c r="R168" s="436"/>
      <c r="S168" s="436"/>
      <c r="T168" s="436"/>
      <c r="U168" s="436"/>
      <c r="V168" s="436"/>
      <c r="W168" s="436"/>
      <c r="X168" s="436"/>
      <c r="Y168" s="446"/>
      <c r="Z168" s="432"/>
      <c r="AA168" s="436"/>
      <c r="AB168" s="447"/>
      <c r="AC168" s="448"/>
      <c r="AD168" s="436"/>
      <c r="AE168" s="436"/>
      <c r="AF168" s="436"/>
      <c r="AG168" s="449"/>
      <c r="AH168" s="432"/>
      <c r="AI168" s="436"/>
      <c r="AJ168" s="436"/>
      <c r="AK168" s="436"/>
      <c r="AL168" s="436"/>
      <c r="AM168" s="109"/>
    </row>
    <row r="169" ht="22.5" customHeight="1">
      <c r="A169" s="439"/>
      <c r="B169" s="439"/>
      <c r="C169" s="439"/>
      <c r="D169" s="439"/>
      <c r="E169" s="419">
        <f t="shared" si="6"/>
        <v>0</v>
      </c>
      <c r="F169" s="441"/>
      <c r="G169" s="442"/>
      <c r="H169" s="442"/>
      <c r="I169" s="443"/>
      <c r="J169" s="443"/>
      <c r="K169" s="444"/>
      <c r="L169" s="442"/>
      <c r="M169" s="436"/>
      <c r="N169" s="445"/>
      <c r="O169" s="443"/>
      <c r="P169" s="443"/>
      <c r="Q169" s="436"/>
      <c r="R169" s="436"/>
      <c r="S169" s="436"/>
      <c r="T169" s="436"/>
      <c r="U169" s="436"/>
      <c r="V169" s="436"/>
      <c r="W169" s="436"/>
      <c r="X169" s="436"/>
      <c r="Y169" s="446"/>
      <c r="Z169" s="432"/>
      <c r="AA169" s="436"/>
      <c r="AB169" s="447"/>
      <c r="AC169" s="448"/>
      <c r="AD169" s="436"/>
      <c r="AE169" s="436"/>
      <c r="AF169" s="436"/>
      <c r="AG169" s="449"/>
      <c r="AH169" s="432"/>
      <c r="AI169" s="436"/>
      <c r="AJ169" s="436"/>
      <c r="AK169" s="436"/>
      <c r="AL169" s="436"/>
      <c r="AM169" s="109"/>
    </row>
    <row r="170" ht="22.5" customHeight="1">
      <c r="A170" s="439"/>
      <c r="B170" s="439"/>
      <c r="C170" s="439"/>
      <c r="D170" s="439"/>
      <c r="E170" s="419">
        <f t="shared" si="6"/>
        <v>0</v>
      </c>
      <c r="F170" s="441"/>
      <c r="G170" s="442"/>
      <c r="H170" s="442"/>
      <c r="I170" s="443"/>
      <c r="J170" s="443"/>
      <c r="K170" s="444"/>
      <c r="L170" s="442"/>
      <c r="M170" s="436"/>
      <c r="N170" s="445"/>
      <c r="O170" s="443"/>
      <c r="P170" s="443"/>
      <c r="Q170" s="436"/>
      <c r="R170" s="436"/>
      <c r="S170" s="436"/>
      <c r="T170" s="436"/>
      <c r="U170" s="436"/>
      <c r="V170" s="436"/>
      <c r="W170" s="436"/>
      <c r="X170" s="436"/>
      <c r="Y170" s="446"/>
      <c r="Z170" s="432"/>
      <c r="AA170" s="436"/>
      <c r="AB170" s="447"/>
      <c r="AC170" s="448"/>
      <c r="AD170" s="436"/>
      <c r="AE170" s="436"/>
      <c r="AF170" s="436"/>
      <c r="AG170" s="449"/>
      <c r="AH170" s="432"/>
      <c r="AI170" s="436"/>
      <c r="AJ170" s="436"/>
      <c r="AK170" s="436"/>
      <c r="AL170" s="436"/>
      <c r="AM170" s="109"/>
    </row>
    <row r="171" ht="22.5" customHeight="1">
      <c r="A171" s="439"/>
      <c r="B171" s="439"/>
      <c r="C171" s="439"/>
      <c r="D171" s="439"/>
      <c r="E171" s="419">
        <f t="shared" si="6"/>
        <v>0</v>
      </c>
      <c r="F171" s="441"/>
      <c r="G171" s="442"/>
      <c r="H171" s="442"/>
      <c r="I171" s="443"/>
      <c r="J171" s="443"/>
      <c r="K171" s="444"/>
      <c r="L171" s="442"/>
      <c r="M171" s="436"/>
      <c r="N171" s="445"/>
      <c r="O171" s="443"/>
      <c r="P171" s="443"/>
      <c r="Q171" s="436"/>
      <c r="R171" s="436"/>
      <c r="S171" s="436"/>
      <c r="T171" s="436"/>
      <c r="U171" s="436"/>
      <c r="V171" s="436"/>
      <c r="W171" s="436"/>
      <c r="X171" s="436"/>
      <c r="Y171" s="446"/>
      <c r="Z171" s="432"/>
      <c r="AA171" s="436"/>
      <c r="AB171" s="447"/>
      <c r="AC171" s="448"/>
      <c r="AD171" s="436"/>
      <c r="AE171" s="436"/>
      <c r="AF171" s="436"/>
      <c r="AG171" s="449"/>
      <c r="AH171" s="432"/>
      <c r="AI171" s="436"/>
      <c r="AJ171" s="436"/>
      <c r="AK171" s="436"/>
      <c r="AL171" s="436"/>
      <c r="AM171" s="109"/>
    </row>
    <row r="172" ht="22.5" customHeight="1">
      <c r="A172" s="439"/>
      <c r="B172" s="439"/>
      <c r="C172" s="439"/>
      <c r="D172" s="439"/>
      <c r="E172" s="419">
        <f t="shared" si="6"/>
        <v>0</v>
      </c>
      <c r="F172" s="441"/>
      <c r="G172" s="442"/>
      <c r="H172" s="442"/>
      <c r="I172" s="443"/>
      <c r="J172" s="443"/>
      <c r="K172" s="444"/>
      <c r="L172" s="442"/>
      <c r="M172" s="436"/>
      <c r="N172" s="445"/>
      <c r="O172" s="443"/>
      <c r="P172" s="443"/>
      <c r="Q172" s="436"/>
      <c r="R172" s="436"/>
      <c r="S172" s="436"/>
      <c r="T172" s="436"/>
      <c r="U172" s="436"/>
      <c r="V172" s="436"/>
      <c r="W172" s="436"/>
      <c r="X172" s="436"/>
      <c r="Y172" s="446"/>
      <c r="Z172" s="432"/>
      <c r="AA172" s="436"/>
      <c r="AB172" s="447"/>
      <c r="AC172" s="448"/>
      <c r="AD172" s="436"/>
      <c r="AE172" s="436"/>
      <c r="AF172" s="436"/>
      <c r="AG172" s="449"/>
      <c r="AH172" s="432"/>
      <c r="AI172" s="436"/>
      <c r="AJ172" s="436"/>
      <c r="AK172" s="436"/>
      <c r="AL172" s="436"/>
      <c r="AM172" s="109"/>
    </row>
    <row r="173" ht="22.5" customHeight="1">
      <c r="A173" s="439"/>
      <c r="B173" s="439"/>
      <c r="C173" s="439"/>
      <c r="D173" s="439"/>
      <c r="E173" s="419">
        <f t="shared" si="6"/>
        <v>0</v>
      </c>
      <c r="F173" s="441"/>
      <c r="G173" s="442"/>
      <c r="H173" s="442"/>
      <c r="I173" s="443"/>
      <c r="J173" s="443"/>
      <c r="K173" s="444"/>
      <c r="L173" s="442"/>
      <c r="M173" s="436"/>
      <c r="N173" s="445"/>
      <c r="O173" s="443"/>
      <c r="P173" s="443"/>
      <c r="Q173" s="436"/>
      <c r="R173" s="436"/>
      <c r="S173" s="436"/>
      <c r="T173" s="436"/>
      <c r="U173" s="436"/>
      <c r="V173" s="436"/>
      <c r="W173" s="436"/>
      <c r="X173" s="436"/>
      <c r="Y173" s="446"/>
      <c r="Z173" s="432"/>
      <c r="AA173" s="436"/>
      <c r="AB173" s="447"/>
      <c r="AC173" s="448"/>
      <c r="AD173" s="436"/>
      <c r="AE173" s="436"/>
      <c r="AF173" s="436"/>
      <c r="AG173" s="449"/>
      <c r="AH173" s="432"/>
      <c r="AI173" s="436"/>
      <c r="AJ173" s="436"/>
      <c r="AK173" s="436"/>
      <c r="AL173" s="436"/>
      <c r="AM173" s="109"/>
    </row>
    <row r="174" ht="22.5" customHeight="1">
      <c r="A174" s="439"/>
      <c r="B174" s="439"/>
      <c r="C174" s="439"/>
      <c r="D174" s="439"/>
      <c r="E174" s="419">
        <f t="shared" si="6"/>
        <v>0</v>
      </c>
      <c r="F174" s="441"/>
      <c r="G174" s="442"/>
      <c r="H174" s="442"/>
      <c r="I174" s="443"/>
      <c r="J174" s="443"/>
      <c r="K174" s="444"/>
      <c r="L174" s="442"/>
      <c r="M174" s="436"/>
      <c r="N174" s="445"/>
      <c r="O174" s="443"/>
      <c r="P174" s="443"/>
      <c r="Q174" s="436"/>
      <c r="R174" s="436"/>
      <c r="S174" s="436"/>
      <c r="T174" s="436"/>
      <c r="U174" s="436"/>
      <c r="V174" s="436"/>
      <c r="W174" s="436"/>
      <c r="X174" s="436"/>
      <c r="Y174" s="446"/>
      <c r="Z174" s="432"/>
      <c r="AA174" s="436"/>
      <c r="AB174" s="447"/>
      <c r="AC174" s="448"/>
      <c r="AD174" s="436"/>
      <c r="AE174" s="436"/>
      <c r="AF174" s="436"/>
      <c r="AG174" s="449"/>
      <c r="AH174" s="432"/>
      <c r="AI174" s="436"/>
      <c r="AJ174" s="436"/>
      <c r="AK174" s="436"/>
      <c r="AL174" s="436"/>
      <c r="AM174" s="109"/>
    </row>
    <row r="175" ht="22.5" customHeight="1">
      <c r="A175" s="439"/>
      <c r="B175" s="439"/>
      <c r="C175" s="439"/>
      <c r="D175" s="439"/>
      <c r="E175" s="419">
        <f t="shared" si="6"/>
        <v>0</v>
      </c>
      <c r="F175" s="441"/>
      <c r="G175" s="442"/>
      <c r="H175" s="442"/>
      <c r="I175" s="443"/>
      <c r="J175" s="443"/>
      <c r="K175" s="444"/>
      <c r="L175" s="442"/>
      <c r="M175" s="436"/>
      <c r="N175" s="445"/>
      <c r="O175" s="443"/>
      <c r="P175" s="443"/>
      <c r="Q175" s="436"/>
      <c r="R175" s="436"/>
      <c r="S175" s="436"/>
      <c r="T175" s="436"/>
      <c r="U175" s="436"/>
      <c r="V175" s="436"/>
      <c r="W175" s="436"/>
      <c r="X175" s="436"/>
      <c r="Y175" s="446"/>
      <c r="Z175" s="432"/>
      <c r="AA175" s="436"/>
      <c r="AB175" s="447"/>
      <c r="AC175" s="448"/>
      <c r="AD175" s="436"/>
      <c r="AE175" s="436"/>
      <c r="AF175" s="436"/>
      <c r="AG175" s="449"/>
      <c r="AH175" s="432"/>
      <c r="AI175" s="436"/>
      <c r="AJ175" s="436"/>
      <c r="AK175" s="436"/>
      <c r="AL175" s="436"/>
      <c r="AM175" s="109"/>
    </row>
    <row r="176" ht="22.5" customHeight="1">
      <c r="A176" s="439"/>
      <c r="B176" s="439"/>
      <c r="C176" s="439"/>
      <c r="D176" s="439"/>
      <c r="E176" s="419">
        <f t="shared" si="6"/>
        <v>0</v>
      </c>
      <c r="F176" s="441"/>
      <c r="G176" s="442"/>
      <c r="H176" s="442"/>
      <c r="I176" s="443"/>
      <c r="J176" s="443"/>
      <c r="K176" s="444"/>
      <c r="L176" s="442"/>
      <c r="M176" s="436"/>
      <c r="N176" s="445"/>
      <c r="O176" s="443"/>
      <c r="P176" s="443"/>
      <c r="Q176" s="436"/>
      <c r="R176" s="436"/>
      <c r="S176" s="436"/>
      <c r="T176" s="436"/>
      <c r="U176" s="436"/>
      <c r="V176" s="436"/>
      <c r="W176" s="436"/>
      <c r="X176" s="436"/>
      <c r="Y176" s="446"/>
      <c r="Z176" s="432"/>
      <c r="AA176" s="436"/>
      <c r="AB176" s="447"/>
      <c r="AC176" s="448"/>
      <c r="AD176" s="436"/>
      <c r="AE176" s="436"/>
      <c r="AF176" s="436"/>
      <c r="AG176" s="449"/>
      <c r="AH176" s="432"/>
      <c r="AI176" s="436"/>
      <c r="AJ176" s="436"/>
      <c r="AK176" s="436"/>
      <c r="AL176" s="436"/>
      <c r="AM176" s="109"/>
    </row>
    <row r="177" ht="22.5" customHeight="1">
      <c r="A177" s="439"/>
      <c r="B177" s="439"/>
      <c r="C177" s="439"/>
      <c r="D177" s="439"/>
      <c r="E177" s="419">
        <f t="shared" si="6"/>
        <v>0</v>
      </c>
      <c r="F177" s="441"/>
      <c r="G177" s="442"/>
      <c r="H177" s="442"/>
      <c r="I177" s="443"/>
      <c r="J177" s="443"/>
      <c r="K177" s="444"/>
      <c r="L177" s="442"/>
      <c r="M177" s="436"/>
      <c r="N177" s="445"/>
      <c r="O177" s="443"/>
      <c r="P177" s="443"/>
      <c r="Q177" s="436"/>
      <c r="R177" s="436"/>
      <c r="S177" s="436"/>
      <c r="T177" s="436"/>
      <c r="U177" s="436"/>
      <c r="V177" s="436"/>
      <c r="W177" s="436"/>
      <c r="X177" s="436"/>
      <c r="Y177" s="446"/>
      <c r="Z177" s="432"/>
      <c r="AA177" s="436"/>
      <c r="AB177" s="447"/>
      <c r="AC177" s="448"/>
      <c r="AD177" s="436"/>
      <c r="AE177" s="436"/>
      <c r="AF177" s="436"/>
      <c r="AG177" s="449"/>
      <c r="AH177" s="432"/>
      <c r="AI177" s="436"/>
      <c r="AJ177" s="436"/>
      <c r="AK177" s="436"/>
      <c r="AL177" s="436"/>
      <c r="AM177" s="109"/>
    </row>
    <row r="178" ht="22.5" customHeight="1">
      <c r="A178" s="439"/>
      <c r="B178" s="439"/>
      <c r="C178" s="439"/>
      <c r="D178" s="439"/>
      <c r="E178" s="419">
        <f t="shared" si="6"/>
        <v>0</v>
      </c>
      <c r="F178" s="441"/>
      <c r="G178" s="442"/>
      <c r="H178" s="442"/>
      <c r="I178" s="443"/>
      <c r="J178" s="443"/>
      <c r="K178" s="444"/>
      <c r="L178" s="442"/>
      <c r="M178" s="436"/>
      <c r="N178" s="445"/>
      <c r="O178" s="443"/>
      <c r="P178" s="443"/>
      <c r="Q178" s="436"/>
      <c r="R178" s="436"/>
      <c r="S178" s="436"/>
      <c r="T178" s="436"/>
      <c r="U178" s="436"/>
      <c r="V178" s="436"/>
      <c r="W178" s="436"/>
      <c r="X178" s="436"/>
      <c r="Y178" s="446"/>
      <c r="Z178" s="432"/>
      <c r="AA178" s="436"/>
      <c r="AB178" s="447"/>
      <c r="AC178" s="448"/>
      <c r="AD178" s="436"/>
      <c r="AE178" s="436"/>
      <c r="AF178" s="436"/>
      <c r="AG178" s="449"/>
      <c r="AH178" s="432"/>
      <c r="AI178" s="436"/>
      <c r="AJ178" s="436"/>
      <c r="AK178" s="436"/>
      <c r="AL178" s="436"/>
      <c r="AM178" s="109"/>
    </row>
    <row r="179" ht="22.5" customHeight="1">
      <c r="A179" s="439"/>
      <c r="B179" s="439"/>
      <c r="C179" s="439"/>
      <c r="D179" s="439"/>
      <c r="E179" s="419">
        <f t="shared" si="6"/>
        <v>0</v>
      </c>
      <c r="F179" s="441"/>
      <c r="G179" s="442"/>
      <c r="H179" s="442"/>
      <c r="I179" s="443"/>
      <c r="J179" s="443"/>
      <c r="K179" s="444"/>
      <c r="L179" s="442"/>
      <c r="M179" s="436"/>
      <c r="N179" s="445"/>
      <c r="O179" s="443"/>
      <c r="P179" s="443"/>
      <c r="Q179" s="436"/>
      <c r="R179" s="436"/>
      <c r="S179" s="436"/>
      <c r="T179" s="436"/>
      <c r="U179" s="436"/>
      <c r="V179" s="436"/>
      <c r="W179" s="436"/>
      <c r="X179" s="436"/>
      <c r="Y179" s="446"/>
      <c r="Z179" s="432"/>
      <c r="AA179" s="436"/>
      <c r="AB179" s="447"/>
      <c r="AC179" s="448"/>
      <c r="AD179" s="436"/>
      <c r="AE179" s="436"/>
      <c r="AF179" s="436"/>
      <c r="AG179" s="449"/>
      <c r="AH179" s="432"/>
      <c r="AI179" s="436"/>
      <c r="AJ179" s="436"/>
      <c r="AK179" s="436"/>
      <c r="AL179" s="436"/>
      <c r="AM179" s="109"/>
    </row>
    <row r="180" ht="22.5" customHeight="1">
      <c r="A180" s="439"/>
      <c r="B180" s="439"/>
      <c r="C180" s="439"/>
      <c r="D180" s="439"/>
      <c r="E180" s="419">
        <f t="shared" si="6"/>
        <v>0</v>
      </c>
      <c r="F180" s="441"/>
      <c r="G180" s="442"/>
      <c r="H180" s="442"/>
      <c r="I180" s="443"/>
      <c r="J180" s="443"/>
      <c r="K180" s="444"/>
      <c r="L180" s="442"/>
      <c r="M180" s="436"/>
      <c r="N180" s="445"/>
      <c r="O180" s="443"/>
      <c r="P180" s="443"/>
      <c r="Q180" s="436"/>
      <c r="R180" s="436"/>
      <c r="S180" s="436"/>
      <c r="T180" s="436"/>
      <c r="U180" s="436"/>
      <c r="V180" s="436"/>
      <c r="W180" s="436"/>
      <c r="X180" s="436"/>
      <c r="Y180" s="446"/>
      <c r="Z180" s="432"/>
      <c r="AA180" s="436"/>
      <c r="AB180" s="447"/>
      <c r="AC180" s="448"/>
      <c r="AD180" s="436"/>
      <c r="AE180" s="436"/>
      <c r="AF180" s="436"/>
      <c r="AG180" s="449"/>
      <c r="AH180" s="432"/>
      <c r="AI180" s="436"/>
      <c r="AJ180" s="436"/>
      <c r="AK180" s="436"/>
      <c r="AL180" s="436"/>
      <c r="AM180" s="109"/>
    </row>
    <row r="181" ht="22.5" customHeight="1">
      <c r="A181" s="439"/>
      <c r="B181" s="439"/>
      <c r="C181" s="439"/>
      <c r="D181" s="439"/>
      <c r="E181" s="419">
        <f t="shared" si="6"/>
        <v>0</v>
      </c>
      <c r="F181" s="441"/>
      <c r="G181" s="442"/>
      <c r="H181" s="442"/>
      <c r="I181" s="443"/>
      <c r="J181" s="443"/>
      <c r="K181" s="444"/>
      <c r="L181" s="442"/>
      <c r="M181" s="436"/>
      <c r="N181" s="445"/>
      <c r="O181" s="443"/>
      <c r="P181" s="443"/>
      <c r="Q181" s="436"/>
      <c r="R181" s="436"/>
      <c r="S181" s="436"/>
      <c r="T181" s="436"/>
      <c r="U181" s="436"/>
      <c r="V181" s="436"/>
      <c r="W181" s="436"/>
      <c r="X181" s="436"/>
      <c r="Y181" s="446"/>
      <c r="Z181" s="432"/>
      <c r="AA181" s="436"/>
      <c r="AB181" s="447"/>
      <c r="AC181" s="448"/>
      <c r="AD181" s="436"/>
      <c r="AE181" s="436"/>
      <c r="AF181" s="436"/>
      <c r="AG181" s="449"/>
      <c r="AH181" s="432"/>
      <c r="AI181" s="436"/>
      <c r="AJ181" s="436"/>
      <c r="AK181" s="436"/>
      <c r="AL181" s="436"/>
      <c r="AM181" s="109"/>
    </row>
    <row r="182" ht="22.5" customHeight="1">
      <c r="A182" s="439"/>
      <c r="B182" s="439"/>
      <c r="C182" s="439"/>
      <c r="D182" s="439"/>
      <c r="E182" s="419">
        <f t="shared" si="6"/>
        <v>0</v>
      </c>
      <c r="F182" s="441"/>
      <c r="G182" s="442"/>
      <c r="H182" s="442"/>
      <c r="I182" s="443"/>
      <c r="J182" s="443"/>
      <c r="K182" s="444"/>
      <c r="L182" s="442"/>
      <c r="M182" s="436"/>
      <c r="N182" s="445"/>
      <c r="O182" s="443"/>
      <c r="P182" s="443"/>
      <c r="Q182" s="436"/>
      <c r="R182" s="436"/>
      <c r="S182" s="436"/>
      <c r="T182" s="436"/>
      <c r="U182" s="436"/>
      <c r="V182" s="436"/>
      <c r="W182" s="436"/>
      <c r="X182" s="436"/>
      <c r="Y182" s="446"/>
      <c r="Z182" s="432"/>
      <c r="AA182" s="436"/>
      <c r="AB182" s="447"/>
      <c r="AC182" s="448"/>
      <c r="AD182" s="436"/>
      <c r="AE182" s="436"/>
      <c r="AF182" s="436"/>
      <c r="AG182" s="449"/>
      <c r="AH182" s="432"/>
      <c r="AI182" s="436"/>
      <c r="AJ182" s="436"/>
      <c r="AK182" s="436"/>
      <c r="AL182" s="436"/>
      <c r="AM182" s="109"/>
    </row>
    <row r="183" ht="22.5" customHeight="1">
      <c r="A183" s="439"/>
      <c r="B183" s="439"/>
      <c r="C183" s="439"/>
      <c r="D183" s="439"/>
      <c r="E183" s="419">
        <f t="shared" si="6"/>
        <v>0</v>
      </c>
      <c r="F183" s="441"/>
      <c r="G183" s="442"/>
      <c r="H183" s="442"/>
      <c r="I183" s="443"/>
      <c r="J183" s="443"/>
      <c r="K183" s="444"/>
      <c r="L183" s="442"/>
      <c r="M183" s="436"/>
      <c r="N183" s="445"/>
      <c r="O183" s="443"/>
      <c r="P183" s="443"/>
      <c r="Q183" s="436"/>
      <c r="R183" s="436"/>
      <c r="S183" s="436"/>
      <c r="T183" s="436"/>
      <c r="U183" s="436"/>
      <c r="V183" s="436"/>
      <c r="W183" s="436"/>
      <c r="X183" s="436"/>
      <c r="Y183" s="446"/>
      <c r="Z183" s="432"/>
      <c r="AA183" s="436"/>
      <c r="AB183" s="447"/>
      <c r="AC183" s="448"/>
      <c r="AD183" s="436"/>
      <c r="AE183" s="436"/>
      <c r="AF183" s="436"/>
      <c r="AG183" s="449"/>
      <c r="AH183" s="432"/>
      <c r="AI183" s="436"/>
      <c r="AJ183" s="436"/>
      <c r="AK183" s="436"/>
      <c r="AL183" s="436"/>
      <c r="AM183" s="109"/>
    </row>
    <row r="184" ht="22.5" customHeight="1">
      <c r="A184" s="439"/>
      <c r="B184" s="439"/>
      <c r="C184" s="439"/>
      <c r="D184" s="439"/>
      <c r="E184" s="419">
        <f t="shared" si="6"/>
        <v>0</v>
      </c>
      <c r="F184" s="441"/>
      <c r="G184" s="442"/>
      <c r="H184" s="442"/>
      <c r="I184" s="443"/>
      <c r="J184" s="443"/>
      <c r="K184" s="444"/>
      <c r="L184" s="442"/>
      <c r="M184" s="436"/>
      <c r="N184" s="445"/>
      <c r="O184" s="443"/>
      <c r="P184" s="443"/>
      <c r="Q184" s="436"/>
      <c r="R184" s="436"/>
      <c r="S184" s="436"/>
      <c r="T184" s="436"/>
      <c r="U184" s="436"/>
      <c r="V184" s="436"/>
      <c r="W184" s="436"/>
      <c r="X184" s="436"/>
      <c r="Y184" s="446"/>
      <c r="Z184" s="432"/>
      <c r="AA184" s="436"/>
      <c r="AB184" s="447"/>
      <c r="AC184" s="448"/>
      <c r="AD184" s="436"/>
      <c r="AE184" s="436"/>
      <c r="AF184" s="436"/>
      <c r="AG184" s="449"/>
      <c r="AH184" s="432"/>
      <c r="AI184" s="436"/>
      <c r="AJ184" s="436"/>
      <c r="AK184" s="436"/>
      <c r="AL184" s="436"/>
      <c r="AM184" s="109"/>
    </row>
    <row r="185" ht="22.5" customHeight="1">
      <c r="A185" s="439"/>
      <c r="B185" s="439"/>
      <c r="C185" s="439"/>
      <c r="D185" s="439"/>
      <c r="E185" s="419">
        <f t="shared" si="6"/>
        <v>0</v>
      </c>
      <c r="F185" s="441"/>
      <c r="G185" s="442"/>
      <c r="H185" s="442"/>
      <c r="I185" s="443"/>
      <c r="J185" s="443"/>
      <c r="K185" s="444"/>
      <c r="L185" s="442"/>
      <c r="M185" s="436"/>
      <c r="N185" s="445"/>
      <c r="O185" s="443"/>
      <c r="P185" s="443"/>
      <c r="Q185" s="436"/>
      <c r="R185" s="436"/>
      <c r="S185" s="436"/>
      <c r="T185" s="436"/>
      <c r="U185" s="436"/>
      <c r="V185" s="436"/>
      <c r="W185" s="436"/>
      <c r="X185" s="436"/>
      <c r="Y185" s="446"/>
      <c r="Z185" s="432"/>
      <c r="AA185" s="436"/>
      <c r="AB185" s="447"/>
      <c r="AC185" s="448"/>
      <c r="AD185" s="436"/>
      <c r="AE185" s="436"/>
      <c r="AF185" s="436"/>
      <c r="AG185" s="449"/>
      <c r="AH185" s="432"/>
      <c r="AI185" s="436"/>
      <c r="AJ185" s="436"/>
      <c r="AK185" s="436"/>
      <c r="AL185" s="436"/>
      <c r="AM185" s="109"/>
    </row>
    <row r="186" ht="22.5" customHeight="1">
      <c r="A186" s="439"/>
      <c r="B186" s="439"/>
      <c r="C186" s="439"/>
      <c r="D186" s="439"/>
      <c r="E186" s="419">
        <f t="shared" si="6"/>
        <v>0</v>
      </c>
      <c r="F186" s="441"/>
      <c r="G186" s="442"/>
      <c r="H186" s="442"/>
      <c r="I186" s="443"/>
      <c r="J186" s="443"/>
      <c r="K186" s="444"/>
      <c r="L186" s="442"/>
      <c r="M186" s="436"/>
      <c r="N186" s="445"/>
      <c r="O186" s="443"/>
      <c r="P186" s="443"/>
      <c r="Q186" s="436"/>
      <c r="R186" s="436"/>
      <c r="S186" s="436"/>
      <c r="T186" s="436"/>
      <c r="U186" s="436"/>
      <c r="V186" s="436"/>
      <c r="W186" s="436"/>
      <c r="X186" s="436"/>
      <c r="Y186" s="446"/>
      <c r="Z186" s="432"/>
      <c r="AA186" s="436"/>
      <c r="AB186" s="447"/>
      <c r="AC186" s="448"/>
      <c r="AD186" s="436"/>
      <c r="AE186" s="436"/>
      <c r="AF186" s="436"/>
      <c r="AG186" s="449"/>
      <c r="AH186" s="432"/>
      <c r="AI186" s="436"/>
      <c r="AJ186" s="436"/>
      <c r="AK186" s="436"/>
      <c r="AL186" s="436"/>
      <c r="AM186" s="109"/>
    </row>
    <row r="187" ht="22.5" customHeight="1">
      <c r="A187" s="439"/>
      <c r="B187" s="439"/>
      <c r="C187" s="439"/>
      <c r="D187" s="439"/>
      <c r="E187" s="419">
        <f t="shared" si="6"/>
        <v>0</v>
      </c>
      <c r="F187" s="441"/>
      <c r="G187" s="442"/>
      <c r="H187" s="442"/>
      <c r="I187" s="443"/>
      <c r="J187" s="443"/>
      <c r="K187" s="444"/>
      <c r="L187" s="442"/>
      <c r="M187" s="436"/>
      <c r="N187" s="445"/>
      <c r="O187" s="443"/>
      <c r="P187" s="443"/>
      <c r="Q187" s="436"/>
      <c r="R187" s="436"/>
      <c r="S187" s="436"/>
      <c r="T187" s="436"/>
      <c r="U187" s="436"/>
      <c r="V187" s="436"/>
      <c r="W187" s="436"/>
      <c r="X187" s="436"/>
      <c r="Y187" s="446"/>
      <c r="Z187" s="432"/>
      <c r="AA187" s="436"/>
      <c r="AB187" s="447"/>
      <c r="AC187" s="448"/>
      <c r="AD187" s="436"/>
      <c r="AE187" s="436"/>
      <c r="AF187" s="436"/>
      <c r="AG187" s="449"/>
      <c r="AH187" s="432"/>
      <c r="AI187" s="436"/>
      <c r="AJ187" s="436"/>
      <c r="AK187" s="436"/>
      <c r="AL187" s="436"/>
      <c r="AM187" s="109"/>
    </row>
    <row r="188" ht="22.5" customHeight="1">
      <c r="A188" s="439"/>
      <c r="B188" s="439"/>
      <c r="C188" s="439"/>
      <c r="D188" s="439"/>
      <c r="E188" s="419">
        <f t="shared" si="6"/>
        <v>0</v>
      </c>
      <c r="F188" s="441"/>
      <c r="G188" s="442"/>
      <c r="H188" s="442"/>
      <c r="I188" s="443"/>
      <c r="J188" s="443"/>
      <c r="K188" s="444"/>
      <c r="L188" s="442"/>
      <c r="M188" s="436"/>
      <c r="N188" s="445"/>
      <c r="O188" s="443"/>
      <c r="P188" s="443"/>
      <c r="Q188" s="436"/>
      <c r="R188" s="436"/>
      <c r="S188" s="436"/>
      <c r="T188" s="436"/>
      <c r="U188" s="436"/>
      <c r="V188" s="436"/>
      <c r="W188" s="436"/>
      <c r="X188" s="436"/>
      <c r="Y188" s="446"/>
      <c r="Z188" s="432"/>
      <c r="AA188" s="436"/>
      <c r="AB188" s="447"/>
      <c r="AC188" s="448"/>
      <c r="AD188" s="436"/>
      <c r="AE188" s="436"/>
      <c r="AF188" s="436"/>
      <c r="AG188" s="449"/>
      <c r="AH188" s="432"/>
      <c r="AI188" s="436"/>
      <c r="AJ188" s="436"/>
      <c r="AK188" s="436"/>
      <c r="AL188" s="436"/>
      <c r="AM188" s="109"/>
    </row>
    <row r="189" ht="22.5" customHeight="1">
      <c r="A189" s="439"/>
      <c r="B189" s="439"/>
      <c r="C189" s="439"/>
      <c r="D189" s="439"/>
      <c r="E189" s="419">
        <f t="shared" si="6"/>
        <v>0</v>
      </c>
      <c r="F189" s="441"/>
      <c r="G189" s="442"/>
      <c r="H189" s="442"/>
      <c r="I189" s="443"/>
      <c r="J189" s="443"/>
      <c r="K189" s="444"/>
      <c r="L189" s="442"/>
      <c r="M189" s="436"/>
      <c r="N189" s="445"/>
      <c r="O189" s="443"/>
      <c r="P189" s="443"/>
      <c r="Q189" s="436"/>
      <c r="R189" s="436"/>
      <c r="S189" s="436"/>
      <c r="T189" s="436"/>
      <c r="U189" s="436"/>
      <c r="V189" s="436"/>
      <c r="W189" s="436"/>
      <c r="X189" s="436"/>
      <c r="Y189" s="446"/>
      <c r="Z189" s="432"/>
      <c r="AA189" s="436"/>
      <c r="AB189" s="447"/>
      <c r="AC189" s="448"/>
      <c r="AD189" s="436"/>
      <c r="AE189" s="436"/>
      <c r="AF189" s="436"/>
      <c r="AG189" s="449"/>
      <c r="AH189" s="432"/>
      <c r="AI189" s="436"/>
      <c r="AJ189" s="436"/>
      <c r="AK189" s="436"/>
      <c r="AL189" s="436"/>
      <c r="AM189" s="109"/>
    </row>
    <row r="190" ht="22.5" customHeight="1">
      <c r="A190" s="439"/>
      <c r="B190" s="439"/>
      <c r="C190" s="439"/>
      <c r="D190" s="439"/>
      <c r="E190" s="419">
        <f t="shared" si="6"/>
        <v>0</v>
      </c>
      <c r="F190" s="441"/>
      <c r="G190" s="442"/>
      <c r="H190" s="442"/>
      <c r="I190" s="443"/>
      <c r="J190" s="443"/>
      <c r="K190" s="444"/>
      <c r="L190" s="442"/>
      <c r="M190" s="436"/>
      <c r="N190" s="445"/>
      <c r="O190" s="443"/>
      <c r="P190" s="443"/>
      <c r="Q190" s="436"/>
      <c r="R190" s="436"/>
      <c r="S190" s="436"/>
      <c r="T190" s="436"/>
      <c r="U190" s="436"/>
      <c r="V190" s="436"/>
      <c r="W190" s="436"/>
      <c r="X190" s="436"/>
      <c r="Y190" s="446"/>
      <c r="Z190" s="432"/>
      <c r="AA190" s="436"/>
      <c r="AB190" s="447"/>
      <c r="AC190" s="448"/>
      <c r="AD190" s="436"/>
      <c r="AE190" s="436"/>
      <c r="AF190" s="436"/>
      <c r="AG190" s="449"/>
      <c r="AH190" s="432"/>
      <c r="AI190" s="436"/>
      <c r="AJ190" s="436"/>
      <c r="AK190" s="436"/>
      <c r="AL190" s="436"/>
      <c r="AM190" s="109"/>
    </row>
    <row r="191" ht="22.5" customHeight="1">
      <c r="A191" s="439"/>
      <c r="B191" s="439"/>
      <c r="C191" s="439"/>
      <c r="D191" s="439"/>
      <c r="E191" s="419">
        <f t="shared" si="6"/>
        <v>0</v>
      </c>
      <c r="F191" s="441"/>
      <c r="G191" s="442"/>
      <c r="H191" s="442"/>
      <c r="I191" s="443"/>
      <c r="J191" s="443"/>
      <c r="K191" s="444"/>
      <c r="L191" s="442"/>
      <c r="M191" s="436"/>
      <c r="N191" s="445"/>
      <c r="O191" s="443"/>
      <c r="P191" s="443"/>
      <c r="Q191" s="436"/>
      <c r="R191" s="436"/>
      <c r="S191" s="436"/>
      <c r="T191" s="436"/>
      <c r="U191" s="436"/>
      <c r="V191" s="436"/>
      <c r="W191" s="436"/>
      <c r="X191" s="436"/>
      <c r="Y191" s="446"/>
      <c r="Z191" s="432"/>
      <c r="AA191" s="436"/>
      <c r="AB191" s="447"/>
      <c r="AC191" s="448"/>
      <c r="AD191" s="436"/>
      <c r="AE191" s="436"/>
      <c r="AF191" s="436"/>
      <c r="AG191" s="449"/>
      <c r="AH191" s="432"/>
      <c r="AI191" s="436"/>
      <c r="AJ191" s="436"/>
      <c r="AK191" s="436"/>
      <c r="AL191" s="436"/>
      <c r="AM191" s="109"/>
    </row>
    <row r="192" ht="22.5" customHeight="1">
      <c r="A192" s="439"/>
      <c r="B192" s="439"/>
      <c r="C192" s="439"/>
      <c r="D192" s="439"/>
      <c r="E192" s="419">
        <f t="shared" si="6"/>
        <v>0</v>
      </c>
      <c r="F192" s="441"/>
      <c r="G192" s="442"/>
      <c r="H192" s="442"/>
      <c r="I192" s="443"/>
      <c r="J192" s="443"/>
      <c r="K192" s="444"/>
      <c r="L192" s="442"/>
      <c r="M192" s="436"/>
      <c r="N192" s="445"/>
      <c r="O192" s="443"/>
      <c r="P192" s="443"/>
      <c r="Q192" s="436"/>
      <c r="R192" s="436"/>
      <c r="S192" s="436"/>
      <c r="T192" s="436"/>
      <c r="U192" s="436"/>
      <c r="V192" s="436"/>
      <c r="W192" s="436"/>
      <c r="X192" s="436"/>
      <c r="Y192" s="446"/>
      <c r="Z192" s="432"/>
      <c r="AA192" s="436"/>
      <c r="AB192" s="447"/>
      <c r="AC192" s="448"/>
      <c r="AD192" s="436"/>
      <c r="AE192" s="436"/>
      <c r="AF192" s="436"/>
      <c r="AG192" s="449"/>
      <c r="AH192" s="432"/>
      <c r="AI192" s="436"/>
      <c r="AJ192" s="436"/>
      <c r="AK192" s="436"/>
      <c r="AL192" s="436"/>
      <c r="AM192" s="109"/>
    </row>
    <row r="193" ht="22.5" customHeight="1">
      <c r="A193" s="439"/>
      <c r="B193" s="439"/>
      <c r="C193" s="439"/>
      <c r="D193" s="439"/>
      <c r="E193" s="419">
        <f t="shared" si="6"/>
        <v>0</v>
      </c>
      <c r="F193" s="441"/>
      <c r="G193" s="442"/>
      <c r="H193" s="442"/>
      <c r="I193" s="443"/>
      <c r="J193" s="443"/>
      <c r="K193" s="444"/>
      <c r="L193" s="442"/>
      <c r="M193" s="436"/>
      <c r="N193" s="445"/>
      <c r="O193" s="443"/>
      <c r="P193" s="443"/>
      <c r="Q193" s="436"/>
      <c r="R193" s="436"/>
      <c r="S193" s="436"/>
      <c r="T193" s="436"/>
      <c r="U193" s="436"/>
      <c r="V193" s="436"/>
      <c r="W193" s="436"/>
      <c r="X193" s="436"/>
      <c r="Y193" s="446"/>
      <c r="Z193" s="432"/>
      <c r="AA193" s="436"/>
      <c r="AB193" s="447"/>
      <c r="AC193" s="448"/>
      <c r="AD193" s="436"/>
      <c r="AE193" s="436"/>
      <c r="AF193" s="436"/>
      <c r="AG193" s="449"/>
      <c r="AH193" s="432"/>
      <c r="AI193" s="436"/>
      <c r="AJ193" s="436"/>
      <c r="AK193" s="436"/>
      <c r="AL193" s="436"/>
      <c r="AM193" s="109"/>
    </row>
    <row r="194" ht="22.5" customHeight="1">
      <c r="A194" s="439"/>
      <c r="B194" s="439"/>
      <c r="C194" s="439"/>
      <c r="D194" s="439"/>
      <c r="E194" s="419">
        <f t="shared" si="6"/>
        <v>0</v>
      </c>
      <c r="F194" s="441"/>
      <c r="G194" s="442"/>
      <c r="H194" s="442"/>
      <c r="I194" s="443"/>
      <c r="J194" s="443"/>
      <c r="K194" s="444"/>
      <c r="L194" s="442"/>
      <c r="M194" s="436"/>
      <c r="N194" s="445"/>
      <c r="O194" s="443"/>
      <c r="P194" s="443"/>
      <c r="Q194" s="436"/>
      <c r="R194" s="436"/>
      <c r="S194" s="436"/>
      <c r="T194" s="436"/>
      <c r="U194" s="436"/>
      <c r="V194" s="436"/>
      <c r="W194" s="436"/>
      <c r="X194" s="436"/>
      <c r="Y194" s="446"/>
      <c r="Z194" s="432"/>
      <c r="AA194" s="436"/>
      <c r="AB194" s="447"/>
      <c r="AC194" s="448"/>
      <c r="AD194" s="436"/>
      <c r="AE194" s="436"/>
      <c r="AF194" s="436"/>
      <c r="AG194" s="449"/>
      <c r="AH194" s="432"/>
      <c r="AI194" s="436"/>
      <c r="AJ194" s="436"/>
      <c r="AK194" s="436"/>
      <c r="AL194" s="436"/>
      <c r="AM194" s="109"/>
    </row>
    <row r="195" ht="22.5" customHeight="1">
      <c r="A195" s="439"/>
      <c r="B195" s="439"/>
      <c r="C195" s="439"/>
      <c r="D195" s="439"/>
      <c r="E195" s="419">
        <f t="shared" si="6"/>
        <v>0</v>
      </c>
      <c r="F195" s="441"/>
      <c r="G195" s="442"/>
      <c r="H195" s="442"/>
      <c r="I195" s="443"/>
      <c r="J195" s="443"/>
      <c r="K195" s="444"/>
      <c r="L195" s="442"/>
      <c r="M195" s="436"/>
      <c r="N195" s="445"/>
      <c r="O195" s="443"/>
      <c r="P195" s="443"/>
      <c r="Q195" s="436"/>
      <c r="R195" s="436"/>
      <c r="S195" s="436"/>
      <c r="T195" s="436"/>
      <c r="U195" s="436"/>
      <c r="V195" s="436"/>
      <c r="W195" s="436"/>
      <c r="X195" s="436"/>
      <c r="Y195" s="446"/>
      <c r="Z195" s="432"/>
      <c r="AA195" s="436"/>
      <c r="AB195" s="447"/>
      <c r="AC195" s="448"/>
      <c r="AD195" s="436"/>
      <c r="AE195" s="436"/>
      <c r="AF195" s="436"/>
      <c r="AG195" s="449"/>
      <c r="AH195" s="432"/>
      <c r="AI195" s="436"/>
      <c r="AJ195" s="436"/>
      <c r="AK195" s="436"/>
      <c r="AL195" s="436"/>
      <c r="AM195" s="109"/>
    </row>
    <row r="196" ht="22.5" customHeight="1">
      <c r="A196" s="439"/>
      <c r="B196" s="439"/>
      <c r="C196" s="439"/>
      <c r="D196" s="439"/>
      <c r="E196" s="419">
        <f t="shared" si="6"/>
        <v>0</v>
      </c>
      <c r="F196" s="441"/>
      <c r="G196" s="442"/>
      <c r="H196" s="442"/>
      <c r="I196" s="443"/>
      <c r="J196" s="443"/>
      <c r="K196" s="444"/>
      <c r="L196" s="442"/>
      <c r="M196" s="436"/>
      <c r="N196" s="445"/>
      <c r="O196" s="443"/>
      <c r="P196" s="443"/>
      <c r="Q196" s="436"/>
      <c r="R196" s="436"/>
      <c r="S196" s="436"/>
      <c r="T196" s="436"/>
      <c r="U196" s="436"/>
      <c r="V196" s="436"/>
      <c r="W196" s="436"/>
      <c r="X196" s="436"/>
      <c r="Y196" s="446"/>
      <c r="Z196" s="432"/>
      <c r="AA196" s="436"/>
      <c r="AB196" s="447"/>
      <c r="AC196" s="448"/>
      <c r="AD196" s="436"/>
      <c r="AE196" s="436"/>
      <c r="AF196" s="436"/>
      <c r="AG196" s="449"/>
      <c r="AH196" s="432"/>
      <c r="AI196" s="436"/>
      <c r="AJ196" s="436"/>
      <c r="AK196" s="436"/>
      <c r="AL196" s="436"/>
      <c r="AM196" s="109"/>
    </row>
    <row r="197" ht="22.5" customHeight="1">
      <c r="A197" s="439"/>
      <c r="B197" s="439"/>
      <c r="C197" s="439"/>
      <c r="D197" s="439"/>
      <c r="E197" s="419">
        <f t="shared" si="6"/>
        <v>0</v>
      </c>
      <c r="F197" s="441"/>
      <c r="G197" s="442"/>
      <c r="H197" s="442"/>
      <c r="I197" s="443"/>
      <c r="J197" s="443"/>
      <c r="K197" s="444"/>
      <c r="L197" s="442"/>
      <c r="M197" s="436"/>
      <c r="N197" s="445"/>
      <c r="O197" s="443"/>
      <c r="P197" s="443"/>
      <c r="Q197" s="436"/>
      <c r="R197" s="436"/>
      <c r="S197" s="436"/>
      <c r="T197" s="436"/>
      <c r="U197" s="436"/>
      <c r="V197" s="436"/>
      <c r="W197" s="436"/>
      <c r="X197" s="436"/>
      <c r="Y197" s="446"/>
      <c r="Z197" s="432"/>
      <c r="AA197" s="436"/>
      <c r="AB197" s="447"/>
      <c r="AC197" s="448"/>
      <c r="AD197" s="436"/>
      <c r="AE197" s="436"/>
      <c r="AF197" s="436"/>
      <c r="AG197" s="449"/>
      <c r="AH197" s="432"/>
      <c r="AI197" s="436"/>
      <c r="AJ197" s="436"/>
      <c r="AK197" s="436"/>
      <c r="AL197" s="436"/>
      <c r="AM197" s="109"/>
    </row>
    <row r="198" ht="22.5" customHeight="1">
      <c r="A198" s="439"/>
      <c r="B198" s="439"/>
      <c r="C198" s="439"/>
      <c r="D198" s="439"/>
      <c r="E198" s="419">
        <f t="shared" si="6"/>
        <v>0</v>
      </c>
      <c r="F198" s="441"/>
      <c r="G198" s="442"/>
      <c r="H198" s="442"/>
      <c r="I198" s="443"/>
      <c r="J198" s="443"/>
      <c r="K198" s="444"/>
      <c r="L198" s="442"/>
      <c r="M198" s="436"/>
      <c r="N198" s="445"/>
      <c r="O198" s="443"/>
      <c r="P198" s="443"/>
      <c r="Q198" s="436"/>
      <c r="R198" s="436"/>
      <c r="S198" s="436"/>
      <c r="T198" s="436"/>
      <c r="U198" s="436"/>
      <c r="V198" s="436"/>
      <c r="W198" s="436"/>
      <c r="X198" s="436"/>
      <c r="Y198" s="446"/>
      <c r="Z198" s="432"/>
      <c r="AA198" s="436"/>
      <c r="AB198" s="447"/>
      <c r="AC198" s="448"/>
      <c r="AD198" s="436"/>
      <c r="AE198" s="436"/>
      <c r="AF198" s="436"/>
      <c r="AG198" s="449"/>
      <c r="AH198" s="432"/>
      <c r="AI198" s="436"/>
      <c r="AJ198" s="436"/>
      <c r="AK198" s="436"/>
      <c r="AL198" s="436"/>
      <c r="AM198" s="109"/>
    </row>
    <row r="199" ht="22.5" customHeight="1">
      <c r="A199" s="439"/>
      <c r="B199" s="439"/>
      <c r="C199" s="439"/>
      <c r="D199" s="439"/>
      <c r="E199" s="419">
        <f t="shared" si="6"/>
        <v>0</v>
      </c>
      <c r="F199" s="441"/>
      <c r="G199" s="442"/>
      <c r="H199" s="442"/>
      <c r="I199" s="443"/>
      <c r="J199" s="443"/>
      <c r="K199" s="444"/>
      <c r="L199" s="442"/>
      <c r="M199" s="436"/>
      <c r="N199" s="445"/>
      <c r="O199" s="443"/>
      <c r="P199" s="443"/>
      <c r="Q199" s="436"/>
      <c r="R199" s="436"/>
      <c r="S199" s="436"/>
      <c r="T199" s="436"/>
      <c r="U199" s="436"/>
      <c r="V199" s="436"/>
      <c r="W199" s="436"/>
      <c r="X199" s="436"/>
      <c r="Y199" s="446"/>
      <c r="Z199" s="432"/>
      <c r="AA199" s="436"/>
      <c r="AB199" s="447"/>
      <c r="AC199" s="448"/>
      <c r="AD199" s="436"/>
      <c r="AE199" s="436"/>
      <c r="AF199" s="436"/>
      <c r="AG199" s="449"/>
      <c r="AH199" s="432"/>
      <c r="AI199" s="436"/>
      <c r="AJ199" s="436"/>
      <c r="AK199" s="436"/>
      <c r="AL199" s="436"/>
      <c r="AM199" s="109"/>
    </row>
    <row r="200" ht="22.5" customHeight="1">
      <c r="A200" s="439"/>
      <c r="B200" s="439"/>
      <c r="C200" s="439"/>
      <c r="D200" s="439"/>
      <c r="E200" s="419">
        <f t="shared" si="6"/>
        <v>0</v>
      </c>
      <c r="F200" s="441"/>
      <c r="G200" s="442"/>
      <c r="H200" s="442"/>
      <c r="I200" s="443"/>
      <c r="J200" s="443"/>
      <c r="K200" s="444"/>
      <c r="L200" s="442"/>
      <c r="M200" s="436"/>
      <c r="N200" s="445"/>
      <c r="O200" s="443"/>
      <c r="P200" s="443"/>
      <c r="Q200" s="436"/>
      <c r="R200" s="436"/>
      <c r="S200" s="436"/>
      <c r="T200" s="436"/>
      <c r="U200" s="436"/>
      <c r="V200" s="436"/>
      <c r="W200" s="436"/>
      <c r="X200" s="436"/>
      <c r="Y200" s="446"/>
      <c r="Z200" s="432"/>
      <c r="AA200" s="436"/>
      <c r="AB200" s="447"/>
      <c r="AC200" s="448"/>
      <c r="AD200" s="436"/>
      <c r="AE200" s="436"/>
      <c r="AF200" s="436"/>
      <c r="AG200" s="449"/>
      <c r="AH200" s="432"/>
      <c r="AI200" s="436"/>
      <c r="AJ200" s="436"/>
      <c r="AK200" s="436"/>
      <c r="AL200" s="436"/>
      <c r="AM200" s="109"/>
    </row>
    <row r="201">
      <c r="G201" s="178"/>
      <c r="H201" s="178"/>
      <c r="L201" s="178"/>
      <c r="N201" s="450"/>
    </row>
    <row r="202">
      <c r="G202" s="178"/>
      <c r="H202" s="178"/>
      <c r="L202" s="178"/>
      <c r="N202" s="450"/>
    </row>
    <row r="203">
      <c r="N203" s="450"/>
    </row>
    <row r="204">
      <c r="N204" s="450"/>
    </row>
    <row r="205">
      <c r="N205" s="450"/>
    </row>
    <row r="206">
      <c r="N206" s="450"/>
    </row>
  </sheetData>
  <conditionalFormatting sqref="F73:AL74">
    <cfRule type="containsBlanks" dxfId="6" priority="1">
      <formula>LEN(TRIM(F73))=0</formula>
    </cfRule>
  </conditionalFormatting>
  <conditionalFormatting sqref="F73:AL74">
    <cfRule type="notContainsBlanks" dxfId="5" priority="2">
      <formula>LEN(TRIM(F73))&gt;0</formula>
    </cfRule>
  </conditionalFormatting>
  <conditionalFormatting sqref="F3:F72 G3:L85 M3:AJ72 AK3:AL85 F74:F85 M74:AJ85">
    <cfRule type="notContainsBlanks" dxfId="5" priority="3">
      <formula>LEN(TRIM(F3))&gt;0</formula>
    </cfRule>
  </conditionalFormatting>
  <conditionalFormatting sqref="F30:AL30">
    <cfRule type="notContainsBlanks" dxfId="5" priority="4">
      <formula>LEN(TRIM(F30))&gt;0</formula>
    </cfRule>
  </conditionalFormatting>
  <conditionalFormatting sqref="F30:AL30">
    <cfRule type="containsBlanks" dxfId="6" priority="5">
      <formula>LEN(TRIM(F30))=0</formula>
    </cfRule>
  </conditionalFormatting>
  <conditionalFormatting sqref="F80:AL80">
    <cfRule type="containsBlanks" dxfId="6" priority="6">
      <formula>LEN(TRIM(F80))=0</formula>
    </cfRule>
  </conditionalFormatting>
  <conditionalFormatting sqref="F80:AL80">
    <cfRule type="notContainsBlanks" dxfId="5" priority="7">
      <formula>LEN(TRIM(F80))&gt;0</formula>
    </cfRule>
  </conditionalFormatting>
  <conditionalFormatting sqref="E3:E85">
    <cfRule type="colorScale" priority="8">
      <colorScale>
        <cfvo type="formula" val="0"/>
        <cfvo type="percent" val="50"/>
        <cfvo type="percent" val="100"/>
        <color rgb="FFFF0000"/>
        <color rgb="FFFFFF00"/>
        <color rgb="FF34A853"/>
      </colorScale>
    </cfRule>
  </conditionalFormatting>
  <conditionalFormatting sqref="F3:F72 G3:L85 M3:AJ72 AK3:AL85 F74:F85 M74:AJ85">
    <cfRule type="containsBlanks" dxfId="6" priority="9">
      <formula>LEN(TRIM(F3))=0</formula>
    </cfRule>
  </conditionalFormatting>
  <dataValidations>
    <dataValidation type="custom" allowBlank="1" showDropDown="1" sqref="J3:J200 L3:L200 O3:P200 AB3:AC200">
      <formula1>OR(NOT(ISERROR(DATEVALUE(J3))), AND(ISNUMBER(J3), LEFT(CELL("format", J3))="D"))</formula1>
    </dataValidation>
    <dataValidation allowBlank="1" showDropDown="1" sqref="F3:F200 K3:K200 AG3:AG200"/>
  </dataValidations>
  <printOptions gridLines="1" horizontalCentered="1"/>
  <pageMargins bottom="0.25" footer="0.0" header="0.0" left="0.4624316028293075" right="0.4073802215401042" top="0.25"/>
  <pageSetup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5"/>
    <col customWidth="1" min="3" max="3" width="6.75"/>
    <col customWidth="1" min="4" max="4" width="10.0"/>
    <col customWidth="1" min="5" max="5" width="49.75"/>
    <col customWidth="1" min="6" max="6" width="19.13"/>
    <col customWidth="1" min="7" max="7" width="17.75"/>
    <col customWidth="1" min="8" max="8" width="14.88"/>
    <col customWidth="1" min="9" max="9" width="21.13"/>
  </cols>
  <sheetData>
    <row r="1">
      <c r="B1" s="1"/>
      <c r="C1" s="1"/>
      <c r="D1" s="1"/>
      <c r="E1" s="2" t="s">
        <v>0</v>
      </c>
      <c r="F1" s="3"/>
    </row>
    <row r="2">
      <c r="A2" s="4" t="s">
        <v>2</v>
      </c>
      <c r="B2" s="5" t="s">
        <v>3</v>
      </c>
      <c r="C2" s="7" t="s">
        <v>4</v>
      </c>
      <c r="D2" s="8" t="s">
        <v>5</v>
      </c>
      <c r="E2" s="11" t="s">
        <v>6</v>
      </c>
      <c r="F2" s="12" t="s">
        <v>5</v>
      </c>
      <c r="H2" s="15"/>
      <c r="I2" s="15"/>
    </row>
    <row r="3">
      <c r="A3" s="18">
        <v>46300.0</v>
      </c>
      <c r="B3" s="19">
        <v>300.0</v>
      </c>
      <c r="C3" s="21"/>
      <c r="D3" s="22" t="s">
        <v>11</v>
      </c>
      <c r="E3" s="24" t="s">
        <v>12</v>
      </c>
      <c r="F3" s="28" t="s">
        <v>15</v>
      </c>
      <c r="G3" s="30" t="s">
        <v>17</v>
      </c>
      <c r="H3" s="31" t="s">
        <v>19</v>
      </c>
      <c r="I3" s="33" t="s">
        <v>21</v>
      </c>
    </row>
    <row r="4">
      <c r="A4" s="18">
        <v>46300.0</v>
      </c>
      <c r="B4" s="19">
        <v>350.0</v>
      </c>
      <c r="C4" s="21"/>
      <c r="D4" s="22" t="s">
        <v>11</v>
      </c>
      <c r="E4" s="36" t="s">
        <v>23</v>
      </c>
      <c r="F4" s="28" t="s">
        <v>15</v>
      </c>
      <c r="G4" s="42">
        <f>SUM(B3:B50)</f>
        <v>4437</v>
      </c>
      <c r="H4" s="49">
        <f>SUM(C3:C42)</f>
        <v>0</v>
      </c>
      <c r="I4" s="53">
        <f>G4-H4</f>
        <v>4437</v>
      </c>
    </row>
    <row r="5">
      <c r="A5" s="18">
        <v>46301.0</v>
      </c>
      <c r="B5" s="19">
        <v>350.0</v>
      </c>
      <c r="C5" s="21"/>
      <c r="D5" s="22" t="s">
        <v>11</v>
      </c>
      <c r="E5" s="24" t="s">
        <v>45</v>
      </c>
      <c r="F5" s="28" t="s">
        <v>15</v>
      </c>
    </row>
    <row r="6">
      <c r="A6" s="18">
        <v>46302.0</v>
      </c>
      <c r="B6" s="19">
        <v>332.0</v>
      </c>
      <c r="C6" s="21"/>
      <c r="D6" s="22" t="s">
        <v>51</v>
      </c>
      <c r="E6" s="36" t="s">
        <v>53</v>
      </c>
      <c r="F6" s="28" t="s">
        <v>15</v>
      </c>
    </row>
    <row r="7">
      <c r="A7" s="18">
        <v>46303.0</v>
      </c>
      <c r="B7" s="19">
        <v>230.0</v>
      </c>
      <c r="C7" s="21"/>
      <c r="D7" s="22" t="s">
        <v>11</v>
      </c>
      <c r="E7" s="24" t="s">
        <v>58</v>
      </c>
      <c r="F7" s="28" t="s">
        <v>15</v>
      </c>
    </row>
    <row r="8">
      <c r="A8" s="18">
        <v>46303.0</v>
      </c>
      <c r="B8" s="19">
        <v>85.0</v>
      </c>
      <c r="C8" s="21"/>
      <c r="D8" s="22" t="s">
        <v>60</v>
      </c>
      <c r="E8" s="24" t="s">
        <v>61</v>
      </c>
      <c r="F8" s="28" t="s">
        <v>62</v>
      </c>
    </row>
    <row r="9">
      <c r="A9" s="18">
        <v>46303.0</v>
      </c>
      <c r="B9" s="19">
        <v>225.0</v>
      </c>
      <c r="C9" s="21"/>
      <c r="D9" s="22" t="s">
        <v>60</v>
      </c>
      <c r="E9" s="36" t="s">
        <v>63</v>
      </c>
      <c r="F9" s="28" t="s">
        <v>15</v>
      </c>
    </row>
    <row r="10">
      <c r="A10" s="18">
        <v>46303.0</v>
      </c>
      <c r="B10" s="19">
        <v>250.0</v>
      </c>
      <c r="C10" s="21"/>
      <c r="D10" s="22" t="s">
        <v>11</v>
      </c>
      <c r="E10" s="24" t="s">
        <v>64</v>
      </c>
      <c r="F10" s="28" t="s">
        <v>15</v>
      </c>
    </row>
    <row r="11">
      <c r="A11" s="18">
        <v>46304.0</v>
      </c>
      <c r="B11" s="19">
        <v>250.0</v>
      </c>
      <c r="C11" s="21"/>
      <c r="D11" s="22" t="s">
        <v>60</v>
      </c>
      <c r="E11" s="24" t="s">
        <v>65</v>
      </c>
      <c r="F11" s="28" t="s">
        <v>15</v>
      </c>
    </row>
    <row r="12">
      <c r="A12" s="18">
        <v>46304.0</v>
      </c>
      <c r="B12" s="19">
        <v>65.0</v>
      </c>
      <c r="C12" s="21"/>
      <c r="D12" s="22" t="s">
        <v>66</v>
      </c>
      <c r="E12" s="36" t="s">
        <v>67</v>
      </c>
      <c r="F12" s="28" t="s">
        <v>62</v>
      </c>
    </row>
    <row r="13">
      <c r="A13" s="18">
        <v>46304.0</v>
      </c>
      <c r="B13" s="19">
        <v>140.0</v>
      </c>
      <c r="C13" s="21"/>
      <c r="D13" s="22" t="s">
        <v>51</v>
      </c>
      <c r="E13" s="36" t="s">
        <v>69</v>
      </c>
      <c r="F13" s="28" t="s">
        <v>15</v>
      </c>
    </row>
    <row r="14">
      <c r="A14" s="18">
        <v>46304.0</v>
      </c>
      <c r="B14" s="19">
        <v>110.0</v>
      </c>
      <c r="C14" s="21"/>
      <c r="D14" s="22" t="s">
        <v>60</v>
      </c>
      <c r="E14" s="36" t="s">
        <v>69</v>
      </c>
      <c r="F14" s="28" t="s">
        <v>15</v>
      </c>
    </row>
    <row r="15">
      <c r="A15" s="18">
        <v>46304.0</v>
      </c>
      <c r="B15" s="19">
        <v>350.0</v>
      </c>
      <c r="C15" s="21"/>
      <c r="D15" s="22" t="s">
        <v>11</v>
      </c>
      <c r="E15" s="24" t="s">
        <v>71</v>
      </c>
      <c r="F15" s="28" t="s">
        <v>15</v>
      </c>
    </row>
    <row r="16">
      <c r="A16" s="18">
        <v>46304.0</v>
      </c>
      <c r="B16" s="19">
        <v>350.0</v>
      </c>
      <c r="C16" s="21"/>
      <c r="D16" s="22" t="s">
        <v>11</v>
      </c>
      <c r="E16" s="24" t="s">
        <v>72</v>
      </c>
      <c r="F16" s="28" t="s">
        <v>15</v>
      </c>
    </row>
    <row r="17">
      <c r="A17" s="18">
        <v>46308.0</v>
      </c>
      <c r="B17" s="19">
        <v>250.0</v>
      </c>
      <c r="C17" s="21"/>
      <c r="D17" s="22" t="s">
        <v>11</v>
      </c>
      <c r="E17" s="36" t="s">
        <v>73</v>
      </c>
      <c r="F17" s="28" t="s">
        <v>15</v>
      </c>
    </row>
    <row r="18">
      <c r="A18" s="18">
        <v>46308.0</v>
      </c>
      <c r="B18" s="19">
        <v>300.0</v>
      </c>
      <c r="C18" s="21"/>
      <c r="D18" s="22" t="s">
        <v>11</v>
      </c>
      <c r="E18" s="24" t="s">
        <v>75</v>
      </c>
      <c r="F18" s="28" t="s">
        <v>15</v>
      </c>
    </row>
    <row r="19">
      <c r="A19" s="18">
        <v>46308.0</v>
      </c>
      <c r="B19" s="19">
        <v>250.0</v>
      </c>
      <c r="C19" s="21"/>
      <c r="D19" s="22" t="s">
        <v>11</v>
      </c>
      <c r="E19" s="24" t="s">
        <v>76</v>
      </c>
      <c r="F19" s="28" t="s">
        <v>15</v>
      </c>
    </row>
    <row r="20">
      <c r="A20" s="18">
        <v>46308.0</v>
      </c>
      <c r="B20" s="19">
        <v>250.0</v>
      </c>
      <c r="C20" s="21"/>
      <c r="D20" s="22" t="s">
        <v>11</v>
      </c>
      <c r="E20" s="24" t="s">
        <v>78</v>
      </c>
      <c r="F20" s="61" t="s">
        <v>15</v>
      </c>
    </row>
    <row r="21">
      <c r="A21" s="18"/>
      <c r="B21" s="19"/>
      <c r="C21" s="21"/>
      <c r="D21" s="22"/>
      <c r="E21" s="36"/>
      <c r="F21" s="61"/>
    </row>
    <row r="22">
      <c r="A22" s="18"/>
      <c r="B22" s="19"/>
      <c r="C22" s="21"/>
      <c r="D22" s="22"/>
      <c r="E22" s="36"/>
      <c r="F22" s="61"/>
    </row>
    <row r="23">
      <c r="A23" s="18"/>
      <c r="B23" s="19"/>
      <c r="C23" s="21"/>
      <c r="D23" s="22"/>
      <c r="E23" s="36"/>
      <c r="F23" s="61"/>
    </row>
    <row r="24">
      <c r="A24" s="18"/>
      <c r="B24" s="19"/>
      <c r="C24" s="21"/>
      <c r="D24" s="22"/>
      <c r="E24" s="63"/>
      <c r="F24" s="61"/>
    </row>
    <row r="25">
      <c r="A25" s="18"/>
      <c r="B25" s="19"/>
      <c r="C25" s="21"/>
      <c r="D25" s="22"/>
      <c r="E25" s="63"/>
      <c r="F25" s="61"/>
    </row>
    <row r="26">
      <c r="A26" s="18"/>
      <c r="B26" s="19"/>
      <c r="C26" s="21"/>
      <c r="D26" s="22"/>
      <c r="E26" s="63"/>
      <c r="F26" s="61"/>
    </row>
    <row r="27">
      <c r="A27" s="18"/>
      <c r="B27" s="19"/>
      <c r="C27" s="21"/>
      <c r="D27" s="22"/>
      <c r="E27" s="65"/>
      <c r="F27" s="61"/>
    </row>
    <row r="28">
      <c r="A28" s="18"/>
      <c r="B28" s="19"/>
      <c r="C28" s="21"/>
      <c r="D28" s="22"/>
      <c r="E28" s="63"/>
      <c r="F28" s="61"/>
      <c r="G28" s="30" t="s">
        <v>82</v>
      </c>
      <c r="H28" s="30">
        <f>SUM(B28,B40,B44)</f>
        <v>0</v>
      </c>
    </row>
    <row r="29">
      <c r="A29" s="18"/>
      <c r="B29" s="19"/>
      <c r="C29" s="21"/>
      <c r="D29" s="22"/>
      <c r="E29" s="63"/>
      <c r="F29" s="61"/>
      <c r="G29" s="42" t="s">
        <v>84</v>
      </c>
      <c r="H29" s="42">
        <f>SUM(B3:B15,B17:B20,B23:B27,B29:B33,B35:B39,B42:B43,B45:B48)</f>
        <v>4087</v>
      </c>
    </row>
    <row r="30">
      <c r="A30" s="18"/>
      <c r="B30" s="19"/>
      <c r="C30" s="21"/>
      <c r="D30" s="22"/>
      <c r="E30" s="63"/>
      <c r="F30" s="61"/>
      <c r="G30" s="30" t="s">
        <v>85</v>
      </c>
      <c r="H30" s="30">
        <f>SUM(B22,B21,B16,B34,B41)</f>
        <v>350</v>
      </c>
    </row>
    <row r="31">
      <c r="A31" s="18"/>
      <c r="B31" s="19"/>
      <c r="C31" s="21"/>
      <c r="D31" s="22"/>
      <c r="E31" s="63"/>
      <c r="F31" s="61"/>
      <c r="G31" s="42"/>
      <c r="H31" s="42"/>
    </row>
    <row r="32">
      <c r="A32" s="18"/>
      <c r="B32" s="19"/>
      <c r="C32" s="21"/>
      <c r="D32" s="22"/>
      <c r="E32" s="63"/>
      <c r="F32" s="61"/>
      <c r="G32" s="42" t="s">
        <v>86</v>
      </c>
      <c r="H32" s="42">
        <f>SUM(H28:H30)</f>
        <v>4437</v>
      </c>
    </row>
    <row r="33">
      <c r="A33" s="18"/>
      <c r="B33" s="19"/>
      <c r="C33" s="21"/>
      <c r="D33" s="22"/>
      <c r="E33" s="63"/>
      <c r="F33" s="61"/>
    </row>
    <row r="34">
      <c r="A34" s="18"/>
      <c r="B34" s="19"/>
      <c r="C34" s="21"/>
      <c r="D34" s="22"/>
      <c r="E34" s="63"/>
      <c r="F34" s="61"/>
    </row>
    <row r="35">
      <c r="A35" s="18"/>
      <c r="B35" s="19"/>
      <c r="C35" s="21"/>
      <c r="D35" s="22"/>
      <c r="E35" s="65"/>
      <c r="F35" s="61"/>
    </row>
    <row r="36">
      <c r="A36" s="18"/>
      <c r="B36" s="19"/>
      <c r="C36" s="21"/>
      <c r="D36" s="22"/>
      <c r="E36" s="65"/>
      <c r="F36" s="61"/>
    </row>
    <row r="37">
      <c r="A37" s="18"/>
      <c r="B37" s="19"/>
      <c r="C37" s="21"/>
      <c r="D37" s="22"/>
      <c r="E37" s="63"/>
      <c r="F37" s="61"/>
    </row>
    <row r="38">
      <c r="A38" s="18"/>
      <c r="B38" s="19"/>
      <c r="C38" s="21"/>
      <c r="D38" s="22"/>
      <c r="E38" s="63"/>
      <c r="F38" s="61"/>
    </row>
    <row r="39">
      <c r="A39" s="18"/>
      <c r="B39" s="19"/>
      <c r="C39" s="21"/>
      <c r="D39" s="22"/>
      <c r="E39" s="65"/>
      <c r="F39" s="61"/>
    </row>
    <row r="40">
      <c r="A40" s="18"/>
      <c r="B40" s="19"/>
      <c r="C40" s="21"/>
      <c r="D40" s="22"/>
      <c r="E40" s="65"/>
      <c r="F40" s="61"/>
    </row>
    <row r="41">
      <c r="A41" s="18"/>
      <c r="B41" s="19"/>
      <c r="C41" s="21"/>
      <c r="D41" s="22"/>
      <c r="E41" s="65"/>
      <c r="F41" s="61"/>
    </row>
    <row r="42">
      <c r="A42" s="18"/>
      <c r="B42" s="19"/>
      <c r="C42" s="21"/>
      <c r="D42" s="22"/>
      <c r="E42" s="63"/>
      <c r="F42" s="61"/>
    </row>
    <row r="43">
      <c r="A43" s="18"/>
      <c r="B43" s="19"/>
      <c r="C43" s="21"/>
      <c r="D43" s="22"/>
      <c r="E43" s="65"/>
      <c r="F43" s="61"/>
    </row>
    <row r="44">
      <c r="A44" s="18"/>
      <c r="B44" s="19"/>
      <c r="C44" s="21"/>
      <c r="D44" s="22"/>
      <c r="E44" s="63"/>
      <c r="F44" s="61"/>
    </row>
    <row r="45">
      <c r="A45" s="18"/>
      <c r="B45" s="19"/>
      <c r="C45" s="21"/>
      <c r="D45" s="22"/>
      <c r="E45" s="65"/>
      <c r="F45" s="61"/>
    </row>
    <row r="46">
      <c r="A46" s="18"/>
      <c r="B46" s="19"/>
      <c r="C46" s="21"/>
      <c r="D46" s="22"/>
      <c r="E46" s="63"/>
      <c r="F46" s="61"/>
    </row>
    <row r="47">
      <c r="A47" s="18"/>
      <c r="B47" s="19"/>
      <c r="C47" s="21"/>
      <c r="D47" s="22"/>
      <c r="E47" s="63"/>
      <c r="F47" s="61"/>
    </row>
    <row r="48">
      <c r="A48" s="18"/>
      <c r="B48" s="19"/>
      <c r="C48" s="21"/>
      <c r="D48" s="22"/>
      <c r="E48" s="65"/>
      <c r="F48" s="61"/>
    </row>
    <row r="49">
      <c r="A49" s="18"/>
      <c r="B49" s="19"/>
      <c r="C49" s="21"/>
      <c r="D49" s="22"/>
      <c r="E49" s="63"/>
      <c r="F49" s="61"/>
    </row>
    <row r="50">
      <c r="A50" s="18"/>
      <c r="B50" s="19"/>
      <c r="C50" s="21"/>
      <c r="D50" s="22"/>
      <c r="E50" s="63"/>
      <c r="F50" s="61"/>
    </row>
    <row r="51">
      <c r="A51" s="18"/>
      <c r="B51" s="19"/>
      <c r="C51" s="21"/>
      <c r="D51" s="22"/>
      <c r="E51" s="65"/>
      <c r="F51" s="61"/>
    </row>
    <row r="52">
      <c r="A52" s="18"/>
      <c r="B52" s="19"/>
      <c r="C52" s="21"/>
      <c r="D52" s="22"/>
      <c r="E52" s="65"/>
      <c r="F52" s="61"/>
    </row>
    <row r="53">
      <c r="A53" s="18"/>
      <c r="B53" s="19"/>
      <c r="C53" s="21"/>
      <c r="D53" s="22"/>
      <c r="E53" s="65"/>
      <c r="F53" s="61"/>
    </row>
    <row r="54">
      <c r="A54" s="18"/>
      <c r="B54" s="19"/>
      <c r="C54" s="21"/>
      <c r="D54" s="22"/>
      <c r="E54" s="65"/>
      <c r="F54" s="61"/>
    </row>
    <row r="55">
      <c r="A55" s="18"/>
      <c r="B55" s="19"/>
      <c r="C55" s="21"/>
      <c r="D55" s="22"/>
      <c r="E55" s="65"/>
      <c r="F55" s="61"/>
    </row>
    <row r="56">
      <c r="A56" s="18"/>
      <c r="B56" s="19"/>
      <c r="C56" s="21"/>
      <c r="D56" s="22"/>
      <c r="E56" s="65"/>
      <c r="F56" s="61"/>
    </row>
    <row r="57">
      <c r="A57" s="18"/>
      <c r="B57" s="19"/>
      <c r="C57" s="21"/>
      <c r="D57" s="22"/>
      <c r="E57" s="65"/>
      <c r="F57" s="61"/>
    </row>
    <row r="58">
      <c r="A58" s="18"/>
      <c r="B58" s="19"/>
      <c r="C58" s="21"/>
      <c r="D58" s="22"/>
      <c r="E58" s="63"/>
      <c r="F58" s="61"/>
    </row>
    <row r="59">
      <c r="A59" s="18"/>
      <c r="B59" s="19"/>
      <c r="C59" s="21"/>
      <c r="D59" s="22"/>
      <c r="E59" s="65"/>
      <c r="F59" s="61"/>
    </row>
    <row r="60">
      <c r="A60" s="68"/>
      <c r="B60" s="69"/>
      <c r="C60" s="70"/>
      <c r="D60" s="71"/>
      <c r="E60" s="71"/>
      <c r="F60" s="71"/>
    </row>
    <row r="61">
      <c r="A61" s="68"/>
      <c r="B61" s="69"/>
      <c r="C61" s="70"/>
      <c r="D61" s="71"/>
      <c r="E61" s="71"/>
      <c r="F61" s="71"/>
    </row>
    <row r="62">
      <c r="A62" s="68"/>
      <c r="B62" s="69"/>
      <c r="C62" s="70"/>
      <c r="D62" s="71"/>
      <c r="E62" s="71"/>
      <c r="F62" s="71"/>
    </row>
    <row r="63">
      <c r="A63" s="68"/>
      <c r="B63" s="69"/>
      <c r="C63" s="70"/>
      <c r="D63" s="71"/>
      <c r="E63" s="71"/>
      <c r="F63" s="71"/>
    </row>
    <row r="64">
      <c r="A64" s="68"/>
      <c r="B64" s="69"/>
      <c r="C64" s="70"/>
      <c r="D64" s="71"/>
      <c r="E64" s="71"/>
      <c r="F64" s="71"/>
    </row>
    <row r="65">
      <c r="A65" s="68"/>
      <c r="B65" s="69"/>
      <c r="C65" s="70"/>
      <c r="D65" s="71"/>
      <c r="E65" s="71"/>
      <c r="F65" s="71"/>
    </row>
    <row r="66">
      <c r="A66" s="68"/>
      <c r="B66" s="69"/>
      <c r="C66" s="70"/>
      <c r="D66" s="71"/>
      <c r="E66" s="71"/>
      <c r="F66" s="71"/>
    </row>
    <row r="67">
      <c r="A67" s="68"/>
      <c r="B67" s="69"/>
      <c r="C67" s="70"/>
      <c r="D67" s="71"/>
      <c r="E67" s="71"/>
      <c r="F67" s="71"/>
    </row>
    <row r="68">
      <c r="A68" s="68"/>
      <c r="B68" s="69"/>
      <c r="C68" s="70"/>
      <c r="D68" s="71"/>
      <c r="E68" s="71"/>
      <c r="F68" s="71"/>
    </row>
    <row r="69">
      <c r="A69" s="68"/>
      <c r="B69" s="69"/>
      <c r="C69" s="70"/>
      <c r="D69" s="71"/>
      <c r="E69" s="71"/>
      <c r="F69" s="71"/>
    </row>
    <row r="70">
      <c r="A70" s="68"/>
      <c r="B70" s="69"/>
      <c r="C70" s="70"/>
      <c r="D70" s="71"/>
      <c r="E70" s="71"/>
      <c r="F70" s="71"/>
    </row>
    <row r="71">
      <c r="A71" s="68"/>
      <c r="B71" s="69"/>
      <c r="C71" s="70"/>
      <c r="D71" s="71"/>
      <c r="E71" s="71"/>
      <c r="F71" s="71"/>
    </row>
    <row r="72">
      <c r="A72" s="68"/>
      <c r="B72" s="69"/>
      <c r="C72" s="70"/>
      <c r="D72" s="71"/>
      <c r="E72" s="71"/>
      <c r="F72" s="71"/>
    </row>
    <row r="73">
      <c r="A73" s="68"/>
      <c r="B73" s="69"/>
      <c r="C73" s="70"/>
      <c r="D73" s="71"/>
      <c r="E73" s="71"/>
      <c r="F73" s="71"/>
    </row>
    <row r="74">
      <c r="A74" s="68"/>
      <c r="B74" s="69"/>
      <c r="C74" s="70"/>
      <c r="D74" s="71"/>
      <c r="E74" s="71"/>
      <c r="F74" s="71"/>
    </row>
    <row r="75">
      <c r="A75" s="68"/>
      <c r="B75" s="69"/>
      <c r="C75" s="73"/>
      <c r="D75" s="71"/>
      <c r="E75" s="71"/>
      <c r="F75" s="71"/>
    </row>
    <row r="76">
      <c r="A76" s="68"/>
      <c r="B76" s="69"/>
      <c r="C76" s="73"/>
      <c r="D76" s="71"/>
      <c r="E76" s="71"/>
      <c r="F76" s="71"/>
    </row>
    <row r="77">
      <c r="A77" s="68"/>
      <c r="B77" s="69"/>
      <c r="C77" s="73"/>
      <c r="D77" s="71"/>
      <c r="E77" s="71"/>
      <c r="F77" s="71"/>
    </row>
    <row r="78">
      <c r="A78" s="68"/>
      <c r="B78" s="69"/>
      <c r="C78" s="73"/>
      <c r="D78" s="71"/>
      <c r="E78" s="71"/>
      <c r="F78" s="71"/>
    </row>
    <row r="79">
      <c r="A79" s="68"/>
      <c r="B79" s="69"/>
      <c r="C79" s="73"/>
      <c r="D79" s="71"/>
      <c r="E79" s="71"/>
      <c r="F79" s="71"/>
    </row>
    <row r="80">
      <c r="A80" s="68"/>
      <c r="B80" s="69"/>
      <c r="C80" s="73"/>
      <c r="D80" s="71"/>
      <c r="E80" s="71"/>
      <c r="F80" s="71"/>
    </row>
    <row r="81">
      <c r="A81" s="68"/>
      <c r="B81" s="69"/>
      <c r="C81" s="73"/>
      <c r="D81" s="71"/>
      <c r="E81" s="71"/>
      <c r="F81" s="71"/>
    </row>
    <row r="82">
      <c r="A82" s="68"/>
      <c r="B82" s="69"/>
      <c r="C82" s="73"/>
      <c r="D82" s="71"/>
      <c r="E82" s="71"/>
      <c r="F82" s="71"/>
    </row>
    <row r="83">
      <c r="A83" s="68"/>
      <c r="B83" s="69"/>
      <c r="C83" s="73"/>
      <c r="D83" s="71"/>
      <c r="E83" s="71"/>
      <c r="F83" s="71"/>
    </row>
    <row r="84">
      <c r="A84" s="68"/>
      <c r="B84" s="69"/>
      <c r="C84" s="73"/>
      <c r="D84" s="71"/>
      <c r="E84" s="71"/>
      <c r="F84" s="71"/>
    </row>
    <row r="85">
      <c r="A85" s="68"/>
      <c r="B85" s="69"/>
      <c r="C85" s="73"/>
      <c r="D85" s="71"/>
      <c r="E85" s="71"/>
      <c r="F85" s="71"/>
    </row>
    <row r="86">
      <c r="A86" s="68"/>
      <c r="B86" s="69"/>
      <c r="C86" s="73"/>
      <c r="D86" s="71"/>
      <c r="E86" s="71"/>
      <c r="F86" s="71"/>
    </row>
    <row r="87">
      <c r="A87" s="68"/>
      <c r="B87" s="69"/>
      <c r="C87" s="73"/>
      <c r="D87" s="71"/>
      <c r="E87" s="71"/>
      <c r="F87" s="71"/>
    </row>
    <row r="88">
      <c r="A88" s="68"/>
      <c r="B88" s="69"/>
      <c r="C88" s="73"/>
      <c r="D88" s="71"/>
      <c r="E88" s="71"/>
      <c r="F88" s="71"/>
    </row>
    <row r="89">
      <c r="A89" s="68"/>
      <c r="B89" s="69"/>
      <c r="C89" s="73"/>
      <c r="D89" s="71"/>
      <c r="E89" s="71"/>
      <c r="F89" s="71"/>
    </row>
    <row r="90">
      <c r="A90" s="68"/>
      <c r="B90" s="69"/>
      <c r="C90" s="73"/>
      <c r="D90" s="71"/>
      <c r="E90" s="71"/>
      <c r="F90" s="71"/>
    </row>
    <row r="91">
      <c r="A91" s="68"/>
      <c r="B91" s="69"/>
      <c r="C91" s="73"/>
      <c r="D91" s="71"/>
      <c r="E91" s="71"/>
      <c r="F91" s="71"/>
    </row>
    <row r="92">
      <c r="A92" s="68"/>
      <c r="B92" s="69"/>
      <c r="C92" s="73"/>
      <c r="D92" s="71"/>
      <c r="E92" s="71"/>
      <c r="F92" s="71"/>
    </row>
    <row r="93">
      <c r="A93" s="68"/>
      <c r="B93" s="69"/>
      <c r="C93" s="73"/>
      <c r="D93" s="71"/>
      <c r="E93" s="71"/>
      <c r="F93" s="71"/>
    </row>
    <row r="94">
      <c r="A94" s="68"/>
      <c r="B94" s="69"/>
      <c r="C94" s="73"/>
      <c r="D94" s="71"/>
      <c r="E94" s="71"/>
      <c r="F94" s="71"/>
    </row>
    <row r="95">
      <c r="A95" s="68"/>
      <c r="B95" s="69"/>
      <c r="C95" s="73"/>
      <c r="D95" s="71"/>
      <c r="E95" s="71"/>
      <c r="F95" s="71"/>
    </row>
    <row r="96">
      <c r="A96" s="68"/>
      <c r="B96" s="69"/>
      <c r="C96" s="73"/>
      <c r="D96" s="71"/>
      <c r="E96" s="71"/>
      <c r="F96" s="71"/>
    </row>
    <row r="97">
      <c r="A97" s="68"/>
      <c r="B97" s="69"/>
      <c r="C97" s="73"/>
      <c r="D97" s="71"/>
      <c r="E97" s="71"/>
      <c r="F97" s="71"/>
    </row>
    <row r="98">
      <c r="A98" s="68"/>
      <c r="B98" s="69"/>
      <c r="C98" s="73"/>
      <c r="D98" s="71"/>
      <c r="E98" s="71"/>
      <c r="F98" s="71"/>
    </row>
    <row r="99">
      <c r="A99" s="68"/>
      <c r="B99" s="69"/>
      <c r="C99" s="73"/>
      <c r="D99" s="71"/>
      <c r="E99" s="71"/>
      <c r="F99" s="71"/>
    </row>
    <row r="100">
      <c r="A100" s="68"/>
      <c r="B100" s="69"/>
      <c r="C100" s="73"/>
      <c r="D100" s="71"/>
      <c r="E100" s="71"/>
      <c r="F100" s="71"/>
    </row>
    <row r="101">
      <c r="A101" s="68"/>
      <c r="B101" s="69"/>
      <c r="C101" s="73"/>
      <c r="D101" s="71"/>
      <c r="E101" s="71"/>
      <c r="F101" s="71"/>
    </row>
    <row r="102">
      <c r="A102" s="68"/>
      <c r="B102" s="69"/>
      <c r="C102" s="73"/>
      <c r="D102" s="71"/>
      <c r="E102" s="71"/>
      <c r="F102" s="71"/>
    </row>
    <row r="103">
      <c r="A103" s="68"/>
      <c r="B103" s="69"/>
      <c r="C103" s="73"/>
      <c r="D103" s="71"/>
      <c r="E103" s="71"/>
      <c r="F103" s="71"/>
    </row>
    <row r="104">
      <c r="A104" s="68"/>
      <c r="B104" s="69"/>
      <c r="C104" s="73"/>
      <c r="D104" s="71"/>
      <c r="E104" s="71"/>
      <c r="F104" s="71"/>
    </row>
    <row r="105">
      <c r="A105" s="68"/>
      <c r="B105" s="69"/>
      <c r="C105" s="73"/>
      <c r="D105" s="71"/>
      <c r="E105" s="71"/>
      <c r="F105" s="71"/>
    </row>
    <row r="106">
      <c r="A106" s="68"/>
      <c r="B106" s="69"/>
      <c r="C106" s="73"/>
      <c r="D106" s="71"/>
      <c r="E106" s="71"/>
      <c r="F106" s="71"/>
    </row>
    <row r="107">
      <c r="A107" s="68"/>
      <c r="B107" s="69"/>
      <c r="C107" s="73"/>
      <c r="D107" s="71"/>
      <c r="E107" s="71"/>
      <c r="F107" s="71"/>
    </row>
    <row r="108">
      <c r="A108" s="68"/>
      <c r="B108" s="69"/>
      <c r="C108" s="73"/>
      <c r="D108" s="71"/>
      <c r="E108" s="71"/>
      <c r="F108" s="71"/>
    </row>
    <row r="109">
      <c r="A109" s="68"/>
      <c r="B109" s="69"/>
      <c r="C109" s="73"/>
      <c r="D109" s="71"/>
      <c r="E109" s="71"/>
      <c r="F109" s="71"/>
    </row>
    <row r="110">
      <c r="A110" s="68"/>
      <c r="B110" s="69"/>
      <c r="C110" s="73"/>
      <c r="D110" s="71"/>
      <c r="E110" s="71"/>
      <c r="F110" s="71"/>
    </row>
    <row r="111">
      <c r="A111" s="68"/>
      <c r="B111" s="69"/>
      <c r="C111" s="73"/>
      <c r="D111" s="71"/>
      <c r="E111" s="71"/>
      <c r="F111" s="71"/>
    </row>
    <row r="112">
      <c r="A112" s="68"/>
      <c r="B112" s="69"/>
      <c r="C112" s="73"/>
      <c r="D112" s="71"/>
      <c r="E112" s="71"/>
      <c r="F112" s="71"/>
    </row>
    <row r="113">
      <c r="A113" s="68"/>
      <c r="B113" s="69"/>
      <c r="C113" s="73"/>
      <c r="D113" s="71"/>
      <c r="E113" s="71"/>
      <c r="F113" s="71"/>
    </row>
    <row r="114">
      <c r="A114" s="68"/>
      <c r="B114" s="69"/>
      <c r="C114" s="73"/>
      <c r="D114" s="71"/>
      <c r="E114" s="71"/>
      <c r="F114" s="71"/>
    </row>
    <row r="115">
      <c r="A115" s="68"/>
      <c r="B115" s="69"/>
      <c r="C115" s="73"/>
      <c r="D115" s="71"/>
      <c r="E115" s="71"/>
      <c r="F115" s="71"/>
    </row>
    <row r="116">
      <c r="A116" s="68"/>
      <c r="B116" s="69"/>
      <c r="C116" s="73"/>
      <c r="D116" s="71"/>
      <c r="E116" s="71"/>
      <c r="F116" s="71"/>
    </row>
    <row r="117">
      <c r="A117" s="68"/>
      <c r="B117" s="69"/>
      <c r="C117" s="73"/>
      <c r="D117" s="71"/>
      <c r="E117" s="71"/>
      <c r="F117" s="71"/>
    </row>
    <row r="118">
      <c r="A118" s="68"/>
      <c r="B118" s="69"/>
      <c r="C118" s="73"/>
      <c r="D118" s="71"/>
      <c r="E118" s="71"/>
      <c r="F118" s="71"/>
    </row>
    <row r="119">
      <c r="A119" s="68"/>
      <c r="B119" s="69"/>
      <c r="C119" s="73"/>
      <c r="D119" s="71"/>
      <c r="E119" s="71"/>
      <c r="F119" s="71"/>
    </row>
    <row r="120">
      <c r="A120" s="68"/>
      <c r="B120" s="69"/>
      <c r="C120" s="73"/>
      <c r="D120" s="71"/>
      <c r="E120" s="71"/>
      <c r="F120" s="71"/>
    </row>
    <row r="121">
      <c r="A121" s="68"/>
      <c r="B121" s="69"/>
      <c r="C121" s="73"/>
      <c r="D121" s="71"/>
      <c r="E121" s="71"/>
      <c r="F121" s="71"/>
    </row>
    <row r="122">
      <c r="A122" s="68"/>
      <c r="B122" s="69"/>
      <c r="C122" s="73"/>
      <c r="D122" s="71"/>
      <c r="E122" s="71"/>
      <c r="F122" s="71"/>
    </row>
    <row r="123">
      <c r="A123" s="68"/>
      <c r="B123" s="69"/>
      <c r="C123" s="73"/>
      <c r="D123" s="71"/>
      <c r="E123" s="71"/>
      <c r="F123" s="71"/>
    </row>
    <row r="124">
      <c r="A124" s="68"/>
      <c r="B124" s="69"/>
      <c r="C124" s="73"/>
      <c r="D124" s="71"/>
      <c r="E124" s="71"/>
      <c r="F124" s="71"/>
    </row>
    <row r="125">
      <c r="A125" s="68"/>
      <c r="B125" s="69"/>
      <c r="C125" s="73"/>
      <c r="D125" s="71"/>
      <c r="E125" s="71"/>
      <c r="F125" s="71"/>
    </row>
    <row r="126">
      <c r="A126" s="68"/>
      <c r="B126" s="69"/>
      <c r="C126" s="73"/>
      <c r="D126" s="71"/>
      <c r="E126" s="71"/>
      <c r="F126" s="71"/>
    </row>
    <row r="127">
      <c r="A127" s="68"/>
      <c r="B127" s="69"/>
      <c r="C127" s="73"/>
      <c r="D127" s="71"/>
      <c r="E127" s="71"/>
      <c r="F127" s="71"/>
    </row>
    <row r="128">
      <c r="A128" s="68"/>
      <c r="B128" s="69"/>
      <c r="C128" s="73"/>
      <c r="D128" s="71"/>
      <c r="E128" s="71"/>
      <c r="F128" s="71"/>
    </row>
    <row r="129">
      <c r="A129" s="68"/>
      <c r="B129" s="69"/>
      <c r="C129" s="73"/>
      <c r="D129" s="71"/>
      <c r="E129" s="71"/>
      <c r="F129" s="71"/>
    </row>
    <row r="130">
      <c r="A130" s="68"/>
      <c r="B130" s="69"/>
      <c r="C130" s="73"/>
      <c r="D130" s="71"/>
      <c r="E130" s="71"/>
      <c r="F130" s="71"/>
    </row>
    <row r="131">
      <c r="A131" s="68"/>
      <c r="B131" s="69"/>
      <c r="C131" s="73"/>
      <c r="D131" s="71"/>
      <c r="E131" s="71"/>
      <c r="F131" s="71"/>
    </row>
    <row r="132">
      <c r="A132" s="68"/>
      <c r="B132" s="69"/>
      <c r="C132" s="73"/>
      <c r="D132" s="71"/>
      <c r="E132" s="71"/>
      <c r="F132" s="71"/>
    </row>
    <row r="133">
      <c r="A133" s="68"/>
      <c r="B133" s="69"/>
      <c r="C133" s="73"/>
      <c r="D133" s="71"/>
      <c r="E133" s="71"/>
      <c r="F133" s="71"/>
    </row>
    <row r="134">
      <c r="A134" s="68"/>
      <c r="B134" s="69"/>
      <c r="C134" s="73"/>
      <c r="D134" s="71"/>
      <c r="E134" s="71"/>
      <c r="F134" s="71"/>
    </row>
    <row r="135">
      <c r="A135" s="68"/>
      <c r="B135" s="69"/>
      <c r="C135" s="73"/>
      <c r="D135" s="71"/>
      <c r="E135" s="71"/>
      <c r="F135" s="71"/>
    </row>
    <row r="136">
      <c r="A136" s="68"/>
      <c r="B136" s="69"/>
      <c r="C136" s="73"/>
      <c r="D136" s="71"/>
      <c r="E136" s="71"/>
      <c r="F136" s="71"/>
    </row>
    <row r="137">
      <c r="A137" s="68"/>
      <c r="B137" s="69"/>
      <c r="C137" s="73"/>
      <c r="D137" s="71"/>
      <c r="E137" s="71"/>
      <c r="F137" s="71"/>
    </row>
    <row r="138">
      <c r="A138" s="68"/>
      <c r="B138" s="69"/>
      <c r="C138" s="73"/>
      <c r="D138" s="71"/>
      <c r="E138" s="71"/>
      <c r="F138" s="71"/>
    </row>
    <row r="139">
      <c r="A139" s="68"/>
      <c r="B139" s="69"/>
      <c r="C139" s="73"/>
      <c r="D139" s="71"/>
      <c r="E139" s="71"/>
      <c r="F139" s="71"/>
    </row>
    <row r="140">
      <c r="A140" s="68"/>
      <c r="B140" s="69"/>
      <c r="C140" s="73"/>
      <c r="D140" s="71"/>
      <c r="E140" s="71"/>
      <c r="F140" s="71"/>
    </row>
    <row r="141">
      <c r="A141" s="68"/>
      <c r="B141" s="69"/>
      <c r="C141" s="73"/>
      <c r="D141" s="71"/>
      <c r="E141" s="71"/>
      <c r="F141" s="71"/>
    </row>
    <row r="142">
      <c r="A142" s="68"/>
      <c r="B142" s="69"/>
      <c r="C142" s="73"/>
      <c r="D142" s="71"/>
      <c r="E142" s="71"/>
      <c r="F142" s="71"/>
    </row>
    <row r="143">
      <c r="A143" s="68"/>
      <c r="B143" s="69"/>
      <c r="C143" s="73"/>
      <c r="D143" s="71"/>
      <c r="E143" s="71"/>
      <c r="F143" s="71"/>
    </row>
    <row r="144">
      <c r="A144" s="68"/>
      <c r="B144" s="69"/>
      <c r="C144" s="73"/>
      <c r="D144" s="71"/>
      <c r="E144" s="71"/>
      <c r="F144" s="71"/>
    </row>
    <row r="145">
      <c r="A145" s="68"/>
      <c r="B145" s="69"/>
      <c r="C145" s="73"/>
      <c r="D145" s="71"/>
      <c r="E145" s="71"/>
      <c r="F145" s="71"/>
    </row>
    <row r="146">
      <c r="A146" s="68"/>
      <c r="B146" s="69"/>
      <c r="C146" s="73"/>
      <c r="D146" s="71"/>
      <c r="E146" s="71"/>
      <c r="F146" s="71"/>
    </row>
    <row r="147">
      <c r="A147" s="68"/>
      <c r="B147" s="69"/>
      <c r="C147" s="73"/>
      <c r="D147" s="71"/>
      <c r="E147" s="71"/>
      <c r="F147" s="71"/>
    </row>
    <row r="148">
      <c r="A148" s="68"/>
      <c r="B148" s="69"/>
      <c r="C148" s="73"/>
      <c r="D148" s="71"/>
      <c r="E148" s="71"/>
      <c r="F148" s="71"/>
    </row>
    <row r="149">
      <c r="A149" s="68"/>
      <c r="B149" s="69"/>
      <c r="C149" s="73"/>
      <c r="D149" s="71"/>
      <c r="E149" s="71"/>
      <c r="F149" s="71"/>
    </row>
    <row r="150">
      <c r="A150" s="68"/>
      <c r="B150" s="69"/>
      <c r="C150" s="73"/>
      <c r="D150" s="71"/>
      <c r="E150" s="71"/>
      <c r="F150" s="71"/>
    </row>
    <row r="151">
      <c r="A151" s="68"/>
      <c r="B151" s="69"/>
      <c r="C151" s="73"/>
      <c r="D151" s="71"/>
      <c r="E151" s="71"/>
      <c r="F151" s="71"/>
    </row>
    <row r="152">
      <c r="A152" s="68"/>
      <c r="B152" s="69"/>
      <c r="C152" s="73"/>
      <c r="D152" s="71"/>
      <c r="E152" s="71"/>
      <c r="F152" s="71"/>
    </row>
    <row r="153">
      <c r="A153" s="68"/>
      <c r="B153" s="69"/>
      <c r="C153" s="73"/>
      <c r="D153" s="71"/>
      <c r="E153" s="71"/>
      <c r="F153" s="71"/>
    </row>
    <row r="154">
      <c r="A154" s="68"/>
      <c r="B154" s="69"/>
      <c r="C154" s="73"/>
      <c r="D154" s="71"/>
      <c r="E154" s="71"/>
      <c r="F154" s="71"/>
    </row>
    <row r="155">
      <c r="A155" s="68"/>
      <c r="B155" s="69"/>
      <c r="C155" s="73"/>
      <c r="D155" s="71"/>
      <c r="E155" s="71"/>
      <c r="F155" s="71"/>
    </row>
    <row r="156">
      <c r="A156" s="68"/>
      <c r="B156" s="69"/>
      <c r="C156" s="73"/>
      <c r="D156" s="71"/>
      <c r="E156" s="71"/>
      <c r="F156" s="71"/>
    </row>
    <row r="157">
      <c r="A157" s="68"/>
      <c r="B157" s="69"/>
      <c r="C157" s="73"/>
      <c r="D157" s="71"/>
      <c r="E157" s="71"/>
      <c r="F157" s="71"/>
    </row>
    <row r="158">
      <c r="A158" s="68"/>
      <c r="B158" s="69"/>
      <c r="C158" s="73"/>
      <c r="D158" s="71"/>
      <c r="E158" s="71"/>
      <c r="F158" s="71"/>
    </row>
    <row r="159">
      <c r="A159" s="68"/>
      <c r="B159" s="69"/>
      <c r="C159" s="73"/>
      <c r="D159" s="71"/>
      <c r="E159" s="71"/>
      <c r="F159" s="71"/>
    </row>
    <row r="160">
      <c r="A160" s="68"/>
      <c r="B160" s="69"/>
      <c r="C160" s="73"/>
      <c r="D160" s="71"/>
      <c r="E160" s="71"/>
      <c r="F160" s="71"/>
    </row>
    <row r="161">
      <c r="A161" s="68"/>
      <c r="B161" s="69"/>
      <c r="C161" s="73"/>
      <c r="D161" s="71"/>
      <c r="E161" s="71"/>
      <c r="F161" s="71"/>
    </row>
    <row r="162">
      <c r="A162" s="68"/>
      <c r="B162" s="69"/>
      <c r="C162" s="73"/>
      <c r="D162" s="71"/>
      <c r="E162" s="71"/>
      <c r="F162" s="71"/>
    </row>
    <row r="163">
      <c r="A163" s="68"/>
      <c r="B163" s="69"/>
      <c r="C163" s="73"/>
      <c r="D163" s="71"/>
      <c r="E163" s="71"/>
      <c r="F163" s="71"/>
    </row>
    <row r="164">
      <c r="A164" s="68"/>
      <c r="B164" s="69"/>
      <c r="C164" s="73"/>
      <c r="D164" s="71"/>
      <c r="E164" s="71"/>
      <c r="F164" s="71"/>
    </row>
    <row r="165">
      <c r="A165" s="68"/>
      <c r="B165" s="69"/>
      <c r="C165" s="73"/>
      <c r="D165" s="71"/>
      <c r="E165" s="71"/>
      <c r="F165" s="71"/>
    </row>
    <row r="166">
      <c r="A166" s="68"/>
      <c r="B166" s="69"/>
      <c r="C166" s="73"/>
      <c r="D166" s="71"/>
      <c r="E166" s="71"/>
      <c r="F166" s="71"/>
    </row>
    <row r="167">
      <c r="A167" s="68"/>
      <c r="B167" s="69"/>
      <c r="C167" s="73"/>
      <c r="D167" s="71"/>
      <c r="E167" s="71"/>
      <c r="F167" s="71"/>
    </row>
    <row r="168">
      <c r="A168" s="68"/>
      <c r="B168" s="69"/>
      <c r="C168" s="73"/>
      <c r="D168" s="71"/>
      <c r="E168" s="71"/>
      <c r="F168" s="71"/>
    </row>
    <row r="169">
      <c r="A169" s="68"/>
      <c r="B169" s="69"/>
      <c r="C169" s="73"/>
      <c r="D169" s="71"/>
      <c r="E169" s="71"/>
      <c r="F169" s="71"/>
    </row>
    <row r="170">
      <c r="A170" s="68"/>
      <c r="B170" s="69"/>
      <c r="C170" s="73"/>
      <c r="D170" s="71"/>
      <c r="E170" s="71"/>
      <c r="F170" s="71"/>
    </row>
    <row r="171">
      <c r="A171" s="68"/>
      <c r="B171" s="69"/>
      <c r="C171" s="73"/>
      <c r="D171" s="71"/>
      <c r="E171" s="71"/>
      <c r="F171" s="71"/>
    </row>
    <row r="172">
      <c r="A172" s="68"/>
      <c r="B172" s="69"/>
      <c r="C172" s="73"/>
      <c r="D172" s="71"/>
      <c r="E172" s="71"/>
      <c r="F172" s="71"/>
    </row>
    <row r="173">
      <c r="A173" s="68"/>
      <c r="B173" s="69"/>
      <c r="C173" s="73"/>
      <c r="D173" s="71"/>
      <c r="E173" s="71"/>
      <c r="F173" s="71"/>
    </row>
    <row r="174">
      <c r="A174" s="68"/>
      <c r="B174" s="69"/>
      <c r="C174" s="73"/>
      <c r="D174" s="71"/>
      <c r="E174" s="71"/>
      <c r="F174" s="71"/>
    </row>
    <row r="175">
      <c r="A175" s="68"/>
      <c r="B175" s="69"/>
      <c r="C175" s="73"/>
      <c r="D175" s="71"/>
      <c r="E175" s="71"/>
      <c r="F175" s="71"/>
    </row>
    <row r="176">
      <c r="A176" s="68"/>
      <c r="B176" s="69"/>
      <c r="C176" s="73"/>
      <c r="D176" s="71"/>
      <c r="E176" s="71"/>
      <c r="F176" s="71"/>
    </row>
    <row r="177">
      <c r="A177" s="68"/>
      <c r="B177" s="69"/>
      <c r="C177" s="73"/>
      <c r="D177" s="71"/>
      <c r="E177" s="71"/>
      <c r="F177" s="71"/>
    </row>
    <row r="178">
      <c r="A178" s="68"/>
      <c r="B178" s="69"/>
      <c r="C178" s="73"/>
      <c r="D178" s="71"/>
      <c r="E178" s="71"/>
      <c r="F178" s="71"/>
    </row>
    <row r="179">
      <c r="A179" s="68"/>
      <c r="B179" s="69"/>
      <c r="C179" s="73"/>
      <c r="D179" s="71"/>
      <c r="E179" s="71"/>
      <c r="F179" s="71"/>
    </row>
    <row r="180">
      <c r="A180" s="68"/>
      <c r="B180" s="69"/>
      <c r="C180" s="73"/>
      <c r="D180" s="71"/>
      <c r="E180" s="71"/>
      <c r="F180" s="71"/>
    </row>
    <row r="181">
      <c r="A181" s="68"/>
      <c r="B181" s="69"/>
      <c r="C181" s="73"/>
      <c r="D181" s="71"/>
      <c r="E181" s="71"/>
      <c r="F181" s="71"/>
    </row>
    <row r="182">
      <c r="A182" s="68"/>
      <c r="B182" s="69"/>
      <c r="C182" s="73"/>
      <c r="D182" s="71"/>
      <c r="E182" s="71"/>
      <c r="F182" s="71"/>
    </row>
    <row r="183">
      <c r="A183" s="68"/>
      <c r="B183" s="69"/>
      <c r="C183" s="73"/>
      <c r="D183" s="71"/>
      <c r="E183" s="71"/>
      <c r="F183" s="71"/>
    </row>
    <row r="184">
      <c r="A184" s="68"/>
      <c r="B184" s="69"/>
      <c r="C184" s="73"/>
      <c r="D184" s="71"/>
      <c r="E184" s="71"/>
      <c r="F184" s="71"/>
    </row>
    <row r="185">
      <c r="A185" s="68"/>
      <c r="B185" s="69"/>
      <c r="C185" s="73"/>
      <c r="D185" s="71"/>
      <c r="E185" s="71"/>
      <c r="F185" s="71"/>
    </row>
    <row r="186">
      <c r="A186" s="68"/>
      <c r="B186" s="69"/>
      <c r="C186" s="73"/>
      <c r="D186" s="71"/>
      <c r="E186" s="71"/>
      <c r="F186" s="71"/>
    </row>
    <row r="187">
      <c r="A187" s="68"/>
      <c r="B187" s="69"/>
      <c r="C187" s="73"/>
      <c r="D187" s="71"/>
      <c r="E187" s="71"/>
      <c r="F187" s="71"/>
    </row>
    <row r="188">
      <c r="A188" s="68"/>
      <c r="B188" s="69"/>
      <c r="C188" s="73"/>
      <c r="D188" s="71"/>
      <c r="E188" s="71"/>
      <c r="F188" s="71"/>
    </row>
    <row r="189">
      <c r="A189" s="68"/>
      <c r="B189" s="69"/>
      <c r="C189" s="73"/>
      <c r="D189" s="71"/>
      <c r="E189" s="71"/>
      <c r="F189" s="71"/>
    </row>
    <row r="190">
      <c r="A190" s="68"/>
      <c r="B190" s="69"/>
      <c r="C190" s="73"/>
      <c r="D190" s="71"/>
      <c r="E190" s="71"/>
      <c r="F190" s="71"/>
    </row>
    <row r="191">
      <c r="A191" s="68"/>
      <c r="B191" s="69"/>
      <c r="C191" s="73"/>
      <c r="D191" s="71"/>
      <c r="E191" s="71"/>
      <c r="F191" s="71"/>
    </row>
    <row r="192">
      <c r="A192" s="68"/>
      <c r="B192" s="69"/>
      <c r="C192" s="73"/>
      <c r="D192" s="71"/>
      <c r="E192" s="71"/>
      <c r="F192" s="71"/>
    </row>
    <row r="193">
      <c r="A193" s="68"/>
      <c r="B193" s="69"/>
      <c r="C193" s="73"/>
      <c r="D193" s="71"/>
      <c r="E193" s="71"/>
      <c r="F193" s="71"/>
    </row>
    <row r="194">
      <c r="A194" s="68"/>
      <c r="B194" s="69"/>
      <c r="C194" s="73"/>
      <c r="D194" s="71"/>
      <c r="E194" s="71"/>
      <c r="F194" s="71"/>
    </row>
    <row r="195">
      <c r="A195" s="68"/>
      <c r="B195" s="69"/>
      <c r="C195" s="73"/>
      <c r="D195" s="71"/>
      <c r="E195" s="71"/>
      <c r="F195" s="71"/>
    </row>
    <row r="196">
      <c r="A196" s="68"/>
      <c r="B196" s="69"/>
      <c r="C196" s="73"/>
      <c r="D196" s="71"/>
      <c r="E196" s="71"/>
      <c r="F196" s="71"/>
    </row>
    <row r="197">
      <c r="A197" s="68"/>
      <c r="B197" s="69"/>
      <c r="C197" s="73"/>
      <c r="D197" s="71"/>
      <c r="E197" s="71"/>
      <c r="F197" s="71"/>
    </row>
    <row r="198">
      <c r="A198" s="68"/>
      <c r="B198" s="69"/>
      <c r="C198" s="73"/>
      <c r="D198" s="71"/>
      <c r="E198" s="71"/>
      <c r="F198" s="71"/>
    </row>
    <row r="199">
      <c r="A199" s="68"/>
      <c r="B199" s="69"/>
      <c r="C199" s="73"/>
      <c r="D199" s="71"/>
      <c r="E199" s="71"/>
      <c r="F199" s="71"/>
    </row>
    <row r="200">
      <c r="A200" s="68"/>
      <c r="B200" s="69"/>
      <c r="C200" s="73"/>
      <c r="D200" s="71"/>
      <c r="E200" s="71"/>
      <c r="F200" s="71"/>
    </row>
    <row r="201">
      <c r="A201" s="68"/>
      <c r="B201" s="69"/>
      <c r="C201" s="73"/>
      <c r="D201" s="71"/>
      <c r="E201" s="71"/>
      <c r="F201" s="71"/>
    </row>
    <row r="202">
      <c r="A202" s="68"/>
      <c r="B202" s="69"/>
      <c r="C202" s="73"/>
      <c r="D202" s="71"/>
      <c r="E202" s="71"/>
      <c r="F202" s="71"/>
    </row>
    <row r="203">
      <c r="A203" s="68"/>
      <c r="B203" s="69"/>
      <c r="C203" s="73"/>
      <c r="D203" s="71"/>
      <c r="E203" s="71"/>
      <c r="F203" s="71"/>
    </row>
    <row r="204">
      <c r="A204" s="68"/>
      <c r="B204" s="69"/>
      <c r="C204" s="73"/>
      <c r="D204" s="71"/>
      <c r="E204" s="71"/>
      <c r="F204" s="71"/>
    </row>
    <row r="205">
      <c r="A205" s="68"/>
      <c r="B205" s="69"/>
      <c r="C205" s="73"/>
      <c r="D205" s="71"/>
      <c r="E205" s="71"/>
      <c r="F205" s="71"/>
    </row>
    <row r="206">
      <c r="A206" s="68"/>
      <c r="B206" s="69"/>
      <c r="C206" s="73"/>
      <c r="D206" s="71"/>
      <c r="E206" s="71"/>
      <c r="F206" s="71"/>
    </row>
    <row r="207">
      <c r="A207" s="68"/>
      <c r="B207" s="69"/>
      <c r="C207" s="73"/>
      <c r="D207" s="71"/>
      <c r="E207" s="71"/>
      <c r="F207" s="71"/>
    </row>
    <row r="208">
      <c r="A208" s="68"/>
      <c r="B208" s="69"/>
      <c r="C208" s="73"/>
      <c r="D208" s="71"/>
      <c r="E208" s="71"/>
      <c r="F208" s="71"/>
    </row>
    <row r="209">
      <c r="A209" s="68"/>
      <c r="B209" s="69"/>
      <c r="C209" s="73"/>
      <c r="D209" s="71"/>
      <c r="E209" s="71"/>
      <c r="F209" s="71"/>
    </row>
    <row r="210">
      <c r="A210" s="68"/>
      <c r="B210" s="69"/>
      <c r="C210" s="73"/>
      <c r="D210" s="71"/>
      <c r="E210" s="71"/>
      <c r="F210" s="71"/>
    </row>
    <row r="211">
      <c r="A211" s="68"/>
      <c r="B211" s="69"/>
      <c r="C211" s="73"/>
      <c r="D211" s="71"/>
      <c r="E211" s="71"/>
      <c r="F211" s="71"/>
    </row>
    <row r="212">
      <c r="A212" s="68"/>
      <c r="B212" s="69"/>
      <c r="C212" s="73"/>
      <c r="D212" s="71"/>
      <c r="E212" s="71"/>
      <c r="F212" s="71"/>
    </row>
    <row r="213">
      <c r="A213" s="68"/>
      <c r="B213" s="69"/>
      <c r="C213" s="73"/>
      <c r="D213" s="71"/>
      <c r="E213" s="71"/>
      <c r="F213" s="71"/>
    </row>
    <row r="214">
      <c r="A214" s="68"/>
      <c r="B214" s="69"/>
      <c r="C214" s="73"/>
      <c r="D214" s="71"/>
      <c r="E214" s="71"/>
      <c r="F214" s="71"/>
    </row>
    <row r="215">
      <c r="A215" s="68"/>
      <c r="B215" s="69"/>
      <c r="C215" s="73"/>
      <c r="D215" s="71"/>
      <c r="E215" s="71"/>
      <c r="F215" s="71"/>
    </row>
    <row r="216">
      <c r="A216" s="68"/>
      <c r="B216" s="69"/>
      <c r="C216" s="73"/>
      <c r="D216" s="71"/>
      <c r="E216" s="71"/>
      <c r="F216" s="71"/>
    </row>
    <row r="217">
      <c r="A217" s="68"/>
      <c r="B217" s="69"/>
      <c r="C217" s="73"/>
      <c r="D217" s="71"/>
      <c r="E217" s="71"/>
      <c r="F217" s="71"/>
    </row>
    <row r="218">
      <c r="A218" s="68"/>
      <c r="B218" s="69"/>
      <c r="C218" s="73"/>
      <c r="D218" s="71"/>
      <c r="E218" s="71"/>
      <c r="F218" s="71"/>
    </row>
    <row r="219">
      <c r="A219" s="68"/>
      <c r="B219" s="69"/>
      <c r="C219" s="73"/>
      <c r="D219" s="71"/>
      <c r="E219" s="71"/>
      <c r="F219" s="71"/>
    </row>
    <row r="220">
      <c r="A220" s="68"/>
      <c r="B220" s="69"/>
      <c r="C220" s="73"/>
      <c r="D220" s="71"/>
      <c r="E220" s="71"/>
      <c r="F220" s="71"/>
    </row>
    <row r="221">
      <c r="A221" s="68"/>
      <c r="B221" s="69"/>
      <c r="C221" s="73"/>
      <c r="D221" s="71"/>
      <c r="E221" s="71"/>
      <c r="F221" s="71"/>
    </row>
    <row r="222">
      <c r="A222" s="68"/>
      <c r="B222" s="69"/>
      <c r="C222" s="73"/>
      <c r="D222" s="71"/>
      <c r="E222" s="71"/>
      <c r="F222" s="71"/>
    </row>
    <row r="223">
      <c r="A223" s="68"/>
      <c r="B223" s="69"/>
      <c r="C223" s="73"/>
      <c r="D223" s="71"/>
      <c r="E223" s="71"/>
      <c r="F223" s="71"/>
    </row>
    <row r="224">
      <c r="A224" s="68"/>
      <c r="B224" s="69"/>
      <c r="C224" s="73"/>
      <c r="D224" s="71"/>
      <c r="E224" s="71"/>
      <c r="F224" s="71"/>
    </row>
    <row r="225">
      <c r="A225" s="68"/>
      <c r="B225" s="69"/>
      <c r="C225" s="73"/>
      <c r="D225" s="71"/>
      <c r="E225" s="71"/>
      <c r="F225" s="71"/>
    </row>
    <row r="226">
      <c r="A226" s="68"/>
      <c r="B226" s="69"/>
      <c r="C226" s="73"/>
      <c r="D226" s="71"/>
      <c r="E226" s="71"/>
      <c r="F226" s="71"/>
    </row>
    <row r="227">
      <c r="A227" s="68"/>
      <c r="B227" s="69"/>
      <c r="C227" s="73"/>
      <c r="D227" s="71"/>
      <c r="E227" s="71"/>
      <c r="F227" s="71"/>
    </row>
    <row r="228">
      <c r="A228" s="68"/>
      <c r="B228" s="69"/>
      <c r="C228" s="73"/>
      <c r="D228" s="71"/>
      <c r="E228" s="71"/>
      <c r="F228" s="71"/>
    </row>
    <row r="229">
      <c r="A229" s="68"/>
      <c r="B229" s="69"/>
      <c r="C229" s="73"/>
      <c r="D229" s="71"/>
      <c r="E229" s="71"/>
      <c r="F229" s="71"/>
    </row>
    <row r="230">
      <c r="A230" s="68"/>
      <c r="B230" s="69"/>
      <c r="C230" s="73"/>
      <c r="D230" s="71"/>
      <c r="E230" s="71"/>
      <c r="F230" s="71"/>
    </row>
    <row r="231">
      <c r="A231" s="68"/>
      <c r="B231" s="69"/>
      <c r="C231" s="73"/>
      <c r="D231" s="71"/>
      <c r="E231" s="71"/>
      <c r="F231" s="71"/>
    </row>
    <row r="232">
      <c r="A232" s="68"/>
      <c r="B232" s="69"/>
      <c r="C232" s="73"/>
      <c r="D232" s="71"/>
      <c r="E232" s="71"/>
      <c r="F232" s="71"/>
    </row>
    <row r="233">
      <c r="A233" s="68"/>
      <c r="B233" s="69"/>
      <c r="C233" s="73"/>
      <c r="D233" s="71"/>
      <c r="E233" s="71"/>
      <c r="F233" s="71"/>
    </row>
    <row r="234">
      <c r="A234" s="68"/>
      <c r="B234" s="69"/>
      <c r="C234" s="73"/>
      <c r="D234" s="71"/>
      <c r="E234" s="71"/>
      <c r="F234" s="71"/>
    </row>
    <row r="235">
      <c r="A235" s="68"/>
      <c r="B235" s="69"/>
      <c r="C235" s="73"/>
      <c r="D235" s="71"/>
      <c r="E235" s="71"/>
      <c r="F235" s="71"/>
    </row>
    <row r="236">
      <c r="A236" s="68"/>
      <c r="B236" s="69"/>
      <c r="C236" s="73"/>
      <c r="D236" s="71"/>
      <c r="E236" s="71"/>
      <c r="F236" s="71"/>
    </row>
    <row r="237">
      <c r="A237" s="68"/>
      <c r="B237" s="69"/>
      <c r="C237" s="73"/>
      <c r="D237" s="71"/>
      <c r="E237" s="71"/>
      <c r="F237" s="71"/>
    </row>
    <row r="238">
      <c r="A238" s="68"/>
      <c r="B238" s="69"/>
      <c r="C238" s="73"/>
      <c r="D238" s="71"/>
      <c r="E238" s="71"/>
      <c r="F238" s="71"/>
    </row>
    <row r="239">
      <c r="A239" s="68"/>
      <c r="B239" s="69"/>
      <c r="C239" s="73"/>
      <c r="D239" s="71"/>
      <c r="E239" s="71"/>
      <c r="F239" s="71"/>
    </row>
    <row r="240">
      <c r="A240" s="68"/>
      <c r="B240" s="69"/>
      <c r="C240" s="73"/>
      <c r="D240" s="71"/>
      <c r="E240" s="71"/>
      <c r="F240" s="71"/>
    </row>
    <row r="241">
      <c r="A241" s="68"/>
      <c r="B241" s="69"/>
      <c r="C241" s="73"/>
      <c r="D241" s="71"/>
      <c r="E241" s="71"/>
      <c r="F241" s="71"/>
    </row>
    <row r="242">
      <c r="A242" s="68"/>
      <c r="B242" s="69"/>
      <c r="C242" s="73"/>
      <c r="D242" s="71"/>
      <c r="E242" s="71"/>
      <c r="F242" s="71"/>
    </row>
    <row r="243">
      <c r="A243" s="68"/>
      <c r="B243" s="69"/>
      <c r="C243" s="73"/>
      <c r="D243" s="71"/>
      <c r="E243" s="71"/>
      <c r="F243" s="71"/>
    </row>
    <row r="244">
      <c r="A244" s="68"/>
      <c r="B244" s="69"/>
      <c r="C244" s="73"/>
      <c r="D244" s="71"/>
      <c r="E244" s="71"/>
      <c r="F244" s="71"/>
    </row>
    <row r="245">
      <c r="A245" s="68"/>
      <c r="B245" s="69"/>
      <c r="C245" s="73"/>
      <c r="D245" s="71"/>
      <c r="E245" s="71"/>
      <c r="F245" s="71"/>
    </row>
    <row r="246">
      <c r="A246" s="68"/>
      <c r="B246" s="69"/>
      <c r="C246" s="73"/>
      <c r="D246" s="71"/>
      <c r="E246" s="71"/>
      <c r="F246" s="71"/>
    </row>
    <row r="247">
      <c r="A247" s="68"/>
      <c r="B247" s="69"/>
      <c r="C247" s="73"/>
      <c r="D247" s="71"/>
      <c r="E247" s="71"/>
      <c r="F247" s="71"/>
    </row>
    <row r="248">
      <c r="A248" s="68"/>
      <c r="B248" s="69"/>
      <c r="C248" s="73"/>
      <c r="D248" s="71"/>
      <c r="E248" s="71"/>
      <c r="F248" s="71"/>
    </row>
    <row r="249">
      <c r="A249" s="68"/>
      <c r="B249" s="69"/>
      <c r="C249" s="73"/>
      <c r="D249" s="71"/>
      <c r="E249" s="71"/>
      <c r="F249" s="71"/>
    </row>
    <row r="250">
      <c r="A250" s="68"/>
      <c r="B250" s="69"/>
      <c r="C250" s="73"/>
      <c r="D250" s="71"/>
      <c r="E250" s="71"/>
      <c r="F250" s="71"/>
    </row>
    <row r="251">
      <c r="A251" s="68"/>
      <c r="B251" s="69"/>
      <c r="C251" s="73"/>
      <c r="D251" s="71"/>
      <c r="E251" s="71"/>
      <c r="F251" s="71"/>
    </row>
    <row r="252">
      <c r="A252" s="68"/>
      <c r="B252" s="69"/>
      <c r="C252" s="73"/>
      <c r="D252" s="71"/>
      <c r="E252" s="71"/>
      <c r="F252" s="71"/>
    </row>
    <row r="253">
      <c r="A253" s="68"/>
      <c r="B253" s="69"/>
      <c r="C253" s="73"/>
      <c r="D253" s="71"/>
      <c r="E253" s="71"/>
      <c r="F253" s="71"/>
    </row>
    <row r="254">
      <c r="A254" s="68"/>
      <c r="B254" s="69"/>
      <c r="C254" s="73"/>
      <c r="D254" s="71"/>
      <c r="E254" s="71"/>
      <c r="F254" s="71"/>
    </row>
    <row r="255">
      <c r="A255" s="68"/>
      <c r="B255" s="69"/>
      <c r="C255" s="73"/>
      <c r="D255" s="71"/>
      <c r="E255" s="71"/>
      <c r="F255" s="71"/>
    </row>
    <row r="256">
      <c r="A256" s="68"/>
      <c r="B256" s="69"/>
      <c r="C256" s="73"/>
      <c r="D256" s="71"/>
      <c r="E256" s="71"/>
      <c r="F256" s="71"/>
    </row>
    <row r="257">
      <c r="A257" s="68"/>
      <c r="B257" s="69"/>
      <c r="C257" s="73"/>
      <c r="D257" s="71"/>
      <c r="E257" s="71"/>
      <c r="F257" s="71"/>
    </row>
    <row r="258">
      <c r="A258" s="68"/>
      <c r="B258" s="69"/>
      <c r="C258" s="73"/>
      <c r="D258" s="71"/>
      <c r="E258" s="71"/>
      <c r="F258" s="71"/>
    </row>
    <row r="259">
      <c r="A259" s="68"/>
      <c r="B259" s="69"/>
      <c r="C259" s="73"/>
      <c r="D259" s="71"/>
      <c r="E259" s="71"/>
      <c r="F259" s="71"/>
    </row>
    <row r="260">
      <c r="A260" s="68"/>
      <c r="B260" s="69"/>
      <c r="C260" s="73"/>
      <c r="D260" s="71"/>
      <c r="E260" s="71"/>
      <c r="F260" s="71"/>
    </row>
    <row r="261">
      <c r="A261" s="68"/>
      <c r="B261" s="69"/>
      <c r="C261" s="73"/>
      <c r="D261" s="71"/>
      <c r="E261" s="71"/>
      <c r="F261" s="71"/>
    </row>
    <row r="262">
      <c r="A262" s="68"/>
      <c r="B262" s="69"/>
      <c r="C262" s="73"/>
      <c r="D262" s="71"/>
      <c r="E262" s="71"/>
      <c r="F262" s="71"/>
    </row>
    <row r="263">
      <c r="A263" s="68"/>
      <c r="B263" s="69"/>
      <c r="C263" s="73"/>
      <c r="D263" s="71"/>
      <c r="E263" s="71"/>
      <c r="F263" s="71"/>
    </row>
    <row r="264">
      <c r="A264" s="68"/>
      <c r="B264" s="69"/>
      <c r="C264" s="73"/>
      <c r="D264" s="71"/>
      <c r="E264" s="71"/>
      <c r="F264" s="71"/>
    </row>
    <row r="265">
      <c r="A265" s="68"/>
      <c r="B265" s="69"/>
      <c r="C265" s="73"/>
      <c r="D265" s="71"/>
      <c r="E265" s="71"/>
      <c r="F265" s="71"/>
    </row>
    <row r="266">
      <c r="A266" s="68"/>
      <c r="B266" s="69"/>
      <c r="C266" s="73"/>
      <c r="D266" s="71"/>
      <c r="E266" s="71"/>
      <c r="F266" s="71"/>
    </row>
    <row r="267">
      <c r="A267" s="68"/>
      <c r="B267" s="69"/>
      <c r="C267" s="73"/>
      <c r="D267" s="71"/>
      <c r="E267" s="71"/>
      <c r="F267" s="71"/>
    </row>
    <row r="268">
      <c r="A268" s="68"/>
      <c r="B268" s="69"/>
      <c r="C268" s="73"/>
      <c r="D268" s="71"/>
      <c r="E268" s="71"/>
      <c r="F268" s="71"/>
    </row>
    <row r="269">
      <c r="A269" s="68"/>
      <c r="B269" s="69"/>
      <c r="C269" s="73"/>
      <c r="D269" s="71"/>
      <c r="E269" s="71"/>
      <c r="F269" s="71"/>
    </row>
    <row r="270">
      <c r="A270" s="68"/>
      <c r="B270" s="69"/>
      <c r="C270" s="73"/>
      <c r="D270" s="71"/>
      <c r="E270" s="71"/>
      <c r="F270" s="71"/>
    </row>
    <row r="271">
      <c r="A271" s="68"/>
      <c r="B271" s="69"/>
      <c r="C271" s="73"/>
      <c r="D271" s="71"/>
      <c r="E271" s="71"/>
      <c r="F271" s="71"/>
    </row>
    <row r="272">
      <c r="A272" s="68"/>
      <c r="B272" s="69"/>
      <c r="C272" s="73"/>
      <c r="D272" s="71"/>
      <c r="E272" s="71"/>
      <c r="F272" s="71"/>
    </row>
    <row r="273">
      <c r="A273" s="68"/>
      <c r="B273" s="69"/>
      <c r="C273" s="73"/>
      <c r="D273" s="71"/>
      <c r="E273" s="71"/>
      <c r="F273" s="71"/>
    </row>
    <row r="274">
      <c r="A274" s="68"/>
      <c r="B274" s="69"/>
      <c r="C274" s="73"/>
      <c r="D274" s="71"/>
      <c r="E274" s="71"/>
      <c r="F274" s="71"/>
    </row>
    <row r="275">
      <c r="A275" s="68"/>
      <c r="B275" s="69"/>
      <c r="C275" s="73"/>
      <c r="D275" s="71"/>
      <c r="E275" s="71"/>
      <c r="F275" s="71"/>
    </row>
    <row r="276">
      <c r="A276" s="68"/>
      <c r="B276" s="69"/>
      <c r="C276" s="73"/>
      <c r="D276" s="71"/>
      <c r="E276" s="71"/>
      <c r="F276" s="71"/>
    </row>
    <row r="277">
      <c r="A277" s="68"/>
      <c r="B277" s="69"/>
      <c r="C277" s="73"/>
      <c r="D277" s="71"/>
      <c r="E277" s="71"/>
      <c r="F277" s="71"/>
    </row>
    <row r="278">
      <c r="A278" s="68"/>
      <c r="B278" s="69"/>
      <c r="C278" s="73"/>
      <c r="D278" s="71"/>
      <c r="E278" s="71"/>
      <c r="F278" s="71"/>
    </row>
    <row r="279">
      <c r="A279" s="68"/>
      <c r="B279" s="69"/>
      <c r="C279" s="73"/>
      <c r="D279" s="71"/>
      <c r="E279" s="71"/>
      <c r="F279" s="71"/>
    </row>
    <row r="280">
      <c r="A280" s="68"/>
      <c r="B280" s="69"/>
      <c r="C280" s="73"/>
      <c r="D280" s="71"/>
      <c r="E280" s="71"/>
      <c r="F280" s="71"/>
    </row>
    <row r="281">
      <c r="A281" s="68"/>
      <c r="B281" s="69"/>
      <c r="C281" s="73"/>
      <c r="D281" s="71"/>
      <c r="E281" s="71"/>
      <c r="F281" s="71"/>
    </row>
    <row r="282">
      <c r="A282" s="68"/>
      <c r="B282" s="69"/>
      <c r="C282" s="73"/>
      <c r="D282" s="71"/>
      <c r="E282" s="71"/>
      <c r="F282" s="71"/>
    </row>
    <row r="283">
      <c r="A283" s="68"/>
      <c r="B283" s="69"/>
      <c r="C283" s="73"/>
      <c r="D283" s="71"/>
      <c r="E283" s="71"/>
      <c r="F283" s="71"/>
    </row>
    <row r="284">
      <c r="A284" s="68"/>
      <c r="B284" s="69"/>
      <c r="C284" s="73"/>
      <c r="D284" s="71"/>
      <c r="E284" s="71"/>
      <c r="F284" s="71"/>
    </row>
    <row r="285">
      <c r="A285" s="68"/>
      <c r="B285" s="69"/>
      <c r="C285" s="73"/>
      <c r="D285" s="71"/>
      <c r="E285" s="71"/>
      <c r="F285" s="71"/>
    </row>
    <row r="286">
      <c r="A286" s="68"/>
      <c r="B286" s="69"/>
      <c r="C286" s="73"/>
      <c r="D286" s="71"/>
      <c r="E286" s="71"/>
      <c r="F286" s="71"/>
    </row>
    <row r="287">
      <c r="A287" s="68"/>
      <c r="B287" s="69"/>
      <c r="C287" s="73"/>
      <c r="D287" s="71"/>
      <c r="E287" s="71"/>
      <c r="F287" s="71"/>
    </row>
    <row r="288">
      <c r="A288" s="68"/>
      <c r="B288" s="69"/>
      <c r="C288" s="73"/>
      <c r="D288" s="71"/>
      <c r="E288" s="71"/>
      <c r="F288" s="71"/>
    </row>
    <row r="289">
      <c r="A289" s="68"/>
      <c r="B289" s="69"/>
      <c r="C289" s="73"/>
      <c r="D289" s="71"/>
      <c r="E289" s="71"/>
      <c r="F289" s="71"/>
    </row>
    <row r="290">
      <c r="A290" s="68"/>
      <c r="B290" s="69"/>
      <c r="C290" s="73"/>
      <c r="D290" s="71"/>
      <c r="E290" s="71"/>
      <c r="F290" s="71"/>
    </row>
    <row r="291">
      <c r="A291" s="68"/>
      <c r="B291" s="69"/>
      <c r="C291" s="73"/>
      <c r="D291" s="71"/>
      <c r="E291" s="71"/>
      <c r="F291" s="71"/>
    </row>
    <row r="292">
      <c r="A292" s="68"/>
      <c r="B292" s="69"/>
      <c r="C292" s="73"/>
      <c r="D292" s="71"/>
      <c r="E292" s="71"/>
      <c r="F292" s="71"/>
    </row>
    <row r="293">
      <c r="A293" s="68"/>
      <c r="B293" s="69"/>
      <c r="C293" s="73"/>
      <c r="D293" s="71"/>
      <c r="E293" s="71"/>
      <c r="F293" s="71"/>
    </row>
    <row r="294">
      <c r="A294" s="68"/>
      <c r="B294" s="69"/>
      <c r="C294" s="73"/>
      <c r="D294" s="71"/>
      <c r="E294" s="71"/>
      <c r="F294" s="71"/>
    </row>
    <row r="295">
      <c r="A295" s="68"/>
      <c r="B295" s="69"/>
      <c r="C295" s="73"/>
      <c r="D295" s="71"/>
      <c r="E295" s="71"/>
      <c r="F295" s="71"/>
    </row>
    <row r="296">
      <c r="A296" s="68"/>
      <c r="B296" s="69"/>
      <c r="C296" s="73"/>
      <c r="D296" s="71"/>
      <c r="E296" s="71"/>
      <c r="F296" s="71"/>
    </row>
    <row r="297">
      <c r="A297" s="68"/>
      <c r="B297" s="69"/>
      <c r="C297" s="73"/>
      <c r="D297" s="71"/>
      <c r="E297" s="71"/>
      <c r="F297" s="71"/>
    </row>
    <row r="298">
      <c r="A298" s="68"/>
      <c r="B298" s="69"/>
      <c r="C298" s="73"/>
      <c r="D298" s="71"/>
      <c r="E298" s="71"/>
      <c r="F298" s="71"/>
    </row>
    <row r="299">
      <c r="A299" s="68"/>
      <c r="B299" s="69"/>
      <c r="C299" s="73"/>
      <c r="D299" s="71"/>
      <c r="E299" s="71"/>
      <c r="F299" s="71"/>
    </row>
    <row r="300">
      <c r="A300" s="68"/>
      <c r="B300" s="69"/>
      <c r="C300" s="73"/>
      <c r="D300" s="71"/>
      <c r="E300" s="71"/>
      <c r="F300" s="71"/>
    </row>
    <row r="301">
      <c r="A301" s="68"/>
      <c r="B301" s="69"/>
      <c r="C301" s="73"/>
      <c r="D301" s="71"/>
      <c r="E301" s="71"/>
      <c r="F301" s="71"/>
    </row>
    <row r="302">
      <c r="A302" s="68"/>
      <c r="B302" s="69"/>
      <c r="C302" s="73"/>
      <c r="D302" s="71"/>
      <c r="E302" s="71"/>
      <c r="F302" s="71"/>
    </row>
    <row r="303">
      <c r="A303" s="68"/>
      <c r="B303" s="69"/>
      <c r="C303" s="73"/>
      <c r="D303" s="71"/>
      <c r="E303" s="71"/>
      <c r="F303" s="71"/>
    </row>
    <row r="304">
      <c r="A304" s="68"/>
      <c r="B304" s="69"/>
      <c r="C304" s="73"/>
      <c r="D304" s="71"/>
      <c r="E304" s="71"/>
      <c r="F304" s="71"/>
    </row>
    <row r="305">
      <c r="A305" s="68"/>
      <c r="B305" s="69"/>
      <c r="C305" s="73"/>
      <c r="D305" s="71"/>
      <c r="E305" s="71"/>
      <c r="F305" s="71"/>
    </row>
    <row r="306">
      <c r="A306" s="68"/>
      <c r="B306" s="69"/>
      <c r="C306" s="73"/>
      <c r="D306" s="71"/>
      <c r="E306" s="71"/>
      <c r="F306" s="71"/>
    </row>
    <row r="307">
      <c r="A307" s="68"/>
      <c r="B307" s="69"/>
      <c r="C307" s="73"/>
      <c r="D307" s="71"/>
      <c r="E307" s="71"/>
      <c r="F307" s="71"/>
    </row>
    <row r="308">
      <c r="A308" s="68"/>
      <c r="B308" s="69"/>
      <c r="C308" s="73"/>
      <c r="D308" s="71"/>
      <c r="E308" s="71"/>
      <c r="F308" s="71"/>
    </row>
    <row r="309">
      <c r="A309" s="68"/>
      <c r="B309" s="69"/>
      <c r="C309" s="73"/>
      <c r="D309" s="71"/>
      <c r="E309" s="71"/>
      <c r="F309" s="71"/>
    </row>
    <row r="310">
      <c r="A310" s="68"/>
      <c r="B310" s="69"/>
      <c r="C310" s="73"/>
      <c r="D310" s="71"/>
      <c r="E310" s="71"/>
      <c r="F310" s="71"/>
    </row>
    <row r="311">
      <c r="A311" s="68"/>
      <c r="B311" s="69"/>
      <c r="C311" s="73"/>
      <c r="D311" s="71"/>
      <c r="E311" s="71"/>
      <c r="F311" s="71"/>
    </row>
    <row r="312">
      <c r="A312" s="68"/>
      <c r="B312" s="69"/>
      <c r="C312" s="73"/>
      <c r="D312" s="71"/>
      <c r="E312" s="71"/>
      <c r="F312" s="71"/>
    </row>
    <row r="313">
      <c r="A313" s="68"/>
      <c r="B313" s="69"/>
      <c r="C313" s="73"/>
      <c r="D313" s="71"/>
      <c r="E313" s="71"/>
      <c r="F313" s="71"/>
    </row>
    <row r="314">
      <c r="A314" s="68"/>
      <c r="B314" s="69"/>
      <c r="C314" s="73"/>
      <c r="D314" s="71"/>
      <c r="E314" s="71"/>
      <c r="F314" s="71"/>
    </row>
    <row r="315">
      <c r="A315" s="68"/>
      <c r="B315" s="69"/>
      <c r="C315" s="73"/>
      <c r="D315" s="71"/>
      <c r="E315" s="71"/>
      <c r="F315" s="71"/>
    </row>
    <row r="316">
      <c r="A316" s="68"/>
      <c r="B316" s="69"/>
      <c r="C316" s="73"/>
      <c r="D316" s="71"/>
      <c r="E316" s="71"/>
      <c r="F316" s="71"/>
    </row>
    <row r="317">
      <c r="A317" s="68"/>
      <c r="B317" s="69"/>
      <c r="C317" s="73"/>
      <c r="D317" s="71"/>
      <c r="E317" s="71"/>
      <c r="F317" s="71"/>
    </row>
    <row r="318">
      <c r="A318" s="68"/>
      <c r="B318" s="69"/>
      <c r="C318" s="73"/>
      <c r="D318" s="71"/>
      <c r="E318" s="71"/>
      <c r="F318" s="71"/>
    </row>
    <row r="319">
      <c r="A319" s="68"/>
      <c r="B319" s="69"/>
      <c r="C319" s="73"/>
      <c r="D319" s="71"/>
      <c r="E319" s="71"/>
      <c r="F319" s="71"/>
    </row>
    <row r="320">
      <c r="A320" s="68"/>
      <c r="B320" s="69"/>
      <c r="C320" s="73"/>
      <c r="D320" s="71"/>
      <c r="E320" s="71"/>
      <c r="F320" s="71"/>
    </row>
    <row r="321">
      <c r="A321" s="68"/>
      <c r="B321" s="69"/>
      <c r="C321" s="73"/>
      <c r="D321" s="71"/>
      <c r="E321" s="71"/>
      <c r="F321" s="71"/>
    </row>
    <row r="322">
      <c r="A322" s="68"/>
      <c r="B322" s="69"/>
      <c r="C322" s="73"/>
      <c r="D322" s="71"/>
      <c r="E322" s="71"/>
      <c r="F322" s="71"/>
    </row>
    <row r="323">
      <c r="A323" s="68"/>
      <c r="B323" s="69"/>
      <c r="C323" s="73"/>
      <c r="D323" s="71"/>
      <c r="E323" s="71"/>
      <c r="F323" s="71"/>
    </row>
    <row r="324">
      <c r="A324" s="68"/>
      <c r="B324" s="69"/>
      <c r="C324" s="73"/>
      <c r="D324" s="71"/>
      <c r="E324" s="71"/>
      <c r="F324" s="71"/>
    </row>
    <row r="325">
      <c r="A325" s="68"/>
      <c r="B325" s="69"/>
      <c r="C325" s="73"/>
      <c r="D325" s="71"/>
      <c r="E325" s="71"/>
      <c r="F325" s="71"/>
    </row>
    <row r="326">
      <c r="A326" s="68"/>
      <c r="B326" s="69"/>
      <c r="C326" s="73"/>
      <c r="D326" s="71"/>
      <c r="E326" s="71"/>
      <c r="F326" s="71"/>
    </row>
    <row r="327">
      <c r="A327" s="68"/>
      <c r="B327" s="69"/>
      <c r="C327" s="73"/>
      <c r="D327" s="71"/>
      <c r="E327" s="71"/>
      <c r="F327" s="71"/>
    </row>
    <row r="328">
      <c r="A328" s="68"/>
      <c r="B328" s="69"/>
      <c r="C328" s="73"/>
      <c r="D328" s="71"/>
      <c r="E328" s="71"/>
      <c r="F328" s="71"/>
    </row>
    <row r="329">
      <c r="A329" s="68"/>
      <c r="B329" s="69"/>
      <c r="C329" s="73"/>
      <c r="D329" s="71"/>
      <c r="E329" s="71"/>
      <c r="F329" s="71"/>
    </row>
    <row r="330">
      <c r="A330" s="68"/>
      <c r="B330" s="69"/>
      <c r="C330" s="73"/>
      <c r="D330" s="71"/>
      <c r="E330" s="71"/>
      <c r="F330" s="71"/>
    </row>
    <row r="331">
      <c r="A331" s="68"/>
      <c r="B331" s="69"/>
      <c r="C331" s="73"/>
      <c r="D331" s="71"/>
      <c r="E331" s="71"/>
      <c r="F331" s="71"/>
    </row>
    <row r="332">
      <c r="A332" s="68"/>
      <c r="B332" s="69"/>
      <c r="C332" s="73"/>
      <c r="D332" s="71"/>
      <c r="E332" s="71"/>
      <c r="F332" s="71"/>
    </row>
    <row r="333">
      <c r="A333" s="68"/>
      <c r="B333" s="69"/>
      <c r="C333" s="73"/>
      <c r="D333" s="71"/>
      <c r="E333" s="71"/>
      <c r="F333" s="71"/>
    </row>
    <row r="334">
      <c r="A334" s="68"/>
      <c r="B334" s="69"/>
      <c r="C334" s="73"/>
      <c r="D334" s="71"/>
      <c r="E334" s="71"/>
      <c r="F334" s="71"/>
    </row>
    <row r="335">
      <c r="A335" s="68"/>
      <c r="B335" s="69"/>
      <c r="C335" s="73"/>
      <c r="D335" s="71"/>
      <c r="E335" s="71"/>
      <c r="F335" s="71"/>
    </row>
    <row r="336">
      <c r="A336" s="68"/>
      <c r="B336" s="69"/>
      <c r="C336" s="73"/>
      <c r="D336" s="71"/>
      <c r="E336" s="71"/>
      <c r="F336" s="71"/>
    </row>
    <row r="337">
      <c r="A337" s="68"/>
      <c r="B337" s="69"/>
      <c r="C337" s="73"/>
      <c r="D337" s="71"/>
      <c r="E337" s="71"/>
      <c r="F337" s="71"/>
    </row>
    <row r="338">
      <c r="A338" s="68"/>
      <c r="B338" s="69"/>
      <c r="C338" s="73"/>
      <c r="D338" s="71"/>
      <c r="E338" s="71"/>
      <c r="F338" s="71"/>
    </row>
    <row r="339">
      <c r="A339" s="68"/>
      <c r="B339" s="69"/>
      <c r="C339" s="73"/>
      <c r="D339" s="71"/>
      <c r="E339" s="71"/>
      <c r="F339" s="71"/>
    </row>
    <row r="340">
      <c r="A340" s="68"/>
      <c r="B340" s="69"/>
      <c r="C340" s="73"/>
      <c r="D340" s="71"/>
      <c r="E340" s="71"/>
      <c r="F340" s="71"/>
    </row>
    <row r="341">
      <c r="A341" s="68"/>
      <c r="B341" s="69"/>
      <c r="C341" s="73"/>
      <c r="D341" s="71"/>
      <c r="E341" s="71"/>
      <c r="F341" s="71"/>
    </row>
    <row r="342">
      <c r="A342" s="68"/>
      <c r="B342" s="69"/>
      <c r="C342" s="73"/>
      <c r="D342" s="71"/>
      <c r="E342" s="71"/>
      <c r="F342" s="71"/>
    </row>
    <row r="343">
      <c r="A343" s="68"/>
      <c r="B343" s="69"/>
      <c r="C343" s="73"/>
      <c r="D343" s="71"/>
      <c r="E343" s="71"/>
      <c r="F343" s="71"/>
    </row>
    <row r="344">
      <c r="A344" s="68"/>
      <c r="B344" s="69"/>
      <c r="C344" s="73"/>
      <c r="D344" s="71"/>
      <c r="E344" s="71"/>
      <c r="F344" s="71"/>
    </row>
    <row r="345">
      <c r="A345" s="68"/>
      <c r="B345" s="69"/>
      <c r="C345" s="73"/>
      <c r="D345" s="71"/>
      <c r="E345" s="71"/>
      <c r="F345" s="71"/>
    </row>
    <row r="346">
      <c r="A346" s="68"/>
      <c r="B346" s="69"/>
      <c r="C346" s="73"/>
      <c r="D346" s="71"/>
      <c r="E346" s="71"/>
      <c r="F346" s="71"/>
    </row>
    <row r="347">
      <c r="A347" s="68"/>
      <c r="B347" s="69"/>
      <c r="C347" s="73"/>
      <c r="D347" s="71"/>
      <c r="E347" s="71"/>
      <c r="F347" s="71"/>
    </row>
    <row r="348">
      <c r="A348" s="68"/>
      <c r="B348" s="69"/>
      <c r="C348" s="73"/>
      <c r="D348" s="71"/>
      <c r="E348" s="71"/>
      <c r="F348" s="71"/>
    </row>
    <row r="349">
      <c r="A349" s="68"/>
      <c r="B349" s="69"/>
      <c r="C349" s="73"/>
      <c r="D349" s="71"/>
      <c r="E349" s="71"/>
      <c r="F349" s="71"/>
    </row>
    <row r="350">
      <c r="A350" s="68"/>
      <c r="B350" s="69"/>
      <c r="C350" s="73"/>
      <c r="D350" s="71"/>
      <c r="E350" s="71"/>
      <c r="F350" s="71"/>
    </row>
    <row r="351">
      <c r="A351" s="68"/>
      <c r="B351" s="69"/>
      <c r="C351" s="73"/>
      <c r="D351" s="71"/>
      <c r="E351" s="71"/>
      <c r="F351" s="71"/>
    </row>
    <row r="352">
      <c r="A352" s="68"/>
      <c r="B352" s="69"/>
      <c r="C352" s="73"/>
      <c r="D352" s="71"/>
      <c r="E352" s="71"/>
      <c r="F352" s="71"/>
    </row>
    <row r="353">
      <c r="A353" s="68"/>
      <c r="B353" s="69"/>
      <c r="C353" s="73"/>
      <c r="D353" s="71"/>
      <c r="E353" s="71"/>
      <c r="F353" s="71"/>
    </row>
    <row r="354">
      <c r="A354" s="68"/>
      <c r="B354" s="69"/>
      <c r="C354" s="73"/>
      <c r="D354" s="71"/>
      <c r="E354" s="71"/>
      <c r="F354" s="71"/>
    </row>
    <row r="355">
      <c r="A355" s="68"/>
      <c r="B355" s="69"/>
      <c r="C355" s="73"/>
      <c r="D355" s="71"/>
      <c r="E355" s="71"/>
      <c r="F355" s="71"/>
    </row>
    <row r="356">
      <c r="A356" s="68"/>
      <c r="B356" s="69"/>
      <c r="C356" s="73"/>
      <c r="D356" s="71"/>
      <c r="E356" s="71"/>
      <c r="F356" s="71"/>
    </row>
    <row r="357">
      <c r="A357" s="68"/>
      <c r="B357" s="69"/>
      <c r="C357" s="73"/>
      <c r="D357" s="71"/>
      <c r="E357" s="71"/>
      <c r="F357" s="71"/>
    </row>
    <row r="358">
      <c r="A358" s="68"/>
      <c r="B358" s="69"/>
      <c r="C358" s="73"/>
      <c r="D358" s="71"/>
      <c r="E358" s="71"/>
      <c r="F358" s="71"/>
    </row>
    <row r="359">
      <c r="A359" s="68"/>
      <c r="B359" s="69"/>
      <c r="C359" s="73"/>
      <c r="D359" s="71"/>
      <c r="E359" s="71"/>
      <c r="F359" s="71"/>
    </row>
    <row r="360">
      <c r="A360" s="68"/>
      <c r="B360" s="69"/>
      <c r="C360" s="73"/>
      <c r="D360" s="71"/>
      <c r="E360" s="71"/>
      <c r="F360" s="71"/>
    </row>
    <row r="361">
      <c r="A361" s="68"/>
      <c r="B361" s="69"/>
      <c r="C361" s="73"/>
      <c r="D361" s="71"/>
      <c r="E361" s="71"/>
      <c r="F361" s="71"/>
    </row>
    <row r="362">
      <c r="A362" s="68"/>
      <c r="B362" s="69"/>
      <c r="C362" s="73"/>
      <c r="D362" s="71"/>
      <c r="E362" s="71"/>
      <c r="F362" s="71"/>
    </row>
    <row r="363">
      <c r="A363" s="68"/>
      <c r="B363" s="69"/>
      <c r="C363" s="73"/>
      <c r="D363" s="71"/>
      <c r="E363" s="71"/>
      <c r="F363" s="71"/>
    </row>
    <row r="364">
      <c r="A364" s="68"/>
      <c r="B364" s="69"/>
      <c r="C364" s="73"/>
      <c r="D364" s="71"/>
      <c r="E364" s="71"/>
      <c r="F364" s="71"/>
    </row>
    <row r="365">
      <c r="A365" s="68"/>
      <c r="B365" s="69"/>
      <c r="C365" s="73"/>
      <c r="D365" s="71"/>
      <c r="E365" s="71"/>
      <c r="F365" s="71"/>
    </row>
    <row r="366">
      <c r="A366" s="68"/>
      <c r="B366" s="69"/>
      <c r="C366" s="73"/>
      <c r="D366" s="71"/>
      <c r="E366" s="71"/>
      <c r="F366" s="71"/>
    </row>
    <row r="367">
      <c r="A367" s="68"/>
      <c r="B367" s="69"/>
      <c r="C367" s="73"/>
      <c r="D367" s="71"/>
      <c r="E367" s="71"/>
      <c r="F367" s="71"/>
    </row>
    <row r="368">
      <c r="A368" s="68"/>
      <c r="B368" s="69"/>
      <c r="C368" s="73"/>
      <c r="D368" s="71"/>
      <c r="E368" s="71"/>
      <c r="F368" s="71"/>
    </row>
    <row r="369">
      <c r="A369" s="68"/>
      <c r="B369" s="69"/>
      <c r="C369" s="73"/>
      <c r="D369" s="71"/>
      <c r="E369" s="71"/>
      <c r="F369" s="71"/>
    </row>
    <row r="370">
      <c r="A370" s="68"/>
      <c r="B370" s="69"/>
      <c r="C370" s="73"/>
      <c r="D370" s="71"/>
      <c r="E370" s="71"/>
      <c r="F370" s="71"/>
    </row>
    <row r="371">
      <c r="A371" s="68"/>
      <c r="B371" s="69"/>
      <c r="C371" s="73"/>
      <c r="D371" s="71"/>
      <c r="E371" s="71"/>
      <c r="F371" s="71"/>
    </row>
    <row r="372">
      <c r="A372" s="68"/>
      <c r="B372" s="69"/>
      <c r="C372" s="73"/>
      <c r="D372" s="71"/>
      <c r="E372" s="71"/>
      <c r="F372" s="71"/>
    </row>
    <row r="373">
      <c r="A373" s="68"/>
      <c r="B373" s="69"/>
      <c r="C373" s="73"/>
      <c r="D373" s="71"/>
      <c r="E373" s="71"/>
      <c r="F373" s="71"/>
    </row>
    <row r="374">
      <c r="A374" s="68"/>
      <c r="B374" s="69"/>
      <c r="C374" s="73"/>
      <c r="D374" s="71"/>
      <c r="E374" s="71"/>
      <c r="F374" s="71"/>
    </row>
    <row r="375">
      <c r="A375" s="68"/>
      <c r="B375" s="69"/>
      <c r="C375" s="73"/>
      <c r="D375" s="71"/>
      <c r="E375" s="71"/>
      <c r="F375" s="71"/>
    </row>
    <row r="376">
      <c r="A376" s="68"/>
      <c r="B376" s="69"/>
      <c r="C376" s="73"/>
      <c r="D376" s="71"/>
      <c r="E376" s="71"/>
      <c r="F376" s="71"/>
    </row>
    <row r="377">
      <c r="A377" s="68"/>
      <c r="B377" s="69"/>
      <c r="C377" s="73"/>
      <c r="D377" s="71"/>
      <c r="E377" s="71"/>
      <c r="F377" s="71"/>
    </row>
    <row r="378">
      <c r="A378" s="68"/>
      <c r="B378" s="69"/>
      <c r="C378" s="73"/>
      <c r="D378" s="71"/>
      <c r="E378" s="71"/>
      <c r="F378" s="71"/>
    </row>
    <row r="379">
      <c r="A379" s="68"/>
      <c r="B379" s="69"/>
      <c r="C379" s="73"/>
      <c r="D379" s="71"/>
      <c r="E379" s="71"/>
      <c r="F379" s="71"/>
    </row>
    <row r="380">
      <c r="A380" s="68"/>
      <c r="B380" s="69"/>
      <c r="C380" s="73"/>
      <c r="D380" s="71"/>
      <c r="E380" s="71"/>
      <c r="F380" s="71"/>
    </row>
    <row r="381">
      <c r="A381" s="68"/>
      <c r="B381" s="69"/>
      <c r="C381" s="73"/>
      <c r="D381" s="71"/>
      <c r="E381" s="71"/>
      <c r="F381" s="71"/>
    </row>
    <row r="382">
      <c r="A382" s="68"/>
      <c r="B382" s="69"/>
      <c r="C382" s="73"/>
      <c r="D382" s="71"/>
      <c r="E382" s="71"/>
      <c r="F382" s="71"/>
    </row>
    <row r="383">
      <c r="A383" s="68"/>
      <c r="B383" s="69"/>
      <c r="C383" s="73"/>
      <c r="D383" s="71"/>
      <c r="E383" s="71"/>
      <c r="F383" s="71"/>
    </row>
    <row r="384">
      <c r="A384" s="68"/>
      <c r="B384" s="69"/>
      <c r="C384" s="73"/>
      <c r="D384" s="71"/>
      <c r="E384" s="71"/>
      <c r="F384" s="71"/>
    </row>
    <row r="385">
      <c r="A385" s="68"/>
      <c r="B385" s="69"/>
      <c r="C385" s="73"/>
      <c r="D385" s="71"/>
      <c r="E385" s="71"/>
      <c r="F385" s="71"/>
    </row>
    <row r="386">
      <c r="A386" s="68"/>
      <c r="B386" s="69"/>
      <c r="C386" s="73"/>
      <c r="D386" s="71"/>
      <c r="E386" s="71"/>
      <c r="F386" s="71"/>
    </row>
    <row r="387">
      <c r="A387" s="68"/>
      <c r="B387" s="69"/>
      <c r="C387" s="73"/>
      <c r="D387" s="71"/>
      <c r="E387" s="71"/>
      <c r="F387" s="71"/>
    </row>
    <row r="388">
      <c r="A388" s="68"/>
      <c r="B388" s="69"/>
      <c r="C388" s="73"/>
      <c r="D388" s="71"/>
      <c r="E388" s="71"/>
      <c r="F388" s="71"/>
    </row>
    <row r="389">
      <c r="A389" s="68"/>
      <c r="B389" s="69"/>
      <c r="C389" s="73"/>
      <c r="D389" s="71"/>
      <c r="E389" s="71"/>
      <c r="F389" s="71"/>
    </row>
    <row r="390">
      <c r="A390" s="68"/>
      <c r="B390" s="69"/>
      <c r="C390" s="73"/>
      <c r="D390" s="71"/>
      <c r="E390" s="71"/>
      <c r="F390" s="71"/>
    </row>
    <row r="391">
      <c r="A391" s="68"/>
      <c r="B391" s="69"/>
      <c r="C391" s="73"/>
      <c r="D391" s="71"/>
      <c r="E391" s="71"/>
      <c r="F391" s="71"/>
    </row>
    <row r="392">
      <c r="A392" s="68"/>
      <c r="B392" s="69"/>
      <c r="C392" s="73"/>
      <c r="D392" s="71"/>
      <c r="E392" s="71"/>
      <c r="F392" s="71"/>
    </row>
    <row r="393">
      <c r="A393" s="68"/>
      <c r="B393" s="69"/>
      <c r="C393" s="73"/>
      <c r="D393" s="71"/>
      <c r="E393" s="71"/>
      <c r="F393" s="71"/>
    </row>
    <row r="394">
      <c r="A394" s="68"/>
      <c r="B394" s="69"/>
      <c r="C394" s="73"/>
      <c r="D394" s="71"/>
      <c r="E394" s="71"/>
      <c r="F394" s="71"/>
    </row>
    <row r="395">
      <c r="A395" s="68"/>
      <c r="B395" s="69"/>
      <c r="C395" s="73"/>
      <c r="D395" s="71"/>
      <c r="E395" s="71"/>
      <c r="F395" s="71"/>
    </row>
    <row r="396">
      <c r="A396" s="68"/>
      <c r="B396" s="69"/>
      <c r="C396" s="73"/>
      <c r="D396" s="71"/>
      <c r="E396" s="71"/>
      <c r="F396" s="71"/>
    </row>
    <row r="397">
      <c r="A397" s="68"/>
      <c r="B397" s="69"/>
      <c r="C397" s="73"/>
      <c r="D397" s="71"/>
      <c r="E397" s="71"/>
      <c r="F397" s="71"/>
    </row>
    <row r="398">
      <c r="A398" s="68"/>
      <c r="B398" s="69"/>
      <c r="C398" s="73"/>
      <c r="D398" s="71"/>
      <c r="E398" s="71"/>
      <c r="F398" s="71"/>
    </row>
    <row r="399">
      <c r="A399" s="68"/>
      <c r="B399" s="69"/>
      <c r="C399" s="73"/>
      <c r="D399" s="71"/>
      <c r="E399" s="71"/>
      <c r="F399" s="71"/>
    </row>
    <row r="400">
      <c r="A400" s="68"/>
      <c r="B400" s="69"/>
      <c r="C400" s="73"/>
      <c r="D400" s="71"/>
      <c r="E400" s="71"/>
      <c r="F400" s="71"/>
    </row>
    <row r="401">
      <c r="A401" s="68"/>
      <c r="B401" s="69"/>
      <c r="C401" s="73"/>
      <c r="D401" s="71"/>
      <c r="E401" s="71"/>
      <c r="F401" s="71"/>
    </row>
    <row r="402">
      <c r="A402" s="68"/>
      <c r="B402" s="69"/>
      <c r="C402" s="73"/>
      <c r="D402" s="71"/>
      <c r="E402" s="71"/>
      <c r="F402" s="71"/>
    </row>
    <row r="403">
      <c r="A403" s="68"/>
      <c r="B403" s="69"/>
      <c r="C403" s="73"/>
      <c r="D403" s="71"/>
      <c r="E403" s="71"/>
      <c r="F403" s="71"/>
    </row>
    <row r="404">
      <c r="A404" s="68"/>
      <c r="B404" s="69"/>
      <c r="C404" s="73"/>
      <c r="D404" s="71"/>
      <c r="E404" s="71"/>
      <c r="F404" s="71"/>
    </row>
    <row r="405">
      <c r="A405" s="68"/>
      <c r="B405" s="69"/>
      <c r="C405" s="73"/>
      <c r="D405" s="71"/>
      <c r="E405" s="71"/>
      <c r="F405" s="71"/>
    </row>
    <row r="406">
      <c r="A406" s="68"/>
      <c r="B406" s="69"/>
      <c r="C406" s="73"/>
      <c r="D406" s="71"/>
      <c r="E406" s="71"/>
      <c r="F406" s="71"/>
    </row>
    <row r="407">
      <c r="A407" s="68"/>
      <c r="B407" s="69"/>
      <c r="C407" s="73"/>
      <c r="D407" s="71"/>
      <c r="E407" s="71"/>
      <c r="F407" s="71"/>
    </row>
    <row r="408">
      <c r="A408" s="68"/>
      <c r="B408" s="69"/>
      <c r="C408" s="73"/>
      <c r="D408" s="71"/>
      <c r="E408" s="71"/>
      <c r="F408" s="71"/>
    </row>
    <row r="409">
      <c r="A409" s="68"/>
      <c r="B409" s="69"/>
      <c r="C409" s="73"/>
      <c r="D409" s="71"/>
      <c r="E409" s="71"/>
      <c r="F409" s="71"/>
    </row>
    <row r="410">
      <c r="A410" s="68"/>
      <c r="B410" s="69"/>
      <c r="C410" s="73"/>
      <c r="D410" s="71"/>
      <c r="E410" s="71"/>
      <c r="F410" s="71"/>
    </row>
    <row r="411">
      <c r="A411" s="68"/>
      <c r="B411" s="69"/>
      <c r="C411" s="73"/>
      <c r="D411" s="71"/>
      <c r="E411" s="71"/>
      <c r="F411" s="71"/>
    </row>
    <row r="412">
      <c r="A412" s="68"/>
      <c r="B412" s="69"/>
      <c r="C412" s="73"/>
      <c r="D412" s="71"/>
      <c r="E412" s="71"/>
      <c r="F412" s="71"/>
    </row>
    <row r="413">
      <c r="A413" s="68"/>
      <c r="B413" s="69"/>
      <c r="C413" s="73"/>
      <c r="D413" s="71"/>
      <c r="E413" s="71"/>
      <c r="F413" s="71"/>
    </row>
    <row r="414">
      <c r="A414" s="68"/>
      <c r="B414" s="69"/>
      <c r="C414" s="73"/>
      <c r="D414" s="71"/>
      <c r="E414" s="71"/>
      <c r="F414" s="71"/>
    </row>
    <row r="415">
      <c r="A415" s="68"/>
      <c r="B415" s="69"/>
      <c r="C415" s="73"/>
      <c r="D415" s="71"/>
      <c r="E415" s="71"/>
      <c r="F415" s="71"/>
    </row>
    <row r="416">
      <c r="A416" s="68"/>
      <c r="B416" s="69"/>
      <c r="C416" s="73"/>
      <c r="D416" s="71"/>
      <c r="E416" s="71"/>
      <c r="F416" s="71"/>
    </row>
    <row r="417">
      <c r="A417" s="68"/>
      <c r="B417" s="69"/>
      <c r="C417" s="73"/>
      <c r="D417" s="71"/>
      <c r="E417" s="71"/>
      <c r="F417" s="71"/>
    </row>
    <row r="418">
      <c r="A418" s="68"/>
      <c r="B418" s="69"/>
      <c r="C418" s="73"/>
      <c r="D418" s="71"/>
      <c r="E418" s="71"/>
      <c r="F418" s="71"/>
    </row>
    <row r="419">
      <c r="A419" s="68"/>
      <c r="B419" s="69"/>
      <c r="C419" s="73"/>
      <c r="D419" s="71"/>
      <c r="E419" s="71"/>
      <c r="F419" s="71"/>
    </row>
    <row r="420">
      <c r="A420" s="68"/>
      <c r="B420" s="69"/>
      <c r="C420" s="73"/>
      <c r="D420" s="71"/>
      <c r="E420" s="71"/>
      <c r="F420" s="71"/>
    </row>
    <row r="421">
      <c r="A421" s="68"/>
      <c r="B421" s="69"/>
      <c r="C421" s="73"/>
      <c r="D421" s="71"/>
      <c r="E421" s="71"/>
      <c r="F421" s="71"/>
    </row>
    <row r="422">
      <c r="A422" s="68"/>
      <c r="B422" s="69"/>
      <c r="C422" s="73"/>
      <c r="D422" s="71"/>
      <c r="E422" s="71"/>
      <c r="F422" s="71"/>
    </row>
    <row r="423">
      <c r="A423" s="68"/>
      <c r="B423" s="69"/>
      <c r="C423" s="73"/>
      <c r="D423" s="71"/>
      <c r="E423" s="71"/>
      <c r="F423" s="71"/>
    </row>
    <row r="424">
      <c r="A424" s="68"/>
      <c r="B424" s="69"/>
      <c r="C424" s="73"/>
      <c r="D424" s="71"/>
      <c r="E424" s="71"/>
      <c r="F424" s="71"/>
    </row>
    <row r="425">
      <c r="A425" s="68"/>
      <c r="B425" s="69"/>
      <c r="C425" s="73"/>
      <c r="D425" s="71"/>
      <c r="E425" s="71"/>
      <c r="F425" s="71"/>
    </row>
    <row r="426">
      <c r="A426" s="68"/>
      <c r="B426" s="69"/>
      <c r="C426" s="73"/>
      <c r="D426" s="71"/>
      <c r="E426" s="71"/>
      <c r="F426" s="71"/>
    </row>
    <row r="427">
      <c r="A427" s="68"/>
      <c r="B427" s="69"/>
      <c r="C427" s="73"/>
      <c r="D427" s="71"/>
      <c r="E427" s="71"/>
      <c r="F427" s="71"/>
    </row>
    <row r="428">
      <c r="A428" s="68"/>
      <c r="B428" s="69"/>
      <c r="C428" s="73"/>
      <c r="D428" s="71"/>
      <c r="E428" s="71"/>
      <c r="F428" s="71"/>
    </row>
    <row r="429">
      <c r="A429" s="68"/>
      <c r="B429" s="69"/>
      <c r="C429" s="73"/>
      <c r="D429" s="71"/>
      <c r="E429" s="71"/>
      <c r="F429" s="71"/>
    </row>
    <row r="430">
      <c r="A430" s="68"/>
      <c r="B430" s="69"/>
      <c r="C430" s="73"/>
      <c r="D430" s="71"/>
      <c r="E430" s="71"/>
      <c r="F430" s="71"/>
    </row>
    <row r="431">
      <c r="A431" s="68"/>
      <c r="B431" s="69"/>
      <c r="C431" s="73"/>
      <c r="D431" s="71"/>
      <c r="E431" s="71"/>
      <c r="F431" s="71"/>
    </row>
    <row r="432">
      <c r="A432" s="68"/>
      <c r="B432" s="69"/>
      <c r="C432" s="73"/>
      <c r="D432" s="71"/>
      <c r="E432" s="71"/>
      <c r="F432" s="71"/>
    </row>
    <row r="433">
      <c r="A433" s="68"/>
      <c r="B433" s="69"/>
      <c r="C433" s="73"/>
      <c r="D433" s="71"/>
      <c r="E433" s="71"/>
      <c r="F433" s="71"/>
    </row>
    <row r="434">
      <c r="A434" s="68"/>
      <c r="B434" s="69"/>
      <c r="C434" s="73"/>
      <c r="D434" s="71"/>
      <c r="E434" s="71"/>
      <c r="F434" s="71"/>
    </row>
    <row r="435">
      <c r="A435" s="68"/>
      <c r="B435" s="69"/>
      <c r="C435" s="73"/>
      <c r="D435" s="71"/>
      <c r="E435" s="71"/>
      <c r="F435" s="71"/>
    </row>
    <row r="436">
      <c r="A436" s="68"/>
      <c r="B436" s="69"/>
      <c r="C436" s="73"/>
      <c r="D436" s="71"/>
      <c r="E436" s="71"/>
      <c r="F436" s="71"/>
    </row>
    <row r="437">
      <c r="A437" s="68"/>
      <c r="B437" s="69"/>
      <c r="C437" s="73"/>
      <c r="D437" s="71"/>
      <c r="E437" s="71"/>
      <c r="F437" s="71"/>
    </row>
    <row r="438">
      <c r="A438" s="68"/>
      <c r="B438" s="69"/>
      <c r="C438" s="73"/>
      <c r="D438" s="71"/>
      <c r="E438" s="71"/>
      <c r="F438" s="71"/>
    </row>
    <row r="439">
      <c r="A439" s="68"/>
      <c r="B439" s="69"/>
      <c r="C439" s="73"/>
      <c r="D439" s="71"/>
      <c r="E439" s="71"/>
      <c r="F439" s="71"/>
    </row>
    <row r="440">
      <c r="A440" s="68"/>
      <c r="B440" s="69"/>
      <c r="C440" s="73"/>
      <c r="D440" s="71"/>
      <c r="E440" s="71"/>
      <c r="F440" s="71"/>
    </row>
    <row r="441">
      <c r="A441" s="68"/>
      <c r="B441" s="69"/>
      <c r="C441" s="73"/>
      <c r="D441" s="71"/>
      <c r="E441" s="71"/>
      <c r="F441" s="71"/>
    </row>
    <row r="442">
      <c r="A442" s="68"/>
      <c r="B442" s="69"/>
      <c r="C442" s="73"/>
      <c r="D442" s="71"/>
      <c r="E442" s="71"/>
      <c r="F442" s="71"/>
    </row>
    <row r="443">
      <c r="A443" s="68"/>
      <c r="B443" s="69"/>
      <c r="C443" s="73"/>
      <c r="D443" s="71"/>
      <c r="E443" s="71"/>
      <c r="F443" s="71"/>
    </row>
    <row r="444">
      <c r="A444" s="68"/>
      <c r="B444" s="69"/>
      <c r="C444" s="73"/>
      <c r="D444" s="71"/>
      <c r="E444" s="71"/>
      <c r="F444" s="71"/>
    </row>
    <row r="445">
      <c r="A445" s="68"/>
      <c r="B445" s="69"/>
      <c r="C445" s="73"/>
      <c r="D445" s="71"/>
      <c r="E445" s="71"/>
      <c r="F445" s="71"/>
    </row>
    <row r="446">
      <c r="A446" s="68"/>
      <c r="B446" s="69"/>
      <c r="C446" s="73"/>
      <c r="D446" s="71"/>
      <c r="E446" s="71"/>
      <c r="F446" s="71"/>
    </row>
    <row r="447">
      <c r="A447" s="68"/>
      <c r="B447" s="69"/>
      <c r="C447" s="73"/>
      <c r="D447" s="71"/>
      <c r="E447" s="71"/>
      <c r="F447" s="71"/>
    </row>
    <row r="448">
      <c r="A448" s="68"/>
      <c r="B448" s="69"/>
      <c r="C448" s="73"/>
      <c r="D448" s="71"/>
      <c r="E448" s="71"/>
      <c r="F448" s="71"/>
    </row>
    <row r="449">
      <c r="A449" s="68"/>
      <c r="B449" s="69"/>
      <c r="C449" s="73"/>
      <c r="D449" s="71"/>
      <c r="E449" s="71"/>
      <c r="F449" s="71"/>
    </row>
    <row r="450">
      <c r="A450" s="68"/>
      <c r="B450" s="69"/>
      <c r="C450" s="73"/>
      <c r="D450" s="71"/>
      <c r="E450" s="71"/>
      <c r="F450" s="71"/>
    </row>
    <row r="451">
      <c r="A451" s="68"/>
      <c r="B451" s="69"/>
      <c r="C451" s="73"/>
      <c r="D451" s="71"/>
      <c r="E451" s="71"/>
      <c r="F451" s="71"/>
    </row>
    <row r="452">
      <c r="A452" s="68"/>
      <c r="B452" s="69"/>
      <c r="C452" s="73"/>
      <c r="D452" s="71"/>
      <c r="E452" s="71"/>
      <c r="F452" s="71"/>
    </row>
    <row r="453">
      <c r="A453" s="68"/>
      <c r="B453" s="69"/>
      <c r="C453" s="73"/>
      <c r="D453" s="71"/>
      <c r="E453" s="71"/>
      <c r="F453" s="71"/>
    </row>
    <row r="454">
      <c r="A454" s="68"/>
      <c r="B454" s="69"/>
      <c r="C454" s="73"/>
      <c r="D454" s="71"/>
      <c r="E454" s="71"/>
      <c r="F454" s="71"/>
    </row>
    <row r="455">
      <c r="A455" s="68"/>
      <c r="B455" s="69"/>
      <c r="C455" s="73"/>
      <c r="D455" s="71"/>
      <c r="E455" s="71"/>
      <c r="F455" s="71"/>
    </row>
    <row r="456">
      <c r="A456" s="68"/>
      <c r="B456" s="69"/>
      <c r="C456" s="73"/>
      <c r="D456" s="71"/>
      <c r="E456" s="71"/>
      <c r="F456" s="71"/>
    </row>
    <row r="457">
      <c r="A457" s="68"/>
      <c r="B457" s="69"/>
      <c r="C457" s="73"/>
      <c r="D457" s="71"/>
      <c r="E457" s="71"/>
      <c r="F457" s="71"/>
    </row>
    <row r="458">
      <c r="A458" s="68"/>
      <c r="B458" s="69"/>
      <c r="C458" s="73"/>
      <c r="D458" s="71"/>
      <c r="E458" s="71"/>
      <c r="F458" s="71"/>
    </row>
    <row r="459">
      <c r="A459" s="68"/>
      <c r="B459" s="69"/>
      <c r="C459" s="73"/>
      <c r="D459" s="71"/>
      <c r="E459" s="71"/>
      <c r="F459" s="71"/>
    </row>
    <row r="460">
      <c r="A460" s="68"/>
      <c r="B460" s="69"/>
      <c r="C460" s="73"/>
      <c r="D460" s="71"/>
      <c r="E460" s="71"/>
      <c r="F460" s="71"/>
    </row>
    <row r="461">
      <c r="A461" s="68"/>
      <c r="B461" s="69"/>
      <c r="C461" s="73"/>
      <c r="D461" s="71"/>
      <c r="E461" s="71"/>
      <c r="F461" s="71"/>
    </row>
    <row r="462">
      <c r="A462" s="68"/>
      <c r="B462" s="69"/>
      <c r="C462" s="73"/>
      <c r="D462" s="71"/>
      <c r="E462" s="71"/>
      <c r="F462" s="71"/>
    </row>
    <row r="463">
      <c r="A463" s="68"/>
      <c r="B463" s="69"/>
      <c r="C463" s="73"/>
      <c r="D463" s="71"/>
      <c r="E463" s="71"/>
      <c r="F463" s="71"/>
    </row>
    <row r="464">
      <c r="A464" s="68"/>
      <c r="B464" s="69"/>
      <c r="C464" s="73"/>
      <c r="D464" s="71"/>
      <c r="E464" s="71"/>
      <c r="F464" s="71"/>
    </row>
    <row r="465">
      <c r="A465" s="68"/>
      <c r="B465" s="69"/>
      <c r="C465" s="73"/>
      <c r="D465" s="71"/>
      <c r="E465" s="71"/>
      <c r="F465" s="71"/>
    </row>
    <row r="466">
      <c r="A466" s="68"/>
      <c r="B466" s="69"/>
      <c r="C466" s="73"/>
      <c r="D466" s="71"/>
      <c r="E466" s="71"/>
      <c r="F466" s="71"/>
    </row>
    <row r="467">
      <c r="A467" s="68"/>
      <c r="B467" s="69"/>
      <c r="C467" s="73"/>
      <c r="D467" s="71"/>
      <c r="E467" s="71"/>
      <c r="F467" s="71"/>
    </row>
    <row r="468">
      <c r="A468" s="68"/>
      <c r="B468" s="69"/>
      <c r="C468" s="73"/>
      <c r="D468" s="71"/>
      <c r="E468" s="71"/>
      <c r="F468" s="71"/>
    </row>
    <row r="469">
      <c r="A469" s="68"/>
      <c r="B469" s="69"/>
      <c r="C469" s="73"/>
      <c r="D469" s="71"/>
      <c r="E469" s="71"/>
      <c r="F469" s="71"/>
    </row>
    <row r="470">
      <c r="A470" s="68"/>
      <c r="B470" s="69"/>
      <c r="C470" s="73"/>
      <c r="D470" s="71"/>
      <c r="E470" s="71"/>
      <c r="F470" s="71"/>
    </row>
    <row r="471">
      <c r="A471" s="68"/>
      <c r="B471" s="69"/>
      <c r="C471" s="73"/>
      <c r="D471" s="71"/>
      <c r="E471" s="71"/>
      <c r="F471" s="71"/>
    </row>
    <row r="472">
      <c r="A472" s="68"/>
      <c r="B472" s="69"/>
      <c r="C472" s="73"/>
      <c r="D472" s="71"/>
      <c r="E472" s="71"/>
      <c r="F472" s="71"/>
    </row>
    <row r="473">
      <c r="A473" s="68"/>
      <c r="B473" s="69"/>
      <c r="C473" s="73"/>
      <c r="D473" s="71"/>
      <c r="E473" s="71"/>
      <c r="F473" s="71"/>
    </row>
    <row r="474">
      <c r="A474" s="68"/>
      <c r="B474" s="69"/>
      <c r="C474" s="73"/>
      <c r="D474" s="71"/>
      <c r="E474" s="71"/>
      <c r="F474" s="71"/>
    </row>
    <row r="475">
      <c r="A475" s="68"/>
      <c r="B475" s="69"/>
      <c r="C475" s="73"/>
      <c r="D475" s="71"/>
      <c r="E475" s="71"/>
      <c r="F475" s="71"/>
    </row>
    <row r="476">
      <c r="A476" s="68"/>
      <c r="B476" s="69"/>
      <c r="C476" s="73"/>
      <c r="D476" s="71"/>
      <c r="E476" s="71"/>
      <c r="F476" s="71"/>
    </row>
    <row r="477">
      <c r="A477" s="68"/>
      <c r="B477" s="69"/>
      <c r="C477" s="73"/>
      <c r="D477" s="71"/>
      <c r="E477" s="71"/>
      <c r="F477" s="71"/>
    </row>
    <row r="478">
      <c r="A478" s="68"/>
      <c r="B478" s="69"/>
      <c r="C478" s="73"/>
      <c r="D478" s="71"/>
      <c r="E478" s="71"/>
      <c r="F478" s="71"/>
    </row>
    <row r="479">
      <c r="A479" s="68"/>
      <c r="B479" s="69"/>
      <c r="C479" s="73"/>
      <c r="D479" s="71"/>
      <c r="E479" s="71"/>
      <c r="F479" s="71"/>
    </row>
    <row r="480">
      <c r="A480" s="68"/>
      <c r="B480" s="69"/>
      <c r="C480" s="73"/>
      <c r="D480" s="71"/>
      <c r="E480" s="71"/>
      <c r="F480" s="71"/>
    </row>
    <row r="481">
      <c r="A481" s="68"/>
      <c r="B481" s="69"/>
      <c r="C481" s="73"/>
      <c r="D481" s="71"/>
      <c r="E481" s="71"/>
      <c r="F481" s="71"/>
    </row>
    <row r="482">
      <c r="A482" s="68"/>
      <c r="B482" s="69"/>
      <c r="C482" s="73"/>
      <c r="D482" s="71"/>
      <c r="E482" s="71"/>
      <c r="F482" s="71"/>
    </row>
    <row r="483">
      <c r="A483" s="68"/>
      <c r="B483" s="69"/>
      <c r="C483" s="73"/>
      <c r="D483" s="71"/>
      <c r="E483" s="71"/>
      <c r="F483" s="71"/>
    </row>
    <row r="484">
      <c r="A484" s="68"/>
      <c r="B484" s="69"/>
      <c r="C484" s="73"/>
      <c r="D484" s="71"/>
      <c r="E484" s="71"/>
      <c r="F484" s="71"/>
    </row>
    <row r="485">
      <c r="A485" s="68"/>
      <c r="B485" s="69"/>
      <c r="C485" s="73"/>
      <c r="D485" s="71"/>
      <c r="E485" s="71"/>
      <c r="F485" s="71"/>
    </row>
    <row r="486">
      <c r="A486" s="68"/>
      <c r="B486" s="69"/>
      <c r="C486" s="73"/>
      <c r="D486" s="71"/>
      <c r="E486" s="71"/>
      <c r="F486" s="71"/>
    </row>
    <row r="487">
      <c r="A487" s="68"/>
      <c r="B487" s="69"/>
      <c r="C487" s="73"/>
      <c r="D487" s="71"/>
      <c r="E487" s="71"/>
      <c r="F487" s="71"/>
    </row>
    <row r="488">
      <c r="A488" s="68"/>
      <c r="B488" s="69"/>
      <c r="C488" s="73"/>
      <c r="D488" s="71"/>
      <c r="E488" s="71"/>
      <c r="F488" s="71"/>
    </row>
    <row r="489">
      <c r="A489" s="68"/>
      <c r="B489" s="69"/>
      <c r="C489" s="73"/>
      <c r="D489" s="71"/>
      <c r="E489" s="71"/>
      <c r="F489" s="71"/>
    </row>
    <row r="490">
      <c r="A490" s="68"/>
      <c r="B490" s="69"/>
      <c r="C490" s="73"/>
      <c r="D490" s="71"/>
      <c r="E490" s="71"/>
      <c r="F490" s="71"/>
    </row>
    <row r="491">
      <c r="A491" s="68"/>
      <c r="B491" s="69"/>
      <c r="C491" s="73"/>
      <c r="D491" s="71"/>
      <c r="E491" s="71"/>
      <c r="F491" s="71"/>
    </row>
    <row r="492">
      <c r="A492" s="68"/>
      <c r="B492" s="69"/>
      <c r="C492" s="73"/>
      <c r="D492" s="71"/>
      <c r="E492" s="71"/>
      <c r="F492" s="71"/>
    </row>
    <row r="493">
      <c r="A493" s="68"/>
      <c r="B493" s="69"/>
      <c r="C493" s="73"/>
      <c r="D493" s="71"/>
      <c r="E493" s="71"/>
      <c r="F493" s="71"/>
    </row>
    <row r="494">
      <c r="A494" s="68"/>
      <c r="B494" s="69"/>
      <c r="C494" s="73"/>
      <c r="D494" s="71"/>
      <c r="E494" s="71"/>
      <c r="F494" s="71"/>
    </row>
    <row r="495">
      <c r="A495" s="68"/>
      <c r="B495" s="69"/>
      <c r="C495" s="73"/>
      <c r="D495" s="71"/>
      <c r="E495" s="71"/>
      <c r="F495" s="71"/>
    </row>
    <row r="496">
      <c r="A496" s="68"/>
      <c r="B496" s="69"/>
      <c r="C496" s="73"/>
      <c r="D496" s="71"/>
      <c r="E496" s="71"/>
      <c r="F496" s="71"/>
    </row>
    <row r="497">
      <c r="A497" s="68"/>
      <c r="B497" s="69"/>
      <c r="C497" s="73"/>
      <c r="D497" s="71"/>
      <c r="E497" s="71"/>
      <c r="F497" s="71"/>
    </row>
    <row r="498">
      <c r="A498" s="68"/>
      <c r="B498" s="69"/>
      <c r="C498" s="73"/>
      <c r="D498" s="71"/>
      <c r="E498" s="71"/>
      <c r="F498" s="71"/>
    </row>
    <row r="499">
      <c r="A499" s="68"/>
      <c r="B499" s="69"/>
      <c r="C499" s="73"/>
      <c r="D499" s="71"/>
      <c r="E499" s="71"/>
      <c r="F499" s="71"/>
    </row>
    <row r="500">
      <c r="A500" s="68"/>
      <c r="B500" s="69"/>
      <c r="C500" s="73"/>
      <c r="D500" s="71"/>
      <c r="E500" s="71"/>
      <c r="F500" s="71"/>
    </row>
    <row r="501">
      <c r="A501" s="68"/>
      <c r="B501" s="69"/>
      <c r="C501" s="73"/>
      <c r="D501" s="71"/>
      <c r="E501" s="71"/>
      <c r="F501" s="71"/>
    </row>
    <row r="502">
      <c r="A502" s="68"/>
      <c r="B502" s="69"/>
      <c r="C502" s="73"/>
      <c r="D502" s="71"/>
      <c r="E502" s="71"/>
      <c r="F502" s="71"/>
    </row>
    <row r="503">
      <c r="A503" s="68"/>
      <c r="B503" s="69"/>
      <c r="C503" s="73"/>
      <c r="D503" s="71"/>
      <c r="E503" s="71"/>
      <c r="F503" s="71"/>
    </row>
    <row r="504">
      <c r="A504" s="68"/>
      <c r="B504" s="69"/>
      <c r="C504" s="73"/>
      <c r="D504" s="71"/>
      <c r="E504" s="71"/>
      <c r="F504" s="71"/>
    </row>
    <row r="505">
      <c r="A505" s="68"/>
      <c r="B505" s="69"/>
      <c r="C505" s="73"/>
      <c r="D505" s="71"/>
      <c r="E505" s="71"/>
      <c r="F505" s="71"/>
    </row>
    <row r="506">
      <c r="A506" s="68"/>
      <c r="B506" s="69"/>
      <c r="C506" s="73"/>
      <c r="D506" s="71"/>
      <c r="E506" s="71"/>
      <c r="F506" s="71"/>
    </row>
    <row r="507">
      <c r="A507" s="68"/>
      <c r="B507" s="69"/>
      <c r="C507" s="73"/>
      <c r="D507" s="71"/>
      <c r="E507" s="71"/>
      <c r="F507" s="71"/>
    </row>
    <row r="508">
      <c r="A508" s="68"/>
      <c r="B508" s="69"/>
      <c r="C508" s="73"/>
      <c r="D508" s="71"/>
      <c r="E508" s="71"/>
      <c r="F508" s="71"/>
    </row>
    <row r="509">
      <c r="A509" s="68"/>
      <c r="B509" s="69"/>
      <c r="C509" s="73"/>
      <c r="D509" s="71"/>
      <c r="E509" s="71"/>
      <c r="F509" s="71"/>
    </row>
    <row r="510">
      <c r="A510" s="68"/>
      <c r="B510" s="69"/>
      <c r="C510" s="73"/>
      <c r="D510" s="71"/>
      <c r="E510" s="71"/>
      <c r="F510" s="71"/>
    </row>
    <row r="511">
      <c r="A511" s="68"/>
      <c r="B511" s="69"/>
      <c r="C511" s="73"/>
      <c r="D511" s="71"/>
      <c r="E511" s="71"/>
      <c r="F511" s="71"/>
    </row>
    <row r="512">
      <c r="A512" s="68"/>
      <c r="B512" s="69"/>
      <c r="C512" s="73"/>
      <c r="D512" s="71"/>
      <c r="E512" s="71"/>
      <c r="F512" s="71"/>
    </row>
    <row r="513">
      <c r="A513" s="68"/>
      <c r="B513" s="69"/>
      <c r="C513" s="73"/>
      <c r="D513" s="71"/>
      <c r="E513" s="71"/>
      <c r="F513" s="71"/>
    </row>
    <row r="514">
      <c r="A514" s="68"/>
      <c r="B514" s="69"/>
      <c r="C514" s="73"/>
      <c r="D514" s="71"/>
      <c r="E514" s="71"/>
      <c r="F514" s="71"/>
    </row>
    <row r="515">
      <c r="A515" s="68"/>
      <c r="B515" s="69"/>
      <c r="C515" s="73"/>
      <c r="D515" s="71"/>
      <c r="E515" s="71"/>
      <c r="F515" s="71"/>
    </row>
    <row r="516">
      <c r="A516" s="68"/>
      <c r="B516" s="69"/>
      <c r="C516" s="73"/>
      <c r="D516" s="71"/>
      <c r="E516" s="71"/>
      <c r="F516" s="71"/>
    </row>
    <row r="517">
      <c r="A517" s="68"/>
      <c r="B517" s="69"/>
      <c r="C517" s="73"/>
      <c r="D517" s="71"/>
      <c r="E517" s="71"/>
      <c r="F517" s="71"/>
    </row>
    <row r="518">
      <c r="A518" s="68"/>
      <c r="B518" s="69"/>
      <c r="C518" s="73"/>
      <c r="D518" s="71"/>
      <c r="E518" s="71"/>
      <c r="F518" s="71"/>
    </row>
    <row r="519">
      <c r="A519" s="68"/>
      <c r="B519" s="69"/>
      <c r="C519" s="73"/>
      <c r="D519" s="71"/>
      <c r="E519" s="71"/>
      <c r="F519" s="71"/>
    </row>
    <row r="520">
      <c r="A520" s="68"/>
      <c r="B520" s="69"/>
      <c r="C520" s="73"/>
      <c r="D520" s="71"/>
      <c r="E520" s="71"/>
      <c r="F520" s="71"/>
    </row>
    <row r="521">
      <c r="A521" s="68"/>
      <c r="B521" s="69"/>
      <c r="C521" s="73"/>
      <c r="D521" s="71"/>
      <c r="E521" s="71"/>
      <c r="F521" s="71"/>
    </row>
    <row r="522">
      <c r="A522" s="68"/>
      <c r="B522" s="69"/>
      <c r="C522" s="73"/>
      <c r="D522" s="71"/>
      <c r="E522" s="71"/>
      <c r="F522" s="71"/>
    </row>
    <row r="523">
      <c r="A523" s="68"/>
      <c r="B523" s="69"/>
      <c r="C523" s="73"/>
      <c r="D523" s="71"/>
      <c r="E523" s="71"/>
      <c r="F523" s="71"/>
    </row>
    <row r="524">
      <c r="A524" s="68"/>
      <c r="B524" s="69"/>
      <c r="C524" s="73"/>
      <c r="D524" s="71"/>
      <c r="E524" s="71"/>
      <c r="F524" s="71"/>
    </row>
    <row r="525">
      <c r="A525" s="68"/>
      <c r="B525" s="69"/>
      <c r="C525" s="73"/>
      <c r="D525" s="71"/>
      <c r="E525" s="71"/>
      <c r="F525" s="71"/>
    </row>
    <row r="526">
      <c r="A526" s="68"/>
      <c r="B526" s="69"/>
      <c r="C526" s="73"/>
      <c r="D526" s="71"/>
      <c r="E526" s="71"/>
      <c r="F526" s="71"/>
    </row>
    <row r="527">
      <c r="A527" s="68"/>
      <c r="B527" s="69"/>
      <c r="C527" s="73"/>
      <c r="D527" s="71"/>
      <c r="E527" s="71"/>
      <c r="F527" s="71"/>
    </row>
    <row r="528">
      <c r="A528" s="68"/>
      <c r="B528" s="69"/>
      <c r="C528" s="73"/>
      <c r="D528" s="71"/>
      <c r="E528" s="71"/>
      <c r="F528" s="71"/>
    </row>
    <row r="529">
      <c r="A529" s="68"/>
      <c r="B529" s="69"/>
      <c r="C529" s="73"/>
      <c r="D529" s="71"/>
      <c r="E529" s="71"/>
      <c r="F529" s="71"/>
    </row>
    <row r="530">
      <c r="A530" s="68"/>
      <c r="B530" s="69"/>
      <c r="C530" s="73"/>
      <c r="D530" s="71"/>
      <c r="E530" s="71"/>
      <c r="F530" s="71"/>
    </row>
    <row r="531">
      <c r="A531" s="68"/>
      <c r="B531" s="69"/>
      <c r="C531" s="73"/>
      <c r="D531" s="71"/>
      <c r="E531" s="71"/>
      <c r="F531" s="71"/>
    </row>
    <row r="532">
      <c r="A532" s="68"/>
      <c r="B532" s="69"/>
      <c r="C532" s="73"/>
      <c r="D532" s="71"/>
      <c r="E532" s="71"/>
      <c r="F532" s="71"/>
    </row>
    <row r="533">
      <c r="A533" s="68"/>
      <c r="B533" s="69"/>
      <c r="C533" s="73"/>
      <c r="D533" s="71"/>
      <c r="E533" s="71"/>
      <c r="F533" s="71"/>
    </row>
    <row r="534">
      <c r="A534" s="68"/>
      <c r="B534" s="69"/>
      <c r="C534" s="73"/>
      <c r="D534" s="71"/>
      <c r="E534" s="71"/>
      <c r="F534" s="71"/>
    </row>
    <row r="535">
      <c r="A535" s="68"/>
      <c r="B535" s="69"/>
      <c r="C535" s="73"/>
      <c r="D535" s="71"/>
      <c r="E535" s="71"/>
      <c r="F535" s="71"/>
    </row>
    <row r="536">
      <c r="A536" s="68"/>
      <c r="B536" s="69"/>
      <c r="C536" s="73"/>
      <c r="D536" s="71"/>
      <c r="E536" s="71"/>
      <c r="F536" s="71"/>
    </row>
    <row r="537">
      <c r="A537" s="68"/>
      <c r="B537" s="69"/>
      <c r="C537" s="73"/>
      <c r="D537" s="71"/>
      <c r="E537" s="71"/>
      <c r="F537" s="71"/>
    </row>
    <row r="538">
      <c r="A538" s="68"/>
      <c r="B538" s="69"/>
      <c r="C538" s="73"/>
      <c r="D538" s="71"/>
      <c r="E538" s="71"/>
      <c r="F538" s="71"/>
    </row>
    <row r="539">
      <c r="A539" s="68"/>
      <c r="B539" s="69"/>
      <c r="C539" s="73"/>
      <c r="D539" s="71"/>
      <c r="E539" s="71"/>
      <c r="F539" s="71"/>
    </row>
    <row r="540">
      <c r="A540" s="68"/>
      <c r="B540" s="69"/>
      <c r="C540" s="73"/>
      <c r="D540" s="71"/>
      <c r="E540" s="71"/>
      <c r="F540" s="71"/>
    </row>
    <row r="541">
      <c r="A541" s="68"/>
      <c r="B541" s="69"/>
      <c r="C541" s="73"/>
      <c r="D541" s="71"/>
      <c r="E541" s="71"/>
      <c r="F541" s="71"/>
    </row>
    <row r="542">
      <c r="A542" s="68"/>
      <c r="B542" s="69"/>
      <c r="C542" s="73"/>
      <c r="D542" s="71"/>
      <c r="E542" s="71"/>
      <c r="F542" s="71"/>
    </row>
    <row r="543">
      <c r="A543" s="68"/>
      <c r="B543" s="69"/>
      <c r="C543" s="73"/>
      <c r="D543" s="71"/>
      <c r="E543" s="71"/>
      <c r="F543" s="71"/>
    </row>
    <row r="544">
      <c r="A544" s="68"/>
      <c r="B544" s="69"/>
      <c r="C544" s="73"/>
      <c r="D544" s="71"/>
      <c r="E544" s="71"/>
      <c r="F544" s="71"/>
    </row>
    <row r="545">
      <c r="A545" s="68"/>
      <c r="B545" s="69"/>
      <c r="C545" s="73"/>
      <c r="D545" s="71"/>
      <c r="E545" s="71"/>
      <c r="F545" s="71"/>
    </row>
    <row r="546">
      <c r="A546" s="68"/>
      <c r="B546" s="69"/>
      <c r="C546" s="73"/>
      <c r="D546" s="71"/>
      <c r="E546" s="71"/>
      <c r="F546" s="71"/>
    </row>
    <row r="547">
      <c r="A547" s="68"/>
      <c r="B547" s="69"/>
      <c r="C547" s="73"/>
      <c r="D547" s="71"/>
      <c r="E547" s="71"/>
      <c r="F547" s="71"/>
    </row>
    <row r="548">
      <c r="A548" s="68"/>
      <c r="B548" s="69"/>
      <c r="C548" s="73"/>
      <c r="D548" s="71"/>
      <c r="E548" s="71"/>
      <c r="F548" s="71"/>
    </row>
    <row r="549">
      <c r="A549" s="68"/>
      <c r="B549" s="69"/>
      <c r="C549" s="73"/>
      <c r="D549" s="71"/>
      <c r="E549" s="71"/>
      <c r="F549" s="71"/>
    </row>
    <row r="550">
      <c r="A550" s="68"/>
      <c r="B550" s="69"/>
      <c r="C550" s="73"/>
      <c r="D550" s="71"/>
      <c r="E550" s="71"/>
      <c r="F550" s="71"/>
    </row>
    <row r="551">
      <c r="A551" s="68"/>
      <c r="B551" s="69"/>
      <c r="C551" s="73"/>
      <c r="D551" s="71"/>
      <c r="E551" s="71"/>
      <c r="F551" s="71"/>
    </row>
    <row r="552">
      <c r="A552" s="68"/>
      <c r="B552" s="69"/>
      <c r="C552" s="73"/>
      <c r="D552" s="71"/>
      <c r="E552" s="71"/>
      <c r="F552" s="71"/>
    </row>
    <row r="553">
      <c r="A553" s="68"/>
      <c r="B553" s="69"/>
      <c r="C553" s="73"/>
      <c r="D553" s="71"/>
      <c r="E553" s="71"/>
      <c r="F553" s="71"/>
    </row>
    <row r="554">
      <c r="A554" s="68"/>
      <c r="B554" s="69"/>
      <c r="C554" s="73"/>
      <c r="D554" s="71"/>
      <c r="E554" s="71"/>
      <c r="F554" s="71"/>
    </row>
    <row r="555">
      <c r="A555" s="68"/>
      <c r="B555" s="69"/>
      <c r="C555" s="73"/>
      <c r="D555" s="71"/>
      <c r="E555" s="71"/>
      <c r="F555" s="71"/>
    </row>
    <row r="556">
      <c r="A556" s="68"/>
      <c r="B556" s="69"/>
      <c r="C556" s="73"/>
      <c r="D556" s="71"/>
      <c r="E556" s="71"/>
      <c r="F556" s="71"/>
    </row>
    <row r="557">
      <c r="A557" s="68"/>
      <c r="B557" s="69"/>
      <c r="C557" s="73"/>
      <c r="D557" s="71"/>
      <c r="E557" s="71"/>
      <c r="F557" s="71"/>
    </row>
    <row r="558">
      <c r="A558" s="68"/>
      <c r="B558" s="69"/>
      <c r="C558" s="73"/>
      <c r="D558" s="71"/>
      <c r="E558" s="71"/>
      <c r="F558" s="71"/>
    </row>
    <row r="559">
      <c r="A559" s="68"/>
      <c r="B559" s="69"/>
      <c r="C559" s="73"/>
      <c r="D559" s="71"/>
      <c r="E559" s="71"/>
      <c r="F559" s="71"/>
    </row>
    <row r="560">
      <c r="A560" s="68"/>
      <c r="B560" s="69"/>
      <c r="C560" s="73"/>
      <c r="D560" s="71"/>
      <c r="E560" s="71"/>
      <c r="F560" s="71"/>
    </row>
    <row r="561">
      <c r="A561" s="68"/>
      <c r="B561" s="69"/>
      <c r="C561" s="73"/>
      <c r="D561" s="71"/>
      <c r="E561" s="71"/>
      <c r="F561" s="71"/>
    </row>
    <row r="562">
      <c r="A562" s="68"/>
      <c r="B562" s="69"/>
      <c r="C562" s="73"/>
      <c r="D562" s="71"/>
      <c r="E562" s="71"/>
      <c r="F562" s="71"/>
    </row>
    <row r="563">
      <c r="A563" s="68"/>
      <c r="B563" s="69"/>
      <c r="C563" s="73"/>
      <c r="D563" s="71"/>
      <c r="E563" s="71"/>
      <c r="F563" s="71"/>
    </row>
    <row r="564">
      <c r="A564" s="68"/>
      <c r="B564" s="69"/>
      <c r="C564" s="73"/>
      <c r="D564" s="71"/>
      <c r="E564" s="71"/>
      <c r="F564" s="71"/>
    </row>
    <row r="565">
      <c r="A565" s="68"/>
      <c r="B565" s="69"/>
      <c r="C565" s="73"/>
      <c r="D565" s="71"/>
      <c r="E565" s="71"/>
      <c r="F565" s="71"/>
    </row>
    <row r="566">
      <c r="A566" s="68"/>
      <c r="B566" s="69"/>
      <c r="C566" s="73"/>
      <c r="D566" s="71"/>
      <c r="E566" s="71"/>
      <c r="F566" s="71"/>
    </row>
    <row r="567">
      <c r="A567" s="68"/>
      <c r="B567" s="69"/>
      <c r="C567" s="73"/>
      <c r="D567" s="71"/>
      <c r="E567" s="71"/>
      <c r="F567" s="71"/>
    </row>
    <row r="568">
      <c r="A568" s="68"/>
      <c r="B568" s="69"/>
      <c r="C568" s="73"/>
      <c r="D568" s="71"/>
      <c r="E568" s="71"/>
      <c r="F568" s="71"/>
    </row>
    <row r="569">
      <c r="A569" s="68"/>
      <c r="B569" s="69"/>
      <c r="C569" s="73"/>
      <c r="D569" s="71"/>
      <c r="E569" s="71"/>
      <c r="F569" s="71"/>
    </row>
    <row r="570">
      <c r="A570" s="68"/>
      <c r="B570" s="69"/>
      <c r="C570" s="73"/>
      <c r="D570" s="71"/>
      <c r="E570" s="71"/>
      <c r="F570" s="71"/>
    </row>
    <row r="571">
      <c r="A571" s="68"/>
      <c r="B571" s="69"/>
      <c r="C571" s="73"/>
      <c r="D571" s="71"/>
      <c r="E571" s="71"/>
      <c r="F571" s="71"/>
    </row>
    <row r="572">
      <c r="A572" s="68"/>
      <c r="B572" s="69"/>
      <c r="C572" s="73"/>
      <c r="D572" s="71"/>
      <c r="E572" s="71"/>
      <c r="F572" s="71"/>
    </row>
    <row r="573">
      <c r="A573" s="68"/>
      <c r="B573" s="69"/>
      <c r="C573" s="73"/>
      <c r="D573" s="71"/>
      <c r="E573" s="71"/>
      <c r="F573" s="71"/>
    </row>
    <row r="574">
      <c r="A574" s="68"/>
      <c r="B574" s="69"/>
      <c r="C574" s="73"/>
      <c r="D574" s="71"/>
      <c r="E574" s="71"/>
      <c r="F574" s="71"/>
    </row>
    <row r="575">
      <c r="A575" s="68"/>
      <c r="B575" s="69"/>
      <c r="C575" s="73"/>
      <c r="D575" s="71"/>
      <c r="E575" s="71"/>
      <c r="F575" s="71"/>
    </row>
    <row r="576">
      <c r="A576" s="68"/>
      <c r="B576" s="69"/>
      <c r="C576" s="73"/>
      <c r="D576" s="71"/>
      <c r="E576" s="71"/>
      <c r="F576" s="71"/>
    </row>
    <row r="577">
      <c r="A577" s="68"/>
      <c r="B577" s="69"/>
      <c r="C577" s="73"/>
      <c r="D577" s="71"/>
      <c r="E577" s="71"/>
      <c r="F577" s="71"/>
    </row>
    <row r="578">
      <c r="A578" s="68"/>
      <c r="B578" s="69"/>
      <c r="C578" s="73"/>
      <c r="D578" s="71"/>
      <c r="E578" s="71"/>
      <c r="F578" s="71"/>
    </row>
    <row r="579">
      <c r="A579" s="68"/>
      <c r="B579" s="69"/>
      <c r="C579" s="73"/>
      <c r="D579" s="71"/>
      <c r="E579" s="71"/>
      <c r="F579" s="71"/>
    </row>
    <row r="580">
      <c r="A580" s="68"/>
      <c r="B580" s="69"/>
      <c r="C580" s="73"/>
      <c r="D580" s="71"/>
      <c r="E580" s="71"/>
      <c r="F580" s="71"/>
    </row>
    <row r="581">
      <c r="A581" s="68"/>
      <c r="B581" s="69"/>
      <c r="C581" s="73"/>
      <c r="D581" s="71"/>
      <c r="E581" s="71"/>
      <c r="F581" s="71"/>
    </row>
    <row r="582">
      <c r="A582" s="68"/>
      <c r="B582" s="69"/>
      <c r="C582" s="73"/>
      <c r="D582" s="71"/>
      <c r="E582" s="71"/>
      <c r="F582" s="71"/>
    </row>
    <row r="583">
      <c r="A583" s="68"/>
      <c r="B583" s="69"/>
      <c r="C583" s="73"/>
      <c r="D583" s="71"/>
      <c r="E583" s="71"/>
      <c r="F583" s="71"/>
    </row>
    <row r="584">
      <c r="A584" s="68"/>
      <c r="B584" s="69"/>
      <c r="C584" s="73"/>
      <c r="D584" s="71"/>
      <c r="E584" s="71"/>
      <c r="F584" s="71"/>
    </row>
    <row r="585">
      <c r="A585" s="68"/>
      <c r="B585" s="69"/>
      <c r="C585" s="73"/>
      <c r="D585" s="71"/>
      <c r="E585" s="71"/>
      <c r="F585" s="71"/>
    </row>
    <row r="586">
      <c r="A586" s="68"/>
      <c r="B586" s="69"/>
      <c r="C586" s="73"/>
      <c r="D586" s="71"/>
      <c r="E586" s="71"/>
      <c r="F586" s="71"/>
    </row>
    <row r="587">
      <c r="A587" s="68"/>
      <c r="B587" s="69"/>
      <c r="C587" s="73"/>
      <c r="D587" s="71"/>
      <c r="E587" s="71"/>
      <c r="F587" s="71"/>
    </row>
    <row r="588">
      <c r="A588" s="68"/>
      <c r="B588" s="69"/>
      <c r="C588" s="73"/>
      <c r="D588" s="71"/>
      <c r="E588" s="71"/>
      <c r="F588" s="71"/>
    </row>
    <row r="589">
      <c r="A589" s="68"/>
      <c r="B589" s="69"/>
      <c r="C589" s="73"/>
      <c r="D589" s="71"/>
      <c r="E589" s="71"/>
      <c r="F589" s="71"/>
    </row>
    <row r="590">
      <c r="A590" s="68"/>
      <c r="B590" s="69"/>
      <c r="C590" s="73"/>
      <c r="D590" s="71"/>
      <c r="E590" s="71"/>
      <c r="F590" s="71"/>
    </row>
    <row r="591">
      <c r="A591" s="68"/>
      <c r="B591" s="69"/>
      <c r="C591" s="73"/>
      <c r="D591" s="71"/>
      <c r="E591" s="71"/>
      <c r="F591" s="71"/>
    </row>
    <row r="592">
      <c r="A592" s="68"/>
      <c r="B592" s="69"/>
      <c r="C592" s="73"/>
      <c r="D592" s="71"/>
      <c r="E592" s="71"/>
      <c r="F592" s="71"/>
    </row>
    <row r="593">
      <c r="A593" s="68"/>
      <c r="B593" s="69"/>
      <c r="C593" s="73"/>
      <c r="D593" s="71"/>
      <c r="E593" s="71"/>
      <c r="F593" s="71"/>
    </row>
    <row r="594">
      <c r="A594" s="68"/>
      <c r="B594" s="69"/>
      <c r="C594" s="73"/>
      <c r="D594" s="71"/>
      <c r="E594" s="71"/>
      <c r="F594" s="71"/>
    </row>
    <row r="595">
      <c r="A595" s="68"/>
      <c r="B595" s="69"/>
      <c r="C595" s="73"/>
      <c r="D595" s="71"/>
      <c r="E595" s="71"/>
      <c r="F595" s="71"/>
    </row>
    <row r="596">
      <c r="A596" s="68"/>
      <c r="B596" s="69"/>
      <c r="C596" s="73"/>
      <c r="D596" s="71"/>
      <c r="E596" s="71"/>
      <c r="F596" s="71"/>
    </row>
    <row r="597">
      <c r="A597" s="68"/>
      <c r="B597" s="69"/>
      <c r="C597" s="73"/>
      <c r="D597" s="71"/>
      <c r="E597" s="71"/>
      <c r="F597" s="71"/>
    </row>
    <row r="598">
      <c r="A598" s="68"/>
      <c r="B598" s="69"/>
      <c r="C598" s="73"/>
      <c r="D598" s="71"/>
      <c r="E598" s="71"/>
      <c r="F598" s="71"/>
    </row>
    <row r="599">
      <c r="A599" s="68"/>
      <c r="B599" s="69"/>
      <c r="C599" s="73"/>
      <c r="D599" s="71"/>
      <c r="E599" s="71"/>
      <c r="F599" s="71"/>
    </row>
    <row r="600">
      <c r="A600" s="68"/>
      <c r="B600" s="69"/>
      <c r="C600" s="73"/>
      <c r="D600" s="71"/>
      <c r="E600" s="71"/>
      <c r="F600" s="71"/>
    </row>
    <row r="601">
      <c r="A601" s="68"/>
      <c r="B601" s="69"/>
      <c r="C601" s="73"/>
      <c r="D601" s="71"/>
      <c r="E601" s="71"/>
      <c r="F601" s="71"/>
    </row>
    <row r="602">
      <c r="A602" s="68"/>
      <c r="B602" s="69"/>
      <c r="C602" s="73"/>
      <c r="D602" s="71"/>
      <c r="E602" s="71"/>
      <c r="F602" s="71"/>
    </row>
    <row r="603">
      <c r="A603" s="68"/>
      <c r="B603" s="69"/>
      <c r="C603" s="73"/>
      <c r="D603" s="71"/>
      <c r="E603" s="71"/>
      <c r="F603" s="71"/>
    </row>
    <row r="604">
      <c r="A604" s="68"/>
      <c r="B604" s="69"/>
      <c r="C604" s="73"/>
      <c r="D604" s="71"/>
      <c r="E604" s="71"/>
      <c r="F604" s="71"/>
    </row>
    <row r="605">
      <c r="A605" s="68"/>
      <c r="B605" s="69"/>
      <c r="C605" s="73"/>
      <c r="D605" s="71"/>
      <c r="E605" s="71"/>
      <c r="F605" s="71"/>
    </row>
    <row r="606">
      <c r="A606" s="68"/>
      <c r="B606" s="69"/>
      <c r="C606" s="73"/>
      <c r="D606" s="71"/>
      <c r="E606" s="71"/>
      <c r="F606" s="71"/>
    </row>
    <row r="607">
      <c r="A607" s="68"/>
      <c r="B607" s="69"/>
      <c r="C607" s="73"/>
      <c r="D607" s="71"/>
      <c r="E607" s="71"/>
      <c r="F607" s="71"/>
    </row>
    <row r="608">
      <c r="A608" s="68"/>
      <c r="B608" s="69"/>
      <c r="C608" s="73"/>
      <c r="D608" s="71"/>
      <c r="E608" s="71"/>
      <c r="F608" s="71"/>
    </row>
    <row r="609">
      <c r="A609" s="68"/>
      <c r="B609" s="69"/>
      <c r="C609" s="73"/>
      <c r="D609" s="71"/>
      <c r="E609" s="71"/>
      <c r="F609" s="71"/>
    </row>
    <row r="610">
      <c r="A610" s="68"/>
      <c r="B610" s="69"/>
      <c r="C610" s="73"/>
      <c r="D610" s="71"/>
      <c r="E610" s="71"/>
      <c r="F610" s="71"/>
    </row>
    <row r="611">
      <c r="A611" s="68"/>
      <c r="B611" s="69"/>
      <c r="C611" s="73"/>
      <c r="D611" s="71"/>
      <c r="E611" s="71"/>
      <c r="F611" s="71"/>
    </row>
    <row r="612">
      <c r="A612" s="68"/>
      <c r="B612" s="69"/>
      <c r="C612" s="73"/>
      <c r="D612" s="71"/>
      <c r="E612" s="71"/>
      <c r="F612" s="71"/>
    </row>
    <row r="613">
      <c r="A613" s="68"/>
      <c r="B613" s="69"/>
      <c r="C613" s="73"/>
      <c r="D613" s="71"/>
      <c r="E613" s="71"/>
      <c r="F613" s="71"/>
    </row>
    <row r="614">
      <c r="A614" s="68"/>
      <c r="B614" s="69"/>
      <c r="C614" s="73"/>
      <c r="D614" s="71"/>
      <c r="E614" s="71"/>
      <c r="F614" s="71"/>
    </row>
    <row r="615">
      <c r="A615" s="68"/>
      <c r="B615" s="69"/>
      <c r="C615" s="73"/>
      <c r="D615" s="71"/>
      <c r="E615" s="71"/>
      <c r="F615" s="71"/>
    </row>
    <row r="616">
      <c r="A616" s="68"/>
      <c r="B616" s="69"/>
      <c r="C616" s="73"/>
      <c r="D616" s="71"/>
      <c r="E616" s="71"/>
      <c r="F616" s="71"/>
    </row>
    <row r="617">
      <c r="A617" s="68"/>
      <c r="B617" s="69"/>
      <c r="C617" s="73"/>
      <c r="D617" s="71"/>
      <c r="E617" s="71"/>
      <c r="F617" s="71"/>
    </row>
    <row r="618">
      <c r="A618" s="68"/>
      <c r="B618" s="69"/>
      <c r="C618" s="73"/>
      <c r="D618" s="71"/>
      <c r="E618" s="71"/>
      <c r="F618" s="71"/>
    </row>
    <row r="619">
      <c r="A619" s="68"/>
      <c r="B619" s="69"/>
      <c r="C619" s="73"/>
      <c r="D619" s="71"/>
      <c r="E619" s="71"/>
      <c r="F619" s="71"/>
    </row>
    <row r="620">
      <c r="A620" s="68"/>
      <c r="B620" s="69"/>
      <c r="C620" s="73"/>
      <c r="D620" s="71"/>
      <c r="E620" s="71"/>
      <c r="F620" s="71"/>
    </row>
    <row r="621">
      <c r="A621" s="68"/>
      <c r="B621" s="69"/>
      <c r="C621" s="73"/>
      <c r="D621" s="71"/>
      <c r="E621" s="71"/>
      <c r="F621" s="71"/>
    </row>
    <row r="622">
      <c r="A622" s="68"/>
      <c r="B622" s="69"/>
      <c r="C622" s="73"/>
      <c r="D622" s="71"/>
      <c r="E622" s="71"/>
      <c r="F622" s="71"/>
    </row>
    <row r="623">
      <c r="A623" s="68"/>
      <c r="B623" s="69"/>
      <c r="C623" s="73"/>
      <c r="D623" s="71"/>
      <c r="E623" s="71"/>
      <c r="F623" s="71"/>
    </row>
    <row r="624">
      <c r="A624" s="68"/>
      <c r="B624" s="69"/>
      <c r="C624" s="73"/>
      <c r="D624" s="71"/>
      <c r="E624" s="71"/>
      <c r="F624" s="71"/>
    </row>
    <row r="625">
      <c r="A625" s="68"/>
      <c r="B625" s="69"/>
      <c r="C625" s="73"/>
      <c r="D625" s="71"/>
      <c r="E625" s="71"/>
      <c r="F625" s="71"/>
    </row>
    <row r="626">
      <c r="A626" s="68"/>
      <c r="B626" s="69"/>
      <c r="C626" s="73"/>
      <c r="D626" s="71"/>
      <c r="E626" s="71"/>
      <c r="F626" s="71"/>
    </row>
    <row r="627">
      <c r="A627" s="68"/>
      <c r="B627" s="69"/>
      <c r="C627" s="73"/>
      <c r="D627" s="71"/>
      <c r="E627" s="71"/>
      <c r="F627" s="71"/>
    </row>
    <row r="628">
      <c r="A628" s="68"/>
      <c r="B628" s="69"/>
      <c r="C628" s="73"/>
      <c r="D628" s="71"/>
      <c r="E628" s="71"/>
      <c r="F628" s="71"/>
    </row>
    <row r="629">
      <c r="A629" s="68"/>
      <c r="B629" s="69"/>
      <c r="C629" s="73"/>
      <c r="D629" s="71"/>
      <c r="E629" s="71"/>
      <c r="F629" s="71"/>
    </row>
    <row r="630">
      <c r="A630" s="68"/>
      <c r="B630" s="69"/>
      <c r="C630" s="73"/>
      <c r="D630" s="71"/>
      <c r="E630" s="71"/>
      <c r="F630" s="71"/>
    </row>
    <row r="631">
      <c r="A631" s="68"/>
      <c r="B631" s="69"/>
      <c r="C631" s="73"/>
      <c r="D631" s="71"/>
      <c r="E631" s="71"/>
      <c r="F631" s="71"/>
    </row>
    <row r="632">
      <c r="A632" s="68"/>
      <c r="B632" s="69"/>
      <c r="C632" s="73"/>
      <c r="D632" s="71"/>
      <c r="E632" s="71"/>
      <c r="F632" s="71"/>
    </row>
    <row r="633">
      <c r="A633" s="68"/>
      <c r="B633" s="69"/>
      <c r="C633" s="73"/>
      <c r="D633" s="71"/>
      <c r="E633" s="71"/>
      <c r="F633" s="71"/>
    </row>
    <row r="634">
      <c r="A634" s="68"/>
      <c r="B634" s="69"/>
      <c r="C634" s="73"/>
      <c r="D634" s="71"/>
      <c r="E634" s="71"/>
      <c r="F634" s="71"/>
    </row>
    <row r="635">
      <c r="A635" s="68"/>
      <c r="B635" s="69"/>
      <c r="C635" s="73"/>
      <c r="D635" s="71"/>
      <c r="E635" s="71"/>
      <c r="F635" s="71"/>
    </row>
    <row r="636">
      <c r="A636" s="68"/>
      <c r="B636" s="69"/>
      <c r="C636" s="73"/>
      <c r="D636" s="71"/>
      <c r="E636" s="71"/>
      <c r="F636" s="71"/>
    </row>
    <row r="637">
      <c r="A637" s="68"/>
      <c r="B637" s="69"/>
      <c r="C637" s="73"/>
      <c r="D637" s="71"/>
      <c r="E637" s="71"/>
      <c r="F637" s="71"/>
    </row>
    <row r="638">
      <c r="A638" s="68"/>
      <c r="B638" s="69"/>
      <c r="C638" s="73"/>
      <c r="D638" s="71"/>
      <c r="E638" s="71"/>
      <c r="F638" s="71"/>
    </row>
    <row r="639">
      <c r="A639" s="68"/>
      <c r="B639" s="69"/>
      <c r="C639" s="73"/>
      <c r="D639" s="71"/>
      <c r="E639" s="71"/>
      <c r="F639" s="71"/>
    </row>
    <row r="640">
      <c r="A640" s="68"/>
      <c r="B640" s="69"/>
      <c r="C640" s="73"/>
      <c r="D640" s="71"/>
      <c r="E640" s="71"/>
      <c r="F640" s="71"/>
    </row>
    <row r="641">
      <c r="A641" s="68"/>
      <c r="B641" s="69"/>
      <c r="C641" s="73"/>
      <c r="D641" s="71"/>
      <c r="E641" s="71"/>
      <c r="F641" s="71"/>
    </row>
    <row r="642">
      <c r="A642" s="68"/>
      <c r="B642" s="69"/>
      <c r="C642" s="73"/>
      <c r="D642" s="71"/>
      <c r="E642" s="71"/>
      <c r="F642" s="71"/>
    </row>
    <row r="643">
      <c r="A643" s="68"/>
      <c r="B643" s="69"/>
      <c r="C643" s="73"/>
      <c r="D643" s="71"/>
      <c r="E643" s="71"/>
      <c r="F643" s="71"/>
    </row>
    <row r="644">
      <c r="A644" s="68"/>
      <c r="B644" s="69"/>
      <c r="C644" s="73"/>
      <c r="D644" s="71"/>
      <c r="E644" s="71"/>
      <c r="F644" s="71"/>
    </row>
    <row r="645">
      <c r="A645" s="68"/>
      <c r="B645" s="69"/>
      <c r="C645" s="73"/>
      <c r="D645" s="71"/>
      <c r="E645" s="71"/>
      <c r="F645" s="71"/>
    </row>
    <row r="646">
      <c r="A646" s="68"/>
      <c r="B646" s="69"/>
      <c r="C646" s="73"/>
      <c r="D646" s="71"/>
      <c r="E646" s="71"/>
      <c r="F646" s="71"/>
    </row>
    <row r="647">
      <c r="A647" s="68"/>
      <c r="B647" s="69"/>
      <c r="C647" s="73"/>
      <c r="D647" s="71"/>
      <c r="E647" s="71"/>
      <c r="F647" s="71"/>
    </row>
    <row r="648">
      <c r="A648" s="68"/>
      <c r="B648" s="69"/>
      <c r="C648" s="73"/>
      <c r="D648" s="71"/>
      <c r="E648" s="71"/>
      <c r="F648" s="71"/>
    </row>
    <row r="649">
      <c r="A649" s="68"/>
      <c r="B649" s="69"/>
      <c r="C649" s="73"/>
      <c r="D649" s="71"/>
      <c r="E649" s="71"/>
      <c r="F649" s="71"/>
    </row>
    <row r="650">
      <c r="A650" s="68"/>
      <c r="B650" s="69"/>
      <c r="C650" s="73"/>
      <c r="D650" s="71"/>
      <c r="E650" s="71"/>
      <c r="F650" s="71"/>
    </row>
    <row r="651">
      <c r="A651" s="68"/>
      <c r="B651" s="69"/>
      <c r="C651" s="73"/>
      <c r="D651" s="71"/>
      <c r="E651" s="71"/>
      <c r="F651" s="71"/>
    </row>
    <row r="652">
      <c r="A652" s="68"/>
      <c r="B652" s="69"/>
      <c r="C652" s="73"/>
      <c r="D652" s="71"/>
      <c r="E652" s="71"/>
      <c r="F652" s="71"/>
    </row>
    <row r="653">
      <c r="A653" s="68"/>
      <c r="B653" s="69"/>
      <c r="C653" s="73"/>
      <c r="D653" s="71"/>
      <c r="E653" s="71"/>
      <c r="F653" s="71"/>
    </row>
    <row r="654">
      <c r="A654" s="68"/>
      <c r="B654" s="69"/>
      <c r="C654" s="73"/>
      <c r="D654" s="71"/>
      <c r="E654" s="71"/>
      <c r="F654" s="71"/>
    </row>
    <row r="655">
      <c r="A655" s="68"/>
      <c r="B655" s="69"/>
      <c r="C655" s="73"/>
      <c r="D655" s="71"/>
      <c r="E655" s="71"/>
      <c r="F655" s="71"/>
    </row>
    <row r="656">
      <c r="A656" s="68"/>
      <c r="B656" s="69"/>
      <c r="C656" s="73"/>
      <c r="D656" s="71"/>
      <c r="E656" s="71"/>
      <c r="F656" s="71"/>
    </row>
    <row r="657">
      <c r="A657" s="68"/>
      <c r="B657" s="69"/>
      <c r="C657" s="73"/>
      <c r="D657" s="71"/>
      <c r="E657" s="71"/>
      <c r="F657" s="71"/>
    </row>
    <row r="658">
      <c r="A658" s="68"/>
      <c r="B658" s="69"/>
      <c r="C658" s="73"/>
      <c r="D658" s="71"/>
      <c r="E658" s="71"/>
      <c r="F658" s="71"/>
    </row>
    <row r="659">
      <c r="A659" s="68"/>
      <c r="B659" s="69"/>
      <c r="C659" s="73"/>
      <c r="D659" s="71"/>
      <c r="E659" s="71"/>
      <c r="F659" s="71"/>
    </row>
    <row r="660">
      <c r="A660" s="68"/>
      <c r="B660" s="69"/>
      <c r="C660" s="73"/>
      <c r="D660" s="71"/>
      <c r="E660" s="71"/>
      <c r="F660" s="71"/>
    </row>
    <row r="661">
      <c r="A661" s="68"/>
      <c r="B661" s="69"/>
      <c r="C661" s="73"/>
      <c r="D661" s="71"/>
      <c r="E661" s="71"/>
      <c r="F661" s="71"/>
    </row>
    <row r="662">
      <c r="A662" s="68"/>
      <c r="B662" s="69"/>
      <c r="C662" s="73"/>
      <c r="D662" s="71"/>
      <c r="E662" s="71"/>
      <c r="F662" s="71"/>
    </row>
    <row r="663">
      <c r="A663" s="68"/>
      <c r="B663" s="69"/>
      <c r="C663" s="73"/>
      <c r="D663" s="71"/>
      <c r="E663" s="71"/>
      <c r="F663" s="71"/>
    </row>
    <row r="664">
      <c r="A664" s="68"/>
      <c r="B664" s="69"/>
      <c r="C664" s="73"/>
      <c r="D664" s="71"/>
      <c r="E664" s="71"/>
      <c r="F664" s="71"/>
    </row>
    <row r="665">
      <c r="A665" s="68"/>
      <c r="B665" s="69"/>
      <c r="C665" s="73"/>
      <c r="D665" s="71"/>
      <c r="E665" s="71"/>
      <c r="F665" s="71"/>
    </row>
    <row r="666">
      <c r="A666" s="68"/>
      <c r="B666" s="69"/>
      <c r="C666" s="73"/>
      <c r="D666" s="71"/>
      <c r="E666" s="71"/>
      <c r="F666" s="71"/>
    </row>
    <row r="667">
      <c r="A667" s="68"/>
      <c r="B667" s="69"/>
      <c r="C667" s="73"/>
      <c r="D667" s="71"/>
      <c r="E667" s="71"/>
      <c r="F667" s="71"/>
    </row>
    <row r="668">
      <c r="A668" s="68"/>
      <c r="B668" s="69"/>
      <c r="C668" s="73"/>
      <c r="D668" s="71"/>
      <c r="E668" s="71"/>
      <c r="F668" s="71"/>
    </row>
    <row r="669">
      <c r="A669" s="68"/>
      <c r="B669" s="69"/>
      <c r="C669" s="73"/>
      <c r="D669" s="71"/>
      <c r="E669" s="71"/>
      <c r="F669" s="71"/>
    </row>
    <row r="670">
      <c r="A670" s="68"/>
      <c r="B670" s="69"/>
      <c r="C670" s="73"/>
      <c r="D670" s="71"/>
      <c r="E670" s="71"/>
      <c r="F670" s="71"/>
    </row>
    <row r="671">
      <c r="A671" s="68"/>
      <c r="B671" s="69"/>
      <c r="C671" s="73"/>
      <c r="D671" s="71"/>
      <c r="E671" s="71"/>
      <c r="F671" s="71"/>
    </row>
    <row r="672">
      <c r="A672" s="68"/>
      <c r="B672" s="69"/>
      <c r="C672" s="73"/>
      <c r="D672" s="71"/>
      <c r="E672" s="71"/>
      <c r="F672" s="71"/>
    </row>
    <row r="673">
      <c r="A673" s="68"/>
      <c r="B673" s="69"/>
      <c r="C673" s="73"/>
      <c r="D673" s="71"/>
      <c r="E673" s="71"/>
      <c r="F673" s="71"/>
    </row>
    <row r="674">
      <c r="A674" s="68"/>
      <c r="B674" s="69"/>
      <c r="C674" s="73"/>
      <c r="D674" s="71"/>
      <c r="E674" s="71"/>
      <c r="F674" s="71"/>
    </row>
    <row r="675">
      <c r="A675" s="68"/>
      <c r="B675" s="69"/>
      <c r="C675" s="73"/>
      <c r="D675" s="71"/>
      <c r="E675" s="71"/>
      <c r="F675" s="71"/>
    </row>
    <row r="676">
      <c r="A676" s="68"/>
      <c r="B676" s="69"/>
      <c r="C676" s="73"/>
      <c r="D676" s="71"/>
      <c r="E676" s="71"/>
      <c r="F676" s="71"/>
    </row>
    <row r="677">
      <c r="A677" s="68"/>
      <c r="B677" s="69"/>
      <c r="C677" s="73"/>
      <c r="D677" s="71"/>
      <c r="E677" s="71"/>
      <c r="F677" s="71"/>
    </row>
    <row r="678">
      <c r="A678" s="68"/>
      <c r="B678" s="69"/>
      <c r="C678" s="73"/>
      <c r="D678" s="71"/>
      <c r="E678" s="71"/>
      <c r="F678" s="71"/>
    </row>
    <row r="679">
      <c r="A679" s="68"/>
      <c r="B679" s="69"/>
      <c r="C679" s="73"/>
      <c r="D679" s="71"/>
      <c r="E679" s="71"/>
      <c r="F679" s="71"/>
    </row>
    <row r="680">
      <c r="A680" s="68"/>
      <c r="B680" s="69"/>
      <c r="C680" s="73"/>
      <c r="D680" s="71"/>
      <c r="E680" s="71"/>
      <c r="F680" s="71"/>
    </row>
    <row r="681">
      <c r="A681" s="68"/>
      <c r="B681" s="69"/>
      <c r="C681" s="73"/>
      <c r="D681" s="71"/>
      <c r="E681" s="71"/>
      <c r="F681" s="71"/>
    </row>
    <row r="682">
      <c r="A682" s="68"/>
      <c r="B682" s="69"/>
      <c r="C682" s="73"/>
      <c r="D682" s="71"/>
      <c r="E682" s="71"/>
      <c r="F682" s="71"/>
    </row>
    <row r="683">
      <c r="A683" s="68"/>
      <c r="B683" s="69"/>
      <c r="C683" s="73"/>
      <c r="D683" s="71"/>
      <c r="E683" s="71"/>
      <c r="F683" s="71"/>
    </row>
    <row r="684">
      <c r="A684" s="68"/>
      <c r="B684" s="69"/>
      <c r="C684" s="73"/>
      <c r="D684" s="71"/>
      <c r="E684" s="71"/>
      <c r="F684" s="71"/>
    </row>
    <row r="685">
      <c r="A685" s="68"/>
      <c r="B685" s="69"/>
      <c r="C685" s="73"/>
      <c r="D685" s="71"/>
      <c r="E685" s="71"/>
      <c r="F685" s="71"/>
    </row>
    <row r="686">
      <c r="A686" s="68"/>
      <c r="B686" s="69"/>
      <c r="C686" s="73"/>
      <c r="D686" s="71"/>
      <c r="E686" s="71"/>
      <c r="F686" s="71"/>
    </row>
    <row r="687">
      <c r="A687" s="68"/>
      <c r="B687" s="69"/>
      <c r="C687" s="73"/>
      <c r="D687" s="71"/>
      <c r="E687" s="71"/>
      <c r="F687" s="71"/>
    </row>
    <row r="688">
      <c r="A688" s="68"/>
      <c r="B688" s="69"/>
      <c r="C688" s="73"/>
      <c r="D688" s="71"/>
      <c r="E688" s="71"/>
      <c r="F688" s="71"/>
    </row>
    <row r="689">
      <c r="A689" s="68"/>
      <c r="B689" s="69"/>
      <c r="C689" s="73"/>
      <c r="D689" s="71"/>
      <c r="E689" s="71"/>
      <c r="F689" s="71"/>
    </row>
    <row r="690">
      <c r="A690" s="68"/>
      <c r="B690" s="69"/>
      <c r="C690" s="73"/>
      <c r="D690" s="71"/>
      <c r="E690" s="71"/>
      <c r="F690" s="71"/>
    </row>
    <row r="691">
      <c r="A691" s="68"/>
      <c r="B691" s="69"/>
      <c r="C691" s="73"/>
      <c r="D691" s="71"/>
      <c r="E691" s="71"/>
      <c r="F691" s="71"/>
    </row>
    <row r="692">
      <c r="A692" s="68"/>
      <c r="B692" s="69"/>
      <c r="C692" s="73"/>
      <c r="D692" s="71"/>
      <c r="E692" s="71"/>
      <c r="F692" s="71"/>
    </row>
    <row r="693">
      <c r="A693" s="68"/>
      <c r="B693" s="69"/>
      <c r="C693" s="73"/>
      <c r="D693" s="71"/>
      <c r="E693" s="71"/>
      <c r="F693" s="71"/>
    </row>
    <row r="694">
      <c r="A694" s="68"/>
      <c r="B694" s="69"/>
      <c r="C694" s="73"/>
      <c r="D694" s="71"/>
      <c r="E694" s="71"/>
      <c r="F694" s="71"/>
    </row>
    <row r="695">
      <c r="A695" s="68"/>
      <c r="B695" s="69"/>
      <c r="C695" s="73"/>
      <c r="D695" s="71"/>
      <c r="E695" s="71"/>
      <c r="F695" s="71"/>
    </row>
    <row r="696">
      <c r="A696" s="68"/>
      <c r="B696" s="69"/>
      <c r="C696" s="73"/>
      <c r="D696" s="71"/>
      <c r="E696" s="71"/>
      <c r="F696" s="71"/>
    </row>
    <row r="697">
      <c r="A697" s="68"/>
      <c r="B697" s="69"/>
      <c r="C697" s="73"/>
      <c r="D697" s="71"/>
      <c r="E697" s="71"/>
      <c r="F697" s="71"/>
    </row>
    <row r="698">
      <c r="A698" s="68"/>
      <c r="B698" s="69"/>
      <c r="C698" s="73"/>
      <c r="D698" s="71"/>
      <c r="E698" s="71"/>
      <c r="F698" s="71"/>
    </row>
    <row r="699">
      <c r="A699" s="68"/>
      <c r="B699" s="69"/>
      <c r="C699" s="73"/>
      <c r="D699" s="71"/>
      <c r="E699" s="71"/>
      <c r="F699" s="71"/>
    </row>
    <row r="700">
      <c r="A700" s="68"/>
      <c r="B700" s="69"/>
      <c r="C700" s="73"/>
      <c r="D700" s="71"/>
      <c r="E700" s="71"/>
      <c r="F700" s="71"/>
    </row>
    <row r="701">
      <c r="A701" s="68"/>
      <c r="B701" s="69"/>
      <c r="C701" s="73"/>
      <c r="D701" s="71"/>
      <c r="E701" s="71"/>
      <c r="F701" s="71"/>
    </row>
    <row r="702">
      <c r="A702" s="68"/>
      <c r="B702" s="69"/>
      <c r="C702" s="73"/>
      <c r="D702" s="71"/>
      <c r="E702" s="71"/>
      <c r="F702" s="71"/>
    </row>
    <row r="703">
      <c r="A703" s="68"/>
      <c r="B703" s="69"/>
      <c r="C703" s="73"/>
      <c r="D703" s="71"/>
      <c r="E703" s="71"/>
      <c r="F703" s="71"/>
    </row>
    <row r="704">
      <c r="A704" s="68"/>
      <c r="B704" s="69"/>
      <c r="C704" s="73"/>
      <c r="D704" s="71"/>
      <c r="E704" s="71"/>
      <c r="F704" s="71"/>
    </row>
    <row r="705">
      <c r="A705" s="68"/>
      <c r="B705" s="69"/>
      <c r="C705" s="73"/>
      <c r="D705" s="71"/>
      <c r="E705" s="71"/>
      <c r="F705" s="71"/>
    </row>
    <row r="706">
      <c r="A706" s="68"/>
      <c r="B706" s="69"/>
      <c r="C706" s="73"/>
      <c r="D706" s="71"/>
      <c r="E706" s="71"/>
      <c r="F706" s="71"/>
    </row>
    <row r="707">
      <c r="A707" s="68"/>
      <c r="B707" s="69"/>
      <c r="C707" s="73"/>
      <c r="D707" s="71"/>
      <c r="E707" s="71"/>
      <c r="F707" s="71"/>
    </row>
    <row r="708">
      <c r="A708" s="68"/>
      <c r="B708" s="69"/>
      <c r="C708" s="73"/>
      <c r="D708" s="71"/>
      <c r="E708" s="71"/>
      <c r="F708" s="71"/>
    </row>
    <row r="709">
      <c r="A709" s="68"/>
      <c r="B709" s="69"/>
      <c r="C709" s="73"/>
      <c r="D709" s="71"/>
      <c r="E709" s="71"/>
      <c r="F709" s="71"/>
    </row>
    <row r="710">
      <c r="A710" s="68"/>
      <c r="B710" s="69"/>
      <c r="C710" s="73"/>
      <c r="D710" s="71"/>
      <c r="E710" s="71"/>
      <c r="F710" s="71"/>
    </row>
    <row r="711">
      <c r="A711" s="68"/>
      <c r="B711" s="69"/>
      <c r="C711" s="73"/>
      <c r="D711" s="71"/>
      <c r="E711" s="71"/>
      <c r="F711" s="71"/>
    </row>
    <row r="712">
      <c r="A712" s="68"/>
      <c r="B712" s="69"/>
      <c r="C712" s="73"/>
      <c r="D712" s="71"/>
      <c r="E712" s="71"/>
      <c r="F712" s="71"/>
    </row>
    <row r="713">
      <c r="A713" s="68"/>
      <c r="B713" s="69"/>
      <c r="C713" s="73"/>
      <c r="D713" s="71"/>
      <c r="E713" s="71"/>
      <c r="F713" s="71"/>
    </row>
    <row r="714">
      <c r="A714" s="68"/>
      <c r="B714" s="69"/>
      <c r="C714" s="73"/>
      <c r="D714" s="71"/>
      <c r="E714" s="71"/>
      <c r="F714" s="71"/>
    </row>
    <row r="715">
      <c r="A715" s="68"/>
      <c r="B715" s="69"/>
      <c r="C715" s="73"/>
      <c r="D715" s="71"/>
      <c r="E715" s="71"/>
      <c r="F715" s="71"/>
    </row>
    <row r="716">
      <c r="A716" s="68"/>
      <c r="B716" s="69"/>
      <c r="C716" s="73"/>
      <c r="D716" s="71"/>
      <c r="E716" s="71"/>
      <c r="F716" s="71"/>
    </row>
    <row r="717">
      <c r="A717" s="68"/>
      <c r="B717" s="69"/>
      <c r="C717" s="73"/>
      <c r="D717" s="71"/>
      <c r="E717" s="71"/>
      <c r="F717" s="71"/>
    </row>
    <row r="718">
      <c r="A718" s="68"/>
      <c r="B718" s="69"/>
      <c r="C718" s="73"/>
      <c r="D718" s="71"/>
      <c r="E718" s="71"/>
      <c r="F718" s="71"/>
    </row>
    <row r="719">
      <c r="A719" s="68"/>
      <c r="B719" s="69"/>
      <c r="C719" s="73"/>
      <c r="D719" s="71"/>
      <c r="E719" s="71"/>
      <c r="F719" s="71"/>
    </row>
    <row r="720">
      <c r="A720" s="68"/>
      <c r="B720" s="69"/>
      <c r="C720" s="73"/>
      <c r="D720" s="71"/>
      <c r="E720" s="71"/>
      <c r="F720" s="71"/>
    </row>
    <row r="721">
      <c r="A721" s="68"/>
      <c r="B721" s="69"/>
      <c r="C721" s="73"/>
      <c r="D721" s="71"/>
      <c r="E721" s="71"/>
      <c r="F721" s="71"/>
    </row>
    <row r="722">
      <c r="A722" s="68"/>
      <c r="B722" s="69"/>
      <c r="C722" s="73"/>
      <c r="D722" s="71"/>
      <c r="E722" s="71"/>
      <c r="F722" s="71"/>
    </row>
    <row r="723">
      <c r="A723" s="68"/>
      <c r="B723" s="69"/>
      <c r="C723" s="73"/>
      <c r="D723" s="71"/>
      <c r="E723" s="71"/>
      <c r="F723" s="71"/>
    </row>
    <row r="724">
      <c r="A724" s="68"/>
      <c r="B724" s="69"/>
      <c r="C724" s="73"/>
      <c r="D724" s="71"/>
      <c r="E724" s="71"/>
      <c r="F724" s="71"/>
    </row>
    <row r="725">
      <c r="A725" s="68"/>
      <c r="B725" s="69"/>
      <c r="C725" s="73"/>
      <c r="D725" s="71"/>
      <c r="E725" s="71"/>
      <c r="F725" s="71"/>
    </row>
    <row r="726">
      <c r="A726" s="68"/>
      <c r="B726" s="69"/>
      <c r="C726" s="73"/>
      <c r="D726" s="71"/>
      <c r="E726" s="71"/>
      <c r="F726" s="71"/>
    </row>
    <row r="727">
      <c r="A727" s="68"/>
      <c r="B727" s="69"/>
      <c r="C727" s="73"/>
      <c r="D727" s="71"/>
      <c r="E727" s="71"/>
      <c r="F727" s="71"/>
    </row>
    <row r="728">
      <c r="A728" s="68"/>
      <c r="B728" s="69"/>
      <c r="C728" s="73"/>
      <c r="D728" s="71"/>
      <c r="E728" s="71"/>
      <c r="F728" s="71"/>
    </row>
    <row r="729">
      <c r="A729" s="68"/>
      <c r="B729" s="69"/>
      <c r="C729" s="73"/>
      <c r="D729" s="71"/>
      <c r="E729" s="71"/>
      <c r="F729" s="71"/>
    </row>
    <row r="730">
      <c r="A730" s="68"/>
      <c r="B730" s="69"/>
      <c r="C730" s="73"/>
      <c r="D730" s="71"/>
      <c r="E730" s="71"/>
      <c r="F730" s="71"/>
    </row>
    <row r="731">
      <c r="A731" s="68"/>
      <c r="B731" s="69"/>
      <c r="C731" s="73"/>
      <c r="D731" s="71"/>
      <c r="E731" s="71"/>
      <c r="F731" s="71"/>
    </row>
    <row r="732">
      <c r="A732" s="68"/>
      <c r="B732" s="69"/>
      <c r="C732" s="73"/>
      <c r="D732" s="71"/>
      <c r="E732" s="71"/>
      <c r="F732" s="71"/>
    </row>
    <row r="733">
      <c r="A733" s="68"/>
      <c r="B733" s="69"/>
      <c r="C733" s="73"/>
      <c r="D733" s="71"/>
      <c r="E733" s="71"/>
      <c r="F733" s="71"/>
    </row>
    <row r="734">
      <c r="A734" s="68"/>
      <c r="B734" s="69"/>
      <c r="C734" s="73"/>
      <c r="D734" s="71"/>
      <c r="E734" s="71"/>
      <c r="F734" s="71"/>
    </row>
    <row r="735">
      <c r="A735" s="68"/>
      <c r="B735" s="69"/>
      <c r="C735" s="73"/>
      <c r="D735" s="71"/>
      <c r="E735" s="71"/>
      <c r="F735" s="71"/>
    </row>
    <row r="736">
      <c r="A736" s="68"/>
      <c r="B736" s="69"/>
      <c r="C736" s="73"/>
      <c r="D736" s="71"/>
      <c r="E736" s="71"/>
      <c r="F736" s="71"/>
    </row>
    <row r="737">
      <c r="A737" s="68"/>
      <c r="B737" s="69"/>
      <c r="C737" s="73"/>
      <c r="D737" s="71"/>
      <c r="E737" s="71"/>
      <c r="F737" s="71"/>
    </row>
    <row r="738">
      <c r="A738" s="68"/>
      <c r="B738" s="69"/>
      <c r="C738" s="73"/>
      <c r="D738" s="71"/>
      <c r="E738" s="71"/>
      <c r="F738" s="71"/>
    </row>
    <row r="739">
      <c r="A739" s="68"/>
      <c r="B739" s="69"/>
      <c r="C739" s="73"/>
      <c r="D739" s="71"/>
      <c r="E739" s="71"/>
      <c r="F739" s="71"/>
    </row>
    <row r="740">
      <c r="A740" s="68"/>
      <c r="B740" s="69"/>
      <c r="C740" s="73"/>
      <c r="D740" s="71"/>
      <c r="E740" s="71"/>
      <c r="F740" s="71"/>
    </row>
    <row r="741">
      <c r="A741" s="68"/>
      <c r="B741" s="69"/>
      <c r="C741" s="73"/>
      <c r="D741" s="71"/>
      <c r="E741" s="71"/>
      <c r="F741" s="71"/>
    </row>
    <row r="742">
      <c r="A742" s="68"/>
      <c r="B742" s="69"/>
      <c r="C742" s="73"/>
      <c r="D742" s="71"/>
      <c r="E742" s="71"/>
      <c r="F742" s="71"/>
    </row>
    <row r="743">
      <c r="A743" s="68"/>
      <c r="B743" s="69"/>
      <c r="C743" s="73"/>
      <c r="D743" s="71"/>
      <c r="E743" s="71"/>
      <c r="F743" s="71"/>
    </row>
    <row r="744">
      <c r="A744" s="68"/>
      <c r="B744" s="69"/>
      <c r="C744" s="73"/>
      <c r="D744" s="71"/>
      <c r="E744" s="71"/>
      <c r="F744" s="71"/>
    </row>
    <row r="745">
      <c r="A745" s="68"/>
      <c r="B745" s="69"/>
      <c r="C745" s="73"/>
      <c r="D745" s="71"/>
      <c r="E745" s="71"/>
      <c r="F745" s="71"/>
    </row>
    <row r="746">
      <c r="A746" s="68"/>
      <c r="B746" s="69"/>
      <c r="C746" s="73"/>
      <c r="D746" s="71"/>
      <c r="E746" s="71"/>
      <c r="F746" s="71"/>
    </row>
    <row r="747">
      <c r="A747" s="68"/>
      <c r="B747" s="69"/>
      <c r="C747" s="73"/>
      <c r="D747" s="71"/>
      <c r="E747" s="71"/>
      <c r="F747" s="71"/>
    </row>
    <row r="748">
      <c r="A748" s="68"/>
      <c r="B748" s="69"/>
      <c r="C748" s="73"/>
      <c r="D748" s="71"/>
      <c r="E748" s="71"/>
      <c r="F748" s="71"/>
    </row>
    <row r="749">
      <c r="A749" s="68"/>
      <c r="B749" s="69"/>
      <c r="C749" s="73"/>
      <c r="D749" s="71"/>
      <c r="E749" s="71"/>
      <c r="F749" s="71"/>
    </row>
    <row r="750">
      <c r="A750" s="68"/>
      <c r="B750" s="69"/>
      <c r="C750" s="73"/>
      <c r="D750" s="71"/>
      <c r="E750" s="71"/>
      <c r="F750" s="71"/>
    </row>
    <row r="751">
      <c r="A751" s="68"/>
      <c r="B751" s="69"/>
      <c r="C751" s="73"/>
      <c r="D751" s="71"/>
      <c r="E751" s="71"/>
      <c r="F751" s="71"/>
    </row>
    <row r="752">
      <c r="A752" s="68"/>
      <c r="B752" s="69"/>
      <c r="C752" s="73"/>
      <c r="D752" s="71"/>
      <c r="E752" s="71"/>
      <c r="F752" s="71"/>
    </row>
    <row r="753">
      <c r="A753" s="68"/>
      <c r="B753" s="69"/>
      <c r="C753" s="73"/>
      <c r="D753" s="71"/>
      <c r="E753" s="71"/>
      <c r="F753" s="71"/>
    </row>
    <row r="754">
      <c r="A754" s="68"/>
      <c r="B754" s="69"/>
      <c r="C754" s="73"/>
      <c r="D754" s="71"/>
      <c r="E754" s="71"/>
      <c r="F754" s="71"/>
    </row>
    <row r="755">
      <c r="A755" s="68"/>
      <c r="B755" s="69"/>
      <c r="C755" s="73"/>
      <c r="D755" s="71"/>
      <c r="E755" s="71"/>
      <c r="F755" s="71"/>
    </row>
    <row r="756">
      <c r="A756" s="68"/>
      <c r="B756" s="69"/>
      <c r="C756" s="73"/>
      <c r="D756" s="71"/>
      <c r="E756" s="71"/>
      <c r="F756" s="71"/>
    </row>
    <row r="757">
      <c r="A757" s="68"/>
      <c r="B757" s="69"/>
      <c r="C757" s="73"/>
      <c r="D757" s="71"/>
      <c r="E757" s="71"/>
      <c r="F757" s="71"/>
    </row>
    <row r="758">
      <c r="A758" s="68"/>
      <c r="B758" s="69"/>
      <c r="C758" s="73"/>
      <c r="D758" s="71"/>
      <c r="E758" s="71"/>
      <c r="F758" s="71"/>
    </row>
    <row r="759">
      <c r="A759" s="68"/>
      <c r="B759" s="69"/>
      <c r="C759" s="73"/>
      <c r="D759" s="71"/>
      <c r="E759" s="71"/>
      <c r="F759" s="71"/>
    </row>
    <row r="760">
      <c r="A760" s="68"/>
      <c r="B760" s="69"/>
      <c r="C760" s="73"/>
      <c r="D760" s="71"/>
      <c r="E760" s="71"/>
      <c r="F760" s="71"/>
    </row>
    <row r="761">
      <c r="A761" s="68"/>
      <c r="B761" s="69"/>
      <c r="C761" s="73"/>
      <c r="D761" s="71"/>
      <c r="E761" s="71"/>
      <c r="F761" s="71"/>
    </row>
    <row r="762">
      <c r="A762" s="68"/>
      <c r="B762" s="69"/>
      <c r="C762" s="73"/>
      <c r="D762" s="71"/>
      <c r="E762" s="71"/>
      <c r="F762" s="71"/>
    </row>
    <row r="763">
      <c r="A763" s="68"/>
      <c r="B763" s="69"/>
      <c r="C763" s="73"/>
      <c r="D763" s="71"/>
      <c r="E763" s="71"/>
      <c r="F763" s="71"/>
    </row>
    <row r="764">
      <c r="A764" s="68"/>
      <c r="B764" s="69"/>
      <c r="C764" s="73"/>
      <c r="D764" s="71"/>
      <c r="E764" s="71"/>
      <c r="F764" s="71"/>
    </row>
    <row r="765">
      <c r="A765" s="68"/>
      <c r="B765" s="69"/>
      <c r="C765" s="73"/>
      <c r="D765" s="71"/>
      <c r="E765" s="71"/>
      <c r="F765" s="71"/>
    </row>
    <row r="766">
      <c r="A766" s="68"/>
      <c r="B766" s="69"/>
      <c r="C766" s="73"/>
      <c r="D766" s="71"/>
      <c r="E766" s="71"/>
      <c r="F766" s="71"/>
    </row>
    <row r="767">
      <c r="A767" s="68"/>
      <c r="B767" s="69"/>
      <c r="C767" s="73"/>
      <c r="D767" s="71"/>
      <c r="E767" s="71"/>
      <c r="F767" s="71"/>
    </row>
    <row r="768">
      <c r="A768" s="68"/>
      <c r="B768" s="69"/>
      <c r="C768" s="73"/>
      <c r="D768" s="71"/>
      <c r="E768" s="71"/>
      <c r="F768" s="71"/>
    </row>
    <row r="769">
      <c r="A769" s="68"/>
      <c r="B769" s="69"/>
      <c r="C769" s="73"/>
      <c r="D769" s="71"/>
      <c r="E769" s="71"/>
      <c r="F769" s="71"/>
    </row>
    <row r="770">
      <c r="A770" s="68"/>
      <c r="B770" s="69"/>
      <c r="C770" s="73"/>
      <c r="D770" s="71"/>
      <c r="E770" s="71"/>
      <c r="F770" s="71"/>
    </row>
    <row r="771">
      <c r="A771" s="68"/>
      <c r="B771" s="69"/>
      <c r="C771" s="73"/>
      <c r="D771" s="71"/>
      <c r="E771" s="71"/>
      <c r="F771" s="71"/>
    </row>
    <row r="772">
      <c r="A772" s="68"/>
      <c r="B772" s="69"/>
      <c r="C772" s="73"/>
      <c r="D772" s="71"/>
      <c r="E772" s="71"/>
      <c r="F772" s="71"/>
    </row>
    <row r="773">
      <c r="A773" s="68"/>
      <c r="B773" s="69"/>
      <c r="C773" s="73"/>
      <c r="D773" s="71"/>
      <c r="E773" s="71"/>
      <c r="F773" s="71"/>
    </row>
    <row r="774">
      <c r="A774" s="68"/>
      <c r="B774" s="69"/>
      <c r="C774" s="73"/>
      <c r="D774" s="71"/>
      <c r="E774" s="71"/>
      <c r="F774" s="71"/>
    </row>
    <row r="775">
      <c r="A775" s="68"/>
      <c r="B775" s="69"/>
      <c r="C775" s="73"/>
      <c r="D775" s="71"/>
      <c r="E775" s="71"/>
      <c r="F775" s="71"/>
    </row>
    <row r="776">
      <c r="A776" s="68"/>
      <c r="B776" s="69"/>
      <c r="C776" s="73"/>
      <c r="D776" s="71"/>
      <c r="E776" s="71"/>
      <c r="F776" s="71"/>
    </row>
    <row r="777">
      <c r="A777" s="68"/>
      <c r="B777" s="69"/>
      <c r="C777" s="73"/>
      <c r="D777" s="71"/>
      <c r="E777" s="71"/>
      <c r="F777" s="71"/>
    </row>
    <row r="778">
      <c r="A778" s="68"/>
      <c r="B778" s="69"/>
      <c r="C778" s="73"/>
      <c r="D778" s="71"/>
      <c r="E778" s="71"/>
      <c r="F778" s="71"/>
    </row>
    <row r="779">
      <c r="A779" s="68"/>
      <c r="B779" s="69"/>
      <c r="C779" s="73"/>
      <c r="D779" s="71"/>
      <c r="E779" s="71"/>
      <c r="F779" s="71"/>
    </row>
    <row r="780">
      <c r="A780" s="68"/>
      <c r="B780" s="69"/>
      <c r="C780" s="73"/>
      <c r="D780" s="71"/>
      <c r="E780" s="71"/>
      <c r="F780" s="71"/>
    </row>
    <row r="781">
      <c r="A781" s="68"/>
      <c r="B781" s="69"/>
      <c r="C781" s="73"/>
      <c r="D781" s="71"/>
      <c r="E781" s="71"/>
      <c r="F781" s="71"/>
    </row>
    <row r="782">
      <c r="A782" s="68"/>
      <c r="B782" s="69"/>
      <c r="C782" s="73"/>
      <c r="D782" s="71"/>
      <c r="E782" s="71"/>
      <c r="F782" s="71"/>
    </row>
    <row r="783">
      <c r="A783" s="68"/>
      <c r="B783" s="69"/>
      <c r="C783" s="73"/>
      <c r="D783" s="71"/>
      <c r="E783" s="71"/>
      <c r="F783" s="71"/>
    </row>
    <row r="784">
      <c r="A784" s="68"/>
      <c r="B784" s="69"/>
      <c r="C784" s="73"/>
      <c r="D784" s="71"/>
      <c r="E784" s="71"/>
      <c r="F784" s="71"/>
    </row>
    <row r="785">
      <c r="A785" s="68"/>
      <c r="B785" s="69"/>
      <c r="C785" s="73"/>
      <c r="D785" s="71"/>
      <c r="E785" s="71"/>
      <c r="F785" s="71"/>
    </row>
    <row r="786">
      <c r="A786" s="68"/>
      <c r="B786" s="69"/>
      <c r="C786" s="73"/>
      <c r="D786" s="71"/>
      <c r="E786" s="71"/>
      <c r="F786" s="71"/>
    </row>
    <row r="787">
      <c r="A787" s="68"/>
      <c r="B787" s="69"/>
      <c r="C787" s="73"/>
      <c r="D787" s="71"/>
      <c r="E787" s="71"/>
      <c r="F787" s="71"/>
    </row>
    <row r="788">
      <c r="A788" s="68"/>
      <c r="B788" s="69"/>
      <c r="C788" s="73"/>
      <c r="D788" s="71"/>
      <c r="E788" s="71"/>
      <c r="F788" s="71"/>
    </row>
    <row r="789">
      <c r="A789" s="68"/>
      <c r="B789" s="69"/>
      <c r="C789" s="73"/>
      <c r="D789" s="71"/>
      <c r="E789" s="71"/>
      <c r="F789" s="71"/>
    </row>
    <row r="790">
      <c r="A790" s="68"/>
      <c r="B790" s="69"/>
      <c r="C790" s="73"/>
      <c r="D790" s="71"/>
      <c r="E790" s="71"/>
      <c r="F790" s="71"/>
    </row>
    <row r="791">
      <c r="A791" s="68"/>
      <c r="B791" s="69"/>
      <c r="C791" s="73"/>
      <c r="D791" s="71"/>
      <c r="E791" s="71"/>
      <c r="F791" s="71"/>
    </row>
    <row r="792">
      <c r="A792" s="68"/>
      <c r="B792" s="69"/>
      <c r="C792" s="73"/>
      <c r="D792" s="71"/>
      <c r="E792" s="71"/>
      <c r="F792" s="71"/>
    </row>
    <row r="793">
      <c r="A793" s="68"/>
      <c r="B793" s="69"/>
      <c r="C793" s="73"/>
      <c r="D793" s="71"/>
      <c r="E793" s="71"/>
      <c r="F793" s="71"/>
    </row>
    <row r="794">
      <c r="A794" s="68"/>
      <c r="B794" s="69"/>
      <c r="C794" s="73"/>
      <c r="D794" s="71"/>
      <c r="E794" s="71"/>
      <c r="F794" s="71"/>
    </row>
    <row r="795">
      <c r="A795" s="68"/>
      <c r="B795" s="69"/>
      <c r="C795" s="73"/>
      <c r="D795" s="71"/>
      <c r="E795" s="71"/>
      <c r="F795" s="71"/>
    </row>
    <row r="796">
      <c r="A796" s="68"/>
      <c r="B796" s="69"/>
      <c r="C796" s="73"/>
      <c r="D796" s="71"/>
      <c r="E796" s="71"/>
      <c r="F796" s="71"/>
    </row>
    <row r="797">
      <c r="A797" s="68"/>
      <c r="B797" s="69"/>
      <c r="C797" s="73"/>
      <c r="D797" s="71"/>
      <c r="E797" s="71"/>
      <c r="F797" s="71"/>
    </row>
    <row r="798">
      <c r="A798" s="68"/>
      <c r="B798" s="69"/>
      <c r="C798" s="73"/>
      <c r="D798" s="71"/>
      <c r="E798" s="71"/>
      <c r="F798" s="71"/>
    </row>
    <row r="799">
      <c r="A799" s="68"/>
      <c r="B799" s="69"/>
      <c r="C799" s="73"/>
      <c r="D799" s="71"/>
      <c r="E799" s="71"/>
      <c r="F799" s="71"/>
    </row>
    <row r="800">
      <c r="A800" s="68"/>
      <c r="B800" s="69"/>
      <c r="C800" s="73"/>
      <c r="D800" s="71"/>
      <c r="E800" s="71"/>
      <c r="F800" s="71"/>
    </row>
    <row r="801">
      <c r="A801" s="68"/>
      <c r="B801" s="69"/>
      <c r="C801" s="73"/>
      <c r="D801" s="71"/>
      <c r="E801" s="71"/>
      <c r="F801" s="71"/>
    </row>
    <row r="802">
      <c r="A802" s="68"/>
      <c r="B802" s="69"/>
      <c r="C802" s="73"/>
      <c r="D802" s="71"/>
      <c r="E802" s="71"/>
      <c r="F802" s="71"/>
    </row>
    <row r="803">
      <c r="A803" s="68"/>
      <c r="B803" s="69"/>
      <c r="C803" s="73"/>
      <c r="D803" s="71"/>
      <c r="E803" s="71"/>
      <c r="F803" s="71"/>
    </row>
    <row r="804">
      <c r="A804" s="68"/>
      <c r="B804" s="69"/>
      <c r="C804" s="73"/>
      <c r="D804" s="71"/>
      <c r="E804" s="71"/>
      <c r="F804" s="71"/>
    </row>
    <row r="805">
      <c r="A805" s="68"/>
      <c r="B805" s="69"/>
      <c r="C805" s="73"/>
      <c r="D805" s="71"/>
      <c r="E805" s="71"/>
      <c r="F805" s="71"/>
    </row>
    <row r="806">
      <c r="A806" s="68"/>
      <c r="B806" s="69"/>
      <c r="C806" s="73"/>
      <c r="D806" s="71"/>
      <c r="E806" s="71"/>
      <c r="F806" s="71"/>
    </row>
    <row r="807">
      <c r="A807" s="68"/>
      <c r="B807" s="69"/>
      <c r="C807" s="73"/>
      <c r="D807" s="71"/>
      <c r="E807" s="71"/>
      <c r="F807" s="71"/>
    </row>
    <row r="808">
      <c r="A808" s="68"/>
      <c r="B808" s="69"/>
      <c r="C808" s="73"/>
      <c r="D808" s="71"/>
      <c r="E808" s="71"/>
      <c r="F808" s="71"/>
    </row>
    <row r="809">
      <c r="A809" s="68"/>
      <c r="B809" s="69"/>
      <c r="C809" s="73"/>
      <c r="D809" s="71"/>
      <c r="E809" s="71"/>
      <c r="F809" s="71"/>
    </row>
    <row r="810">
      <c r="A810" s="68"/>
      <c r="B810" s="69"/>
      <c r="C810" s="73"/>
      <c r="D810" s="71"/>
      <c r="E810" s="71"/>
      <c r="F810" s="71"/>
    </row>
    <row r="811">
      <c r="A811" s="68"/>
      <c r="B811" s="69"/>
      <c r="C811" s="73"/>
      <c r="D811" s="71"/>
      <c r="E811" s="71"/>
      <c r="F811" s="71"/>
    </row>
    <row r="812">
      <c r="A812" s="68"/>
      <c r="B812" s="69"/>
      <c r="C812" s="73"/>
      <c r="D812" s="71"/>
      <c r="E812" s="71"/>
      <c r="F812" s="71"/>
    </row>
    <row r="813">
      <c r="A813" s="68"/>
      <c r="B813" s="69"/>
      <c r="C813" s="73"/>
      <c r="D813" s="71"/>
      <c r="E813" s="71"/>
      <c r="F813" s="71"/>
    </row>
    <row r="814">
      <c r="A814" s="68"/>
      <c r="B814" s="69"/>
      <c r="C814" s="73"/>
      <c r="D814" s="71"/>
      <c r="E814" s="71"/>
      <c r="F814" s="71"/>
    </row>
    <row r="815">
      <c r="A815" s="68"/>
      <c r="B815" s="69"/>
      <c r="C815" s="73"/>
      <c r="D815" s="71"/>
      <c r="E815" s="71"/>
      <c r="F815" s="71"/>
    </row>
    <row r="816">
      <c r="A816" s="68"/>
      <c r="B816" s="69"/>
      <c r="C816" s="73"/>
      <c r="D816" s="71"/>
      <c r="E816" s="71"/>
      <c r="F816" s="71"/>
    </row>
    <row r="817">
      <c r="A817" s="68"/>
      <c r="B817" s="69"/>
      <c r="C817" s="73"/>
      <c r="D817" s="71"/>
      <c r="E817" s="71"/>
      <c r="F817" s="71"/>
    </row>
    <row r="818">
      <c r="A818" s="68"/>
      <c r="B818" s="69"/>
      <c r="C818" s="73"/>
      <c r="D818" s="71"/>
      <c r="E818" s="71"/>
      <c r="F818" s="71"/>
    </row>
    <row r="819">
      <c r="A819" s="68"/>
      <c r="B819" s="69"/>
      <c r="C819" s="73"/>
      <c r="D819" s="71"/>
      <c r="E819" s="71"/>
      <c r="F819" s="71"/>
    </row>
    <row r="820">
      <c r="A820" s="68"/>
      <c r="B820" s="69"/>
      <c r="C820" s="73"/>
      <c r="D820" s="71"/>
      <c r="E820" s="71"/>
      <c r="F820" s="71"/>
    </row>
    <row r="821">
      <c r="A821" s="68"/>
      <c r="B821" s="69"/>
      <c r="C821" s="73"/>
      <c r="D821" s="71"/>
      <c r="E821" s="71"/>
      <c r="F821" s="71"/>
    </row>
    <row r="822">
      <c r="A822" s="68"/>
      <c r="B822" s="69"/>
      <c r="C822" s="73"/>
      <c r="D822" s="71"/>
      <c r="E822" s="71"/>
      <c r="F822" s="71"/>
    </row>
    <row r="823">
      <c r="A823" s="68"/>
      <c r="B823" s="69"/>
      <c r="C823" s="73"/>
      <c r="D823" s="71"/>
      <c r="E823" s="71"/>
      <c r="F823" s="71"/>
    </row>
    <row r="824">
      <c r="A824" s="68"/>
      <c r="B824" s="69"/>
      <c r="C824" s="73"/>
      <c r="D824" s="71"/>
      <c r="E824" s="71"/>
      <c r="F824" s="71"/>
    </row>
    <row r="825">
      <c r="A825" s="68"/>
      <c r="B825" s="69"/>
      <c r="C825" s="73"/>
      <c r="D825" s="71"/>
      <c r="E825" s="71"/>
      <c r="F825" s="71"/>
    </row>
    <row r="826">
      <c r="A826" s="68"/>
      <c r="B826" s="69"/>
      <c r="C826" s="73"/>
      <c r="D826" s="71"/>
      <c r="E826" s="71"/>
      <c r="F826" s="71"/>
    </row>
    <row r="827">
      <c r="A827" s="68"/>
      <c r="B827" s="69"/>
      <c r="C827" s="73"/>
      <c r="D827" s="71"/>
      <c r="E827" s="71"/>
      <c r="F827" s="71"/>
    </row>
    <row r="828">
      <c r="A828" s="68"/>
      <c r="B828" s="69"/>
      <c r="C828" s="73"/>
      <c r="D828" s="71"/>
      <c r="E828" s="71"/>
      <c r="F828" s="71"/>
    </row>
    <row r="829">
      <c r="A829" s="68"/>
      <c r="B829" s="69"/>
      <c r="C829" s="73"/>
      <c r="D829" s="71"/>
      <c r="E829" s="71"/>
      <c r="F829" s="71"/>
    </row>
    <row r="830">
      <c r="A830" s="68"/>
      <c r="B830" s="69"/>
      <c r="C830" s="73"/>
      <c r="D830" s="71"/>
      <c r="E830" s="71"/>
      <c r="F830" s="71"/>
    </row>
    <row r="831">
      <c r="A831" s="68"/>
      <c r="B831" s="69"/>
      <c r="C831" s="73"/>
      <c r="D831" s="71"/>
      <c r="E831" s="71"/>
      <c r="F831" s="71"/>
    </row>
    <row r="832">
      <c r="A832" s="68"/>
      <c r="B832" s="69"/>
      <c r="C832" s="73"/>
      <c r="D832" s="71"/>
      <c r="E832" s="71"/>
      <c r="F832" s="71"/>
    </row>
    <row r="833">
      <c r="A833" s="68"/>
      <c r="B833" s="69"/>
      <c r="C833" s="73"/>
      <c r="D833" s="71"/>
      <c r="E833" s="71"/>
      <c r="F833" s="71"/>
    </row>
    <row r="834">
      <c r="A834" s="68"/>
      <c r="B834" s="69"/>
      <c r="C834" s="73"/>
      <c r="D834" s="71"/>
      <c r="E834" s="71"/>
      <c r="F834" s="71"/>
    </row>
    <row r="835">
      <c r="A835" s="68"/>
      <c r="B835" s="69"/>
      <c r="C835" s="73"/>
      <c r="D835" s="71"/>
      <c r="E835" s="71"/>
      <c r="F835" s="71"/>
    </row>
    <row r="836">
      <c r="A836" s="68"/>
      <c r="B836" s="69"/>
      <c r="C836" s="73"/>
      <c r="D836" s="71"/>
      <c r="E836" s="71"/>
      <c r="F836" s="71"/>
    </row>
    <row r="837">
      <c r="A837" s="68"/>
      <c r="B837" s="69"/>
      <c r="C837" s="73"/>
      <c r="D837" s="71"/>
      <c r="E837" s="71"/>
      <c r="F837" s="71"/>
    </row>
    <row r="838">
      <c r="A838" s="68"/>
      <c r="B838" s="69"/>
      <c r="C838" s="73"/>
      <c r="D838" s="71"/>
      <c r="E838" s="71"/>
      <c r="F838" s="71"/>
    </row>
    <row r="839">
      <c r="A839" s="68"/>
      <c r="B839" s="69"/>
      <c r="C839" s="73"/>
      <c r="D839" s="71"/>
      <c r="E839" s="71"/>
      <c r="F839" s="71"/>
    </row>
    <row r="840">
      <c r="A840" s="68"/>
      <c r="B840" s="69"/>
      <c r="C840" s="73"/>
      <c r="D840" s="71"/>
      <c r="E840" s="71"/>
      <c r="F840" s="71"/>
    </row>
    <row r="841">
      <c r="A841" s="68"/>
      <c r="B841" s="69"/>
      <c r="C841" s="73"/>
      <c r="D841" s="71"/>
      <c r="E841" s="71"/>
      <c r="F841" s="71"/>
    </row>
    <row r="842">
      <c r="A842" s="68"/>
      <c r="B842" s="69"/>
      <c r="C842" s="73"/>
      <c r="D842" s="71"/>
      <c r="E842" s="71"/>
      <c r="F842" s="71"/>
    </row>
    <row r="843">
      <c r="A843" s="68"/>
      <c r="B843" s="69"/>
      <c r="C843" s="73"/>
      <c r="D843" s="71"/>
      <c r="E843" s="71"/>
      <c r="F843" s="71"/>
    </row>
    <row r="844">
      <c r="A844" s="68"/>
      <c r="B844" s="69"/>
      <c r="C844" s="73"/>
      <c r="D844" s="71"/>
      <c r="E844" s="71"/>
      <c r="F844" s="71"/>
    </row>
    <row r="845">
      <c r="A845" s="68"/>
      <c r="B845" s="69"/>
      <c r="C845" s="73"/>
      <c r="D845" s="71"/>
      <c r="E845" s="71"/>
      <c r="F845" s="71"/>
    </row>
    <row r="846">
      <c r="A846" s="68"/>
      <c r="B846" s="69"/>
      <c r="C846" s="73"/>
      <c r="D846" s="71"/>
      <c r="E846" s="71"/>
      <c r="F846" s="71"/>
    </row>
    <row r="847">
      <c r="A847" s="68"/>
      <c r="B847" s="69"/>
      <c r="C847" s="73"/>
      <c r="D847" s="71"/>
      <c r="E847" s="71"/>
      <c r="F847" s="71"/>
    </row>
    <row r="848">
      <c r="A848" s="68"/>
      <c r="B848" s="69"/>
      <c r="C848" s="73"/>
      <c r="D848" s="71"/>
      <c r="E848" s="71"/>
      <c r="F848" s="71"/>
    </row>
    <row r="849">
      <c r="A849" s="68"/>
      <c r="B849" s="69"/>
      <c r="C849" s="73"/>
      <c r="D849" s="71"/>
      <c r="E849" s="71"/>
      <c r="F849" s="71"/>
    </row>
    <row r="850">
      <c r="A850" s="68"/>
      <c r="B850" s="69"/>
      <c r="C850" s="73"/>
      <c r="D850" s="71"/>
      <c r="E850" s="71"/>
      <c r="F850" s="71"/>
    </row>
    <row r="851">
      <c r="A851" s="68"/>
      <c r="B851" s="69"/>
      <c r="C851" s="73"/>
      <c r="D851" s="71"/>
      <c r="E851" s="71"/>
      <c r="F851" s="71"/>
    </row>
    <row r="852">
      <c r="A852" s="68"/>
      <c r="B852" s="69"/>
      <c r="C852" s="73"/>
      <c r="D852" s="71"/>
      <c r="E852" s="71"/>
      <c r="F852" s="71"/>
    </row>
    <row r="853">
      <c r="A853" s="68"/>
      <c r="B853" s="69"/>
      <c r="C853" s="73"/>
      <c r="D853" s="71"/>
      <c r="E853" s="71"/>
      <c r="F853" s="71"/>
    </row>
    <row r="854">
      <c r="A854" s="68"/>
      <c r="B854" s="69"/>
      <c r="C854" s="73"/>
      <c r="D854" s="71"/>
      <c r="E854" s="71"/>
      <c r="F854" s="71"/>
    </row>
    <row r="855">
      <c r="A855" s="68"/>
      <c r="B855" s="69"/>
      <c r="C855" s="73"/>
      <c r="D855" s="71"/>
      <c r="E855" s="71"/>
      <c r="F855" s="71"/>
    </row>
    <row r="856">
      <c r="A856" s="68"/>
      <c r="B856" s="69"/>
      <c r="C856" s="73"/>
      <c r="D856" s="71"/>
      <c r="E856" s="71"/>
      <c r="F856" s="71"/>
    </row>
    <row r="857">
      <c r="A857" s="68"/>
      <c r="B857" s="69"/>
      <c r="C857" s="73"/>
      <c r="D857" s="71"/>
      <c r="E857" s="71"/>
      <c r="F857" s="71"/>
    </row>
    <row r="858">
      <c r="A858" s="68"/>
      <c r="B858" s="69"/>
      <c r="C858" s="73"/>
      <c r="D858" s="71"/>
      <c r="E858" s="71"/>
      <c r="F858" s="71"/>
    </row>
    <row r="859">
      <c r="A859" s="68"/>
      <c r="B859" s="69"/>
      <c r="C859" s="73"/>
      <c r="D859" s="71"/>
      <c r="E859" s="71"/>
      <c r="F859" s="71"/>
    </row>
    <row r="860">
      <c r="A860" s="68"/>
      <c r="B860" s="69"/>
      <c r="C860" s="73"/>
      <c r="D860" s="71"/>
      <c r="E860" s="71"/>
      <c r="F860" s="71"/>
    </row>
    <row r="861">
      <c r="A861" s="68"/>
      <c r="B861" s="69"/>
      <c r="C861" s="73"/>
      <c r="D861" s="71"/>
      <c r="E861" s="71"/>
      <c r="F861" s="71"/>
    </row>
    <row r="862">
      <c r="A862" s="68"/>
      <c r="B862" s="69"/>
      <c r="C862" s="73"/>
      <c r="D862" s="71"/>
      <c r="E862" s="71"/>
      <c r="F862" s="71"/>
    </row>
    <row r="863">
      <c r="A863" s="68"/>
      <c r="B863" s="69"/>
      <c r="C863" s="73"/>
      <c r="D863" s="71"/>
      <c r="E863" s="71"/>
      <c r="F863" s="71"/>
    </row>
    <row r="864">
      <c r="A864" s="68"/>
      <c r="B864" s="69"/>
      <c r="C864" s="73"/>
      <c r="D864" s="71"/>
      <c r="E864" s="71"/>
      <c r="F864" s="71"/>
    </row>
    <row r="865">
      <c r="A865" s="68"/>
      <c r="B865" s="69"/>
      <c r="C865" s="73"/>
      <c r="D865" s="71"/>
      <c r="E865" s="71"/>
      <c r="F865" s="71"/>
    </row>
    <row r="866">
      <c r="A866" s="68"/>
      <c r="B866" s="69"/>
      <c r="C866" s="73"/>
      <c r="D866" s="71"/>
      <c r="E866" s="71"/>
      <c r="F866" s="71"/>
    </row>
    <row r="867">
      <c r="A867" s="68"/>
      <c r="B867" s="69"/>
      <c r="C867" s="73"/>
      <c r="D867" s="71"/>
      <c r="E867" s="71"/>
      <c r="F867" s="71"/>
    </row>
    <row r="868">
      <c r="A868" s="68"/>
      <c r="B868" s="69"/>
      <c r="C868" s="73"/>
      <c r="D868" s="71"/>
      <c r="E868" s="71"/>
      <c r="F868" s="71"/>
    </row>
    <row r="869">
      <c r="A869" s="68"/>
      <c r="B869" s="69"/>
      <c r="C869" s="73"/>
      <c r="D869" s="71"/>
      <c r="E869" s="71"/>
      <c r="F869" s="71"/>
    </row>
    <row r="870">
      <c r="A870" s="68"/>
      <c r="B870" s="69"/>
      <c r="C870" s="73"/>
      <c r="D870" s="71"/>
      <c r="E870" s="71"/>
      <c r="F870" s="71"/>
    </row>
    <row r="871">
      <c r="A871" s="68"/>
      <c r="B871" s="69"/>
      <c r="C871" s="73"/>
      <c r="D871" s="71"/>
      <c r="E871" s="71"/>
      <c r="F871" s="71"/>
    </row>
    <row r="872">
      <c r="A872" s="68"/>
      <c r="B872" s="69"/>
      <c r="C872" s="73"/>
      <c r="D872" s="71"/>
      <c r="E872" s="71"/>
      <c r="F872" s="71"/>
    </row>
    <row r="873">
      <c r="A873" s="68"/>
      <c r="B873" s="69"/>
      <c r="C873" s="73"/>
      <c r="D873" s="71"/>
      <c r="E873" s="71"/>
      <c r="F873" s="71"/>
    </row>
    <row r="874">
      <c r="A874" s="68"/>
      <c r="B874" s="69"/>
      <c r="C874" s="73"/>
      <c r="D874" s="71"/>
      <c r="E874" s="71"/>
      <c r="F874" s="71"/>
    </row>
    <row r="875">
      <c r="A875" s="68"/>
      <c r="B875" s="69"/>
      <c r="C875" s="73"/>
      <c r="D875" s="71"/>
      <c r="E875" s="71"/>
      <c r="F875" s="71"/>
    </row>
    <row r="876">
      <c r="A876" s="68"/>
      <c r="B876" s="69"/>
      <c r="C876" s="73"/>
      <c r="D876" s="71"/>
      <c r="E876" s="71"/>
      <c r="F876" s="71"/>
    </row>
    <row r="877">
      <c r="A877" s="68"/>
      <c r="B877" s="69"/>
      <c r="C877" s="73"/>
      <c r="D877" s="71"/>
      <c r="E877" s="71"/>
      <c r="F877" s="71"/>
    </row>
    <row r="878">
      <c r="A878" s="68"/>
      <c r="B878" s="69"/>
      <c r="C878" s="73"/>
      <c r="D878" s="71"/>
      <c r="E878" s="71"/>
      <c r="F878" s="71"/>
    </row>
    <row r="879">
      <c r="A879" s="68"/>
      <c r="B879" s="69"/>
      <c r="C879" s="73"/>
      <c r="D879" s="71"/>
      <c r="E879" s="71"/>
      <c r="F879" s="71"/>
    </row>
    <row r="880">
      <c r="A880" s="68"/>
      <c r="B880" s="69"/>
      <c r="C880" s="73"/>
      <c r="D880" s="71"/>
      <c r="E880" s="71"/>
      <c r="F880" s="71"/>
    </row>
    <row r="881">
      <c r="A881" s="68"/>
      <c r="B881" s="69"/>
      <c r="C881" s="73"/>
      <c r="D881" s="71"/>
      <c r="E881" s="71"/>
      <c r="F881" s="71"/>
    </row>
    <row r="882">
      <c r="A882" s="68"/>
      <c r="B882" s="69"/>
      <c r="C882" s="73"/>
      <c r="D882" s="71"/>
      <c r="E882" s="71"/>
      <c r="F882" s="71"/>
    </row>
    <row r="883">
      <c r="A883" s="68"/>
      <c r="B883" s="69"/>
      <c r="C883" s="73"/>
      <c r="D883" s="71"/>
      <c r="E883" s="71"/>
      <c r="F883" s="71"/>
    </row>
    <row r="884">
      <c r="A884" s="68"/>
      <c r="B884" s="69"/>
      <c r="C884" s="73"/>
      <c r="D884" s="71"/>
      <c r="E884" s="71"/>
      <c r="F884" s="71"/>
    </row>
    <row r="885">
      <c r="A885" s="68"/>
      <c r="B885" s="69"/>
      <c r="C885" s="73"/>
      <c r="D885" s="71"/>
      <c r="E885" s="71"/>
      <c r="F885" s="71"/>
    </row>
    <row r="886">
      <c r="A886" s="68"/>
      <c r="B886" s="69"/>
      <c r="C886" s="73"/>
      <c r="D886" s="71"/>
      <c r="E886" s="71"/>
      <c r="F886" s="71"/>
    </row>
    <row r="887">
      <c r="A887" s="68"/>
      <c r="B887" s="69"/>
      <c r="C887" s="73"/>
      <c r="D887" s="71"/>
      <c r="E887" s="71"/>
      <c r="F887" s="71"/>
    </row>
    <row r="888">
      <c r="A888" s="68"/>
      <c r="B888" s="69"/>
      <c r="C888" s="73"/>
      <c r="D888" s="71"/>
      <c r="E888" s="71"/>
      <c r="F888" s="71"/>
    </row>
    <row r="889">
      <c r="A889" s="68"/>
      <c r="B889" s="69"/>
      <c r="C889" s="73"/>
      <c r="D889" s="71"/>
      <c r="E889" s="71"/>
      <c r="F889" s="71"/>
    </row>
    <row r="890">
      <c r="A890" s="68"/>
      <c r="B890" s="69"/>
      <c r="C890" s="73"/>
      <c r="D890" s="71"/>
      <c r="E890" s="71"/>
      <c r="F890" s="71"/>
    </row>
    <row r="891">
      <c r="A891" s="68"/>
      <c r="B891" s="69"/>
      <c r="C891" s="73"/>
      <c r="D891" s="71"/>
      <c r="E891" s="71"/>
      <c r="F891" s="71"/>
    </row>
    <row r="892">
      <c r="A892" s="68"/>
      <c r="B892" s="69"/>
      <c r="C892" s="73"/>
      <c r="D892" s="71"/>
      <c r="E892" s="71"/>
      <c r="F892" s="71"/>
    </row>
    <row r="893">
      <c r="A893" s="68"/>
      <c r="B893" s="69"/>
      <c r="C893" s="73"/>
      <c r="D893" s="71"/>
      <c r="E893" s="71"/>
      <c r="F893" s="71"/>
    </row>
    <row r="894">
      <c r="A894" s="68"/>
      <c r="B894" s="69"/>
      <c r="C894" s="73"/>
      <c r="D894" s="71"/>
      <c r="E894" s="71"/>
      <c r="F894" s="71"/>
    </row>
    <row r="895">
      <c r="A895" s="68"/>
      <c r="B895" s="69"/>
      <c r="C895" s="73"/>
      <c r="D895" s="71"/>
      <c r="E895" s="71"/>
      <c r="F895" s="71"/>
    </row>
    <row r="896">
      <c r="A896" s="68"/>
      <c r="B896" s="69"/>
      <c r="C896" s="73"/>
      <c r="D896" s="71"/>
      <c r="E896" s="71"/>
      <c r="F896" s="71"/>
    </row>
    <row r="897">
      <c r="A897" s="68"/>
      <c r="B897" s="69"/>
      <c r="C897" s="73"/>
      <c r="D897" s="71"/>
      <c r="E897" s="71"/>
      <c r="F897" s="71"/>
    </row>
    <row r="898">
      <c r="A898" s="68"/>
      <c r="B898" s="69"/>
      <c r="C898" s="73"/>
      <c r="D898" s="71"/>
      <c r="E898" s="71"/>
      <c r="F898" s="71"/>
    </row>
    <row r="899">
      <c r="A899" s="68"/>
      <c r="B899" s="69"/>
      <c r="C899" s="73"/>
      <c r="D899" s="71"/>
      <c r="E899" s="71"/>
      <c r="F899" s="71"/>
    </row>
    <row r="900">
      <c r="A900" s="68"/>
      <c r="B900" s="69"/>
      <c r="C900" s="73"/>
      <c r="D900" s="71"/>
      <c r="E900" s="71"/>
      <c r="F900" s="71"/>
    </row>
    <row r="901">
      <c r="A901" s="68"/>
      <c r="B901" s="69"/>
      <c r="C901" s="73"/>
      <c r="D901" s="71"/>
      <c r="E901" s="71"/>
      <c r="F901" s="71"/>
    </row>
    <row r="902">
      <c r="A902" s="68"/>
      <c r="B902" s="69"/>
      <c r="C902" s="73"/>
      <c r="D902" s="71"/>
      <c r="E902" s="71"/>
      <c r="F902" s="71"/>
    </row>
    <row r="903">
      <c r="A903" s="68"/>
      <c r="B903" s="69"/>
      <c r="C903" s="73"/>
      <c r="D903" s="71"/>
      <c r="E903" s="71"/>
      <c r="F903" s="71"/>
    </row>
    <row r="904">
      <c r="A904" s="68"/>
      <c r="B904" s="69"/>
      <c r="C904" s="73"/>
      <c r="D904" s="71"/>
      <c r="E904" s="71"/>
      <c r="F904" s="71"/>
    </row>
    <row r="905">
      <c r="A905" s="68"/>
      <c r="B905" s="69"/>
      <c r="C905" s="73"/>
      <c r="D905" s="71"/>
      <c r="E905" s="71"/>
      <c r="F905" s="71"/>
    </row>
    <row r="906">
      <c r="A906" s="68"/>
      <c r="B906" s="69"/>
      <c r="C906" s="73"/>
      <c r="D906" s="71"/>
      <c r="E906" s="71"/>
      <c r="F906" s="71"/>
    </row>
    <row r="907">
      <c r="A907" s="68"/>
      <c r="B907" s="69"/>
      <c r="C907" s="73"/>
      <c r="D907" s="71"/>
      <c r="E907" s="71"/>
      <c r="F907" s="71"/>
    </row>
    <row r="908">
      <c r="A908" s="68"/>
      <c r="B908" s="69"/>
      <c r="C908" s="73"/>
      <c r="D908" s="71"/>
      <c r="E908" s="71"/>
      <c r="F908" s="71"/>
    </row>
    <row r="909">
      <c r="A909" s="68"/>
      <c r="B909" s="69"/>
      <c r="C909" s="73"/>
      <c r="D909" s="71"/>
      <c r="E909" s="71"/>
      <c r="F909" s="71"/>
    </row>
    <row r="910">
      <c r="A910" s="68"/>
      <c r="B910" s="69"/>
      <c r="C910" s="73"/>
      <c r="D910" s="71"/>
      <c r="E910" s="71"/>
      <c r="F910" s="71"/>
    </row>
    <row r="911">
      <c r="A911" s="68"/>
      <c r="B911" s="69"/>
      <c r="C911" s="73"/>
      <c r="D911" s="71"/>
      <c r="E911" s="71"/>
      <c r="F911" s="71"/>
    </row>
    <row r="912">
      <c r="A912" s="68"/>
      <c r="B912" s="69"/>
      <c r="C912" s="73"/>
      <c r="D912" s="71"/>
      <c r="E912" s="71"/>
      <c r="F912" s="71"/>
    </row>
    <row r="913">
      <c r="A913" s="68"/>
      <c r="B913" s="69"/>
      <c r="C913" s="73"/>
      <c r="D913" s="71"/>
      <c r="E913" s="71"/>
      <c r="F913" s="71"/>
    </row>
    <row r="914">
      <c r="A914" s="68"/>
      <c r="B914" s="69"/>
      <c r="C914" s="73"/>
      <c r="D914" s="71"/>
      <c r="E914" s="71"/>
      <c r="F914" s="71"/>
    </row>
    <row r="915">
      <c r="A915" s="68"/>
      <c r="B915" s="69"/>
      <c r="C915" s="73"/>
      <c r="D915" s="71"/>
      <c r="E915" s="71"/>
      <c r="F915" s="71"/>
    </row>
    <row r="916">
      <c r="A916" s="68"/>
      <c r="B916" s="69"/>
      <c r="C916" s="73"/>
      <c r="D916" s="71"/>
      <c r="E916" s="71"/>
      <c r="F916" s="71"/>
    </row>
    <row r="917">
      <c r="A917" s="68"/>
      <c r="B917" s="69"/>
      <c r="C917" s="73"/>
      <c r="D917" s="71"/>
      <c r="E917" s="71"/>
      <c r="F917" s="71"/>
    </row>
    <row r="918">
      <c r="A918" s="68"/>
      <c r="B918" s="69"/>
      <c r="C918" s="73"/>
      <c r="D918" s="71"/>
      <c r="E918" s="71"/>
      <c r="F918" s="71"/>
    </row>
    <row r="919">
      <c r="A919" s="68"/>
      <c r="B919" s="69"/>
      <c r="C919" s="73"/>
      <c r="D919" s="71"/>
      <c r="E919" s="71"/>
      <c r="F919" s="71"/>
    </row>
    <row r="920">
      <c r="A920" s="68"/>
      <c r="B920" s="69"/>
      <c r="C920" s="73"/>
      <c r="D920" s="71"/>
      <c r="E920" s="71"/>
      <c r="F920" s="71"/>
    </row>
    <row r="921">
      <c r="A921" s="68"/>
      <c r="B921" s="69"/>
      <c r="C921" s="73"/>
      <c r="D921" s="71"/>
      <c r="E921" s="71"/>
      <c r="F921" s="71"/>
    </row>
    <row r="922">
      <c r="A922" s="68"/>
      <c r="B922" s="69"/>
      <c r="C922" s="73"/>
      <c r="D922" s="71"/>
      <c r="E922" s="71"/>
      <c r="F922" s="71"/>
    </row>
    <row r="923">
      <c r="A923" s="68"/>
      <c r="B923" s="69"/>
      <c r="C923" s="73"/>
      <c r="D923" s="71"/>
      <c r="E923" s="71"/>
      <c r="F923" s="71"/>
    </row>
    <row r="924">
      <c r="A924" s="68"/>
      <c r="B924" s="69"/>
      <c r="C924" s="73"/>
      <c r="D924" s="71"/>
      <c r="E924" s="71"/>
      <c r="F924" s="71"/>
    </row>
    <row r="925">
      <c r="A925" s="68"/>
      <c r="B925" s="69"/>
      <c r="C925" s="73"/>
      <c r="D925" s="71"/>
      <c r="E925" s="71"/>
      <c r="F925" s="71"/>
    </row>
    <row r="926">
      <c r="A926" s="68"/>
      <c r="B926" s="69"/>
      <c r="C926" s="73"/>
      <c r="D926" s="71"/>
      <c r="E926" s="71"/>
      <c r="F926" s="71"/>
    </row>
    <row r="927">
      <c r="A927" s="68"/>
      <c r="B927" s="69"/>
      <c r="C927" s="73"/>
      <c r="D927" s="71"/>
      <c r="E927" s="71"/>
      <c r="F927" s="71"/>
    </row>
    <row r="928">
      <c r="A928" s="68"/>
      <c r="B928" s="69"/>
      <c r="C928" s="73"/>
      <c r="D928" s="71"/>
      <c r="E928" s="71"/>
      <c r="F928" s="71"/>
    </row>
    <row r="929">
      <c r="A929" s="68"/>
      <c r="B929" s="69"/>
      <c r="C929" s="73"/>
      <c r="D929" s="71"/>
      <c r="E929" s="71"/>
      <c r="F929" s="71"/>
    </row>
    <row r="930">
      <c r="A930" s="68"/>
      <c r="B930" s="69"/>
      <c r="C930" s="73"/>
      <c r="D930" s="71"/>
      <c r="E930" s="71"/>
      <c r="F930" s="71"/>
    </row>
    <row r="931">
      <c r="A931" s="68"/>
      <c r="B931" s="69"/>
      <c r="C931" s="73"/>
      <c r="D931" s="71"/>
      <c r="E931" s="71"/>
      <c r="F931" s="71"/>
    </row>
    <row r="932">
      <c r="A932" s="68"/>
      <c r="B932" s="69"/>
      <c r="C932" s="73"/>
      <c r="D932" s="71"/>
      <c r="E932" s="71"/>
      <c r="F932" s="71"/>
    </row>
    <row r="933">
      <c r="A933" s="68"/>
      <c r="B933" s="69"/>
      <c r="C933" s="73"/>
      <c r="D933" s="71"/>
      <c r="E933" s="71"/>
      <c r="F933" s="71"/>
    </row>
    <row r="934">
      <c r="A934" s="68"/>
      <c r="B934" s="69"/>
      <c r="C934" s="73"/>
      <c r="D934" s="71"/>
      <c r="E934" s="71"/>
      <c r="F934" s="71"/>
    </row>
    <row r="935">
      <c r="A935" s="68"/>
      <c r="B935" s="69"/>
      <c r="C935" s="73"/>
      <c r="D935" s="71"/>
      <c r="E935" s="71"/>
      <c r="F935" s="71"/>
    </row>
    <row r="936">
      <c r="A936" s="68"/>
      <c r="B936" s="69"/>
      <c r="C936" s="73"/>
      <c r="D936" s="71"/>
      <c r="E936" s="71"/>
      <c r="F936" s="71"/>
    </row>
    <row r="937">
      <c r="A937" s="68"/>
      <c r="B937" s="69"/>
      <c r="C937" s="73"/>
      <c r="D937" s="71"/>
      <c r="E937" s="71"/>
      <c r="F937" s="71"/>
    </row>
    <row r="938">
      <c r="A938" s="68"/>
      <c r="B938" s="69"/>
      <c r="C938" s="73"/>
      <c r="D938" s="71"/>
      <c r="E938" s="71"/>
      <c r="F938" s="71"/>
    </row>
    <row r="939">
      <c r="A939" s="68"/>
      <c r="B939" s="69"/>
      <c r="C939" s="73"/>
      <c r="D939" s="71"/>
      <c r="E939" s="71"/>
      <c r="F939" s="71"/>
    </row>
    <row r="940">
      <c r="A940" s="68"/>
      <c r="B940" s="69"/>
      <c r="C940" s="73"/>
      <c r="D940" s="71"/>
      <c r="E940" s="71"/>
      <c r="F940" s="71"/>
    </row>
    <row r="941">
      <c r="A941" s="68"/>
      <c r="B941" s="69"/>
      <c r="C941" s="73"/>
      <c r="D941" s="71"/>
      <c r="E941" s="71"/>
      <c r="F941" s="71"/>
    </row>
    <row r="942">
      <c r="A942" s="68"/>
      <c r="B942" s="69"/>
      <c r="C942" s="73"/>
      <c r="D942" s="71"/>
      <c r="E942" s="71"/>
      <c r="F942" s="71"/>
    </row>
    <row r="943">
      <c r="A943" s="68"/>
      <c r="B943" s="69"/>
      <c r="C943" s="73"/>
      <c r="D943" s="71"/>
      <c r="E943" s="71"/>
      <c r="F943" s="71"/>
    </row>
    <row r="944">
      <c r="A944" s="68"/>
      <c r="B944" s="69"/>
      <c r="C944" s="73"/>
      <c r="D944" s="71"/>
      <c r="E944" s="71"/>
      <c r="F944" s="71"/>
    </row>
    <row r="945">
      <c r="A945" s="68"/>
      <c r="B945" s="69"/>
      <c r="C945" s="73"/>
      <c r="D945" s="71"/>
      <c r="E945" s="71"/>
      <c r="F945" s="71"/>
    </row>
    <row r="946">
      <c r="A946" s="68"/>
      <c r="B946" s="69"/>
      <c r="C946" s="73"/>
      <c r="D946" s="71"/>
      <c r="E946" s="71"/>
      <c r="F946" s="71"/>
    </row>
    <row r="947">
      <c r="A947" s="68"/>
      <c r="B947" s="69"/>
      <c r="C947" s="73"/>
      <c r="D947" s="71"/>
      <c r="E947" s="71"/>
      <c r="F947" s="71"/>
    </row>
    <row r="948">
      <c r="A948" s="68"/>
      <c r="B948" s="69"/>
      <c r="C948" s="73"/>
      <c r="D948" s="71"/>
      <c r="E948" s="71"/>
      <c r="F948" s="71"/>
    </row>
    <row r="949">
      <c r="A949" s="68"/>
      <c r="B949" s="69"/>
      <c r="C949" s="73"/>
      <c r="D949" s="71"/>
      <c r="E949" s="71"/>
      <c r="F949" s="71"/>
    </row>
    <row r="950">
      <c r="A950" s="68"/>
      <c r="B950" s="69"/>
      <c r="C950" s="73"/>
      <c r="D950" s="71"/>
      <c r="E950" s="71"/>
      <c r="F950" s="71"/>
    </row>
    <row r="951">
      <c r="A951" s="68"/>
      <c r="B951" s="69"/>
      <c r="C951" s="73"/>
      <c r="D951" s="71"/>
      <c r="E951" s="71"/>
      <c r="F951" s="71"/>
    </row>
    <row r="952">
      <c r="A952" s="68"/>
      <c r="B952" s="69"/>
      <c r="C952" s="73"/>
      <c r="D952" s="71"/>
      <c r="E952" s="71"/>
      <c r="F952" s="71"/>
    </row>
    <row r="953">
      <c r="A953" s="68"/>
      <c r="B953" s="69"/>
      <c r="C953" s="73"/>
      <c r="D953" s="71"/>
      <c r="E953" s="71"/>
      <c r="F953" s="71"/>
    </row>
    <row r="954">
      <c r="A954" s="68"/>
      <c r="B954" s="69"/>
      <c r="C954" s="73"/>
      <c r="D954" s="71"/>
      <c r="E954" s="71"/>
      <c r="F954" s="71"/>
    </row>
    <row r="955">
      <c r="A955" s="68"/>
      <c r="B955" s="69"/>
      <c r="C955" s="73"/>
      <c r="D955" s="71"/>
      <c r="E955" s="71"/>
      <c r="F955" s="71"/>
    </row>
    <row r="956">
      <c r="A956" s="68"/>
      <c r="B956" s="69"/>
      <c r="C956" s="73"/>
      <c r="D956" s="71"/>
      <c r="E956" s="71"/>
      <c r="F956" s="71"/>
    </row>
    <row r="957">
      <c r="A957" s="68"/>
      <c r="B957" s="69"/>
      <c r="C957" s="73"/>
      <c r="D957" s="71"/>
      <c r="E957" s="71"/>
      <c r="F957" s="71"/>
    </row>
    <row r="958">
      <c r="A958" s="68"/>
      <c r="B958" s="69"/>
      <c r="C958" s="73"/>
      <c r="D958" s="71"/>
      <c r="E958" s="71"/>
      <c r="F958" s="71"/>
    </row>
    <row r="959">
      <c r="A959" s="68"/>
      <c r="B959" s="69"/>
      <c r="C959" s="73"/>
      <c r="D959" s="71"/>
      <c r="E959" s="71"/>
      <c r="F959" s="71"/>
    </row>
    <row r="960">
      <c r="A960" s="68"/>
      <c r="B960" s="69"/>
      <c r="C960" s="73"/>
      <c r="D960" s="71"/>
      <c r="E960" s="71"/>
      <c r="F960" s="71"/>
    </row>
    <row r="961">
      <c r="A961" s="68"/>
      <c r="B961" s="69"/>
      <c r="C961" s="73"/>
      <c r="D961" s="71"/>
      <c r="E961" s="71"/>
      <c r="F961" s="71"/>
    </row>
    <row r="962">
      <c r="A962" s="68"/>
      <c r="B962" s="69"/>
      <c r="C962" s="73"/>
      <c r="D962" s="71"/>
      <c r="E962" s="71"/>
      <c r="F962" s="71"/>
    </row>
    <row r="963">
      <c r="A963" s="68"/>
      <c r="B963" s="69"/>
      <c r="C963" s="73"/>
      <c r="D963" s="71"/>
      <c r="E963" s="71"/>
      <c r="F963" s="71"/>
    </row>
    <row r="964">
      <c r="A964" s="68"/>
      <c r="B964" s="69"/>
      <c r="C964" s="73"/>
      <c r="D964" s="71"/>
      <c r="E964" s="71"/>
      <c r="F964" s="71"/>
    </row>
    <row r="965">
      <c r="A965" s="68"/>
      <c r="B965" s="69"/>
      <c r="C965" s="73"/>
      <c r="D965" s="71"/>
      <c r="E965" s="71"/>
      <c r="F965" s="71"/>
    </row>
    <row r="966">
      <c r="A966" s="68"/>
      <c r="B966" s="69"/>
      <c r="C966" s="73"/>
      <c r="D966" s="71"/>
      <c r="E966" s="71"/>
      <c r="F966" s="71"/>
    </row>
    <row r="967">
      <c r="A967" s="68"/>
      <c r="B967" s="69"/>
      <c r="C967" s="73"/>
      <c r="D967" s="71"/>
      <c r="E967" s="71"/>
      <c r="F967" s="71"/>
    </row>
    <row r="968">
      <c r="A968" s="68"/>
      <c r="B968" s="69"/>
      <c r="C968" s="73"/>
      <c r="D968" s="71"/>
      <c r="E968" s="71"/>
      <c r="F968" s="71"/>
    </row>
    <row r="969">
      <c r="A969" s="68"/>
      <c r="B969" s="69"/>
      <c r="C969" s="73"/>
      <c r="D969" s="71"/>
      <c r="E969" s="71"/>
      <c r="F969" s="71"/>
    </row>
    <row r="970">
      <c r="A970" s="68"/>
      <c r="B970" s="69"/>
      <c r="C970" s="73"/>
      <c r="D970" s="71"/>
      <c r="E970" s="71"/>
      <c r="F970" s="71"/>
    </row>
    <row r="971">
      <c r="A971" s="68"/>
      <c r="B971" s="69"/>
      <c r="C971" s="73"/>
      <c r="D971" s="71"/>
      <c r="E971" s="71"/>
      <c r="F971" s="71"/>
    </row>
    <row r="972">
      <c r="A972" s="68"/>
      <c r="B972" s="69"/>
      <c r="C972" s="73"/>
      <c r="D972" s="71"/>
      <c r="E972" s="71"/>
      <c r="F972" s="71"/>
    </row>
    <row r="973">
      <c r="A973" s="68"/>
      <c r="B973" s="69"/>
      <c r="C973" s="73"/>
      <c r="D973" s="71"/>
      <c r="E973" s="71"/>
      <c r="F973" s="71"/>
    </row>
    <row r="974">
      <c r="A974" s="68"/>
      <c r="B974" s="69"/>
      <c r="C974" s="73"/>
      <c r="D974" s="71"/>
      <c r="E974" s="71"/>
      <c r="F974" s="71"/>
    </row>
    <row r="975">
      <c r="A975" s="68"/>
      <c r="B975" s="69"/>
      <c r="C975" s="73"/>
      <c r="D975" s="71"/>
      <c r="E975" s="71"/>
      <c r="F975" s="71"/>
    </row>
    <row r="976">
      <c r="A976" s="68"/>
      <c r="B976" s="69"/>
      <c r="C976" s="73"/>
      <c r="D976" s="71"/>
      <c r="E976" s="71"/>
      <c r="F976" s="71"/>
    </row>
    <row r="977">
      <c r="A977" s="68"/>
      <c r="B977" s="69"/>
      <c r="C977" s="73"/>
      <c r="D977" s="71"/>
      <c r="E977" s="71"/>
      <c r="F977" s="71"/>
    </row>
    <row r="978">
      <c r="A978" s="68"/>
      <c r="B978" s="69"/>
      <c r="C978" s="73"/>
      <c r="D978" s="71"/>
      <c r="E978" s="71"/>
      <c r="F978" s="71"/>
    </row>
    <row r="979">
      <c r="A979" s="68"/>
      <c r="B979" s="69"/>
      <c r="C979" s="73"/>
      <c r="D979" s="71"/>
      <c r="E979" s="71"/>
      <c r="F979" s="71"/>
    </row>
    <row r="980">
      <c r="A980" s="68"/>
      <c r="B980" s="69"/>
      <c r="C980" s="73"/>
      <c r="D980" s="71"/>
      <c r="E980" s="71"/>
      <c r="F980" s="71"/>
    </row>
    <row r="981">
      <c r="A981" s="68"/>
      <c r="B981" s="69"/>
      <c r="C981" s="73"/>
      <c r="D981" s="71"/>
      <c r="E981" s="71"/>
      <c r="F981" s="71"/>
    </row>
    <row r="982">
      <c r="A982" s="68"/>
      <c r="B982" s="69"/>
      <c r="C982" s="73"/>
      <c r="D982" s="71"/>
      <c r="E982" s="71"/>
      <c r="F982" s="71"/>
    </row>
    <row r="983">
      <c r="A983" s="68"/>
      <c r="B983" s="69"/>
      <c r="C983" s="73"/>
      <c r="D983" s="71"/>
      <c r="E983" s="71"/>
      <c r="F983" s="71"/>
    </row>
    <row r="984">
      <c r="A984" s="68"/>
      <c r="B984" s="69"/>
      <c r="C984" s="73"/>
      <c r="D984" s="71"/>
      <c r="E984" s="71"/>
      <c r="F984" s="71"/>
    </row>
    <row r="985">
      <c r="A985" s="68"/>
      <c r="B985" s="69"/>
      <c r="C985" s="73"/>
      <c r="D985" s="71"/>
      <c r="E985" s="71"/>
      <c r="F985" s="71"/>
    </row>
    <row r="986">
      <c r="A986" s="68"/>
      <c r="B986" s="69"/>
      <c r="C986" s="73"/>
      <c r="D986" s="71"/>
      <c r="E986" s="71"/>
      <c r="F986" s="71"/>
    </row>
    <row r="987">
      <c r="A987" s="68"/>
      <c r="B987" s="69"/>
      <c r="C987" s="73"/>
      <c r="D987" s="71"/>
      <c r="E987" s="71"/>
      <c r="F987" s="71"/>
    </row>
    <row r="988">
      <c r="A988" s="68"/>
      <c r="B988" s="69"/>
      <c r="C988" s="73"/>
      <c r="D988" s="71"/>
      <c r="E988" s="71"/>
      <c r="F988" s="71"/>
    </row>
    <row r="989">
      <c r="A989" s="68"/>
      <c r="B989" s="69"/>
      <c r="C989" s="73"/>
      <c r="D989" s="71"/>
      <c r="E989" s="71"/>
      <c r="F989" s="71"/>
    </row>
    <row r="990">
      <c r="A990" s="68"/>
      <c r="B990" s="69"/>
      <c r="C990" s="73"/>
      <c r="D990" s="71"/>
      <c r="E990" s="71"/>
      <c r="F990" s="71"/>
    </row>
    <row r="991">
      <c r="A991" s="68"/>
      <c r="B991" s="69"/>
      <c r="C991" s="73"/>
      <c r="D991" s="71"/>
      <c r="E991" s="71"/>
      <c r="F991" s="71"/>
    </row>
    <row r="992">
      <c r="A992" s="68"/>
      <c r="B992" s="69"/>
      <c r="C992" s="73"/>
      <c r="D992" s="71"/>
      <c r="E992" s="71"/>
      <c r="F992" s="71"/>
    </row>
    <row r="993">
      <c r="A993" s="68"/>
      <c r="B993" s="69"/>
      <c r="C993" s="73"/>
      <c r="D993" s="71"/>
      <c r="E993" s="71"/>
      <c r="F993" s="71"/>
    </row>
    <row r="994">
      <c r="A994" s="68"/>
      <c r="B994" s="69"/>
      <c r="C994" s="73"/>
      <c r="D994" s="71"/>
      <c r="E994" s="71"/>
      <c r="F994" s="71"/>
    </row>
    <row r="995">
      <c r="A995" s="68"/>
      <c r="B995" s="69"/>
      <c r="C995" s="73"/>
      <c r="D995" s="71"/>
      <c r="E995" s="71"/>
      <c r="F995" s="71"/>
    </row>
    <row r="996">
      <c r="A996" s="68"/>
      <c r="B996" s="69"/>
      <c r="C996" s="73"/>
      <c r="D996" s="71"/>
      <c r="E996" s="71"/>
      <c r="F996" s="71"/>
    </row>
    <row r="997">
      <c r="A997" s="68"/>
      <c r="B997" s="69"/>
      <c r="C997" s="73"/>
      <c r="D997" s="71"/>
      <c r="E997" s="71"/>
      <c r="F997" s="71"/>
    </row>
    <row r="998">
      <c r="A998" s="68"/>
      <c r="B998" s="69"/>
      <c r="C998" s="73"/>
      <c r="D998" s="71"/>
      <c r="E998" s="71"/>
      <c r="F998" s="71"/>
    </row>
    <row r="999">
      <c r="A999" s="68"/>
      <c r="B999" s="69"/>
      <c r="C999" s="73"/>
      <c r="D999" s="71"/>
      <c r="E999" s="71"/>
      <c r="F999" s="71"/>
    </row>
    <row r="1000">
      <c r="A1000" s="68"/>
      <c r="B1000" s="69"/>
      <c r="C1000" s="73"/>
      <c r="D1000" s="71"/>
      <c r="E1000" s="71"/>
      <c r="F1000" s="71"/>
    </row>
    <row r="1001">
      <c r="A1001" s="68"/>
      <c r="B1001" s="69"/>
      <c r="C1001" s="73"/>
      <c r="D1001" s="71"/>
      <c r="E1001" s="71"/>
      <c r="F1001" s="71"/>
    </row>
  </sheetData>
  <conditionalFormatting sqref="E3 E9 E45">
    <cfRule type="containsBlanks" dxfId="6" priority="1">
      <formula>LEN(TRIM(E3))=0</formula>
    </cfRule>
  </conditionalFormatting>
  <conditionalFormatting sqref="E3 E9 E45">
    <cfRule type="notContainsBlanks" dxfId="5" priority="2">
      <formula>LEN(TRIM(E3))&gt;0</formula>
    </cfRule>
  </conditionalFormatting>
  <conditionalFormatting sqref="E3:E59">
    <cfRule type="containsText" dxfId="7" priority="3" operator="containsText" text="MENSALIDADE">
      <formula>NOT(ISERROR(SEARCH(("MENSALIDADE"),(E3))))</formula>
    </cfRule>
  </conditionalFormatting>
  <conditionalFormatting sqref="E3:E59">
    <cfRule type="containsText" dxfId="8" priority="4" operator="containsText" text="CAMISETA">
      <formula>NOT(ISERROR(SEARCH(("CAMISETA"),(E3))))</formula>
    </cfRule>
  </conditionalFormatting>
  <conditionalFormatting sqref="E3:E59">
    <cfRule type="containsText" dxfId="8" priority="5" operator="containsText" text="UNIFORME">
      <formula>NOT(ISERROR(SEARCH(("UNIFORME"),(E3))))</formula>
    </cfRule>
  </conditionalFormatting>
  <conditionalFormatting sqref="E3:E59">
    <cfRule type="containsText" dxfId="8" priority="6" operator="containsText" text="CAMISA">
      <formula>NOT(ISERROR(SEARCH(("CAMISA"),(E3))))</formula>
    </cfRule>
  </conditionalFormatting>
  <conditionalFormatting sqref="E3:E59">
    <cfRule type="containsText" dxfId="8" priority="7" operator="containsText" text="MEIÃO">
      <formula>NOT(ISERROR(SEARCH(("MEIÃO"),(E3))))</formula>
    </cfRule>
  </conditionalFormatting>
  <conditionalFormatting sqref="E3:E65">
    <cfRule type="containsText" dxfId="8" priority="8" operator="containsText" text="CALÇÃO">
      <formula>NOT(ISERROR(SEARCH(("CALÇÃO"),(E3))))</formula>
    </cfRule>
  </conditionalFormatting>
  <dataValidations>
    <dataValidation type="list" allowBlank="1" sqref="F3:F58">
      <formula1>"MENSALIDADE,UNIFORME,OUTROS"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  <col customWidth="1" min="3" max="3" width="44.75"/>
    <col customWidth="1" min="5" max="5" width="15.13"/>
    <col customWidth="1" min="8" max="8" width="14.13"/>
    <col customWidth="1" min="9" max="9" width="34.88"/>
  </cols>
  <sheetData>
    <row r="1">
      <c r="A1" s="9">
        <f>SUMPRODUCT((X1:AG1&lt;&gt;"")*(X1:AG1&lt;&gt;"-"))</f>
        <v>10</v>
      </c>
      <c r="B1" s="13" t="s">
        <v>8</v>
      </c>
      <c r="C1" s="16" t="s">
        <v>9</v>
      </c>
      <c r="D1" s="16" t="s">
        <v>10</v>
      </c>
      <c r="E1" s="25">
        <f>INT((TODAY()-F1)/365.25)</f>
        <v>12</v>
      </c>
      <c r="F1" s="26">
        <v>41831.0</v>
      </c>
      <c r="G1" s="27" t="s">
        <v>14</v>
      </c>
      <c r="H1" s="26">
        <v>46051.0</v>
      </c>
      <c r="I1" s="16">
        <v>2.0</v>
      </c>
      <c r="J1" s="29" t="s">
        <v>16</v>
      </c>
      <c r="K1" s="16" t="s">
        <v>18</v>
      </c>
      <c r="L1" s="26">
        <v>46063.0</v>
      </c>
      <c r="M1" s="26">
        <v>46097.0</v>
      </c>
      <c r="N1" s="32" t="s">
        <v>20</v>
      </c>
      <c r="O1" s="26"/>
      <c r="P1" s="26"/>
      <c r="Q1" s="26"/>
      <c r="R1" s="34"/>
      <c r="S1" s="35" t="s">
        <v>22</v>
      </c>
      <c r="T1" s="26"/>
      <c r="U1" s="26"/>
      <c r="V1" s="26"/>
      <c r="W1" s="16">
        <v>10.0</v>
      </c>
      <c r="X1" s="37">
        <v>45539.0</v>
      </c>
      <c r="Y1" s="37">
        <v>45602.0</v>
      </c>
      <c r="Z1" s="16" t="s">
        <v>24</v>
      </c>
      <c r="AA1" s="39" t="s">
        <v>9</v>
      </c>
      <c r="AB1" s="39" t="s">
        <v>9</v>
      </c>
      <c r="AC1" s="27" t="s">
        <v>25</v>
      </c>
      <c r="AD1" s="39" t="s">
        <v>26</v>
      </c>
      <c r="AE1" s="16" t="s">
        <v>27</v>
      </c>
      <c r="AF1" s="39" t="s">
        <v>28</v>
      </c>
      <c r="AG1" s="39" t="s">
        <v>29</v>
      </c>
      <c r="AH1" s="40" t="s">
        <v>30</v>
      </c>
      <c r="AI1" s="34"/>
    </row>
    <row r="5">
      <c r="B5" s="41" t="s">
        <v>31</v>
      </c>
      <c r="C5" s="41" t="s">
        <v>32</v>
      </c>
      <c r="D5" s="41" t="s">
        <v>33</v>
      </c>
      <c r="E5" s="41" t="s">
        <v>34</v>
      </c>
      <c r="F5" s="41" t="s">
        <v>35</v>
      </c>
      <c r="G5" s="41" t="s">
        <v>36</v>
      </c>
      <c r="H5" s="41" t="s">
        <v>37</v>
      </c>
      <c r="I5" s="41" t="s">
        <v>38</v>
      </c>
    </row>
    <row r="6">
      <c r="B6" s="45" t="s">
        <v>39</v>
      </c>
      <c r="C6" s="47" t="s">
        <v>40</v>
      </c>
      <c r="D6" s="47">
        <v>4.0</v>
      </c>
      <c r="E6" s="51"/>
      <c r="F6" s="51"/>
      <c r="G6" s="47" t="s">
        <v>41</v>
      </c>
      <c r="H6" s="51"/>
      <c r="I6" s="47" t="s">
        <v>42</v>
      </c>
    </row>
    <row r="7">
      <c r="B7" s="52" t="s">
        <v>43</v>
      </c>
      <c r="C7" s="55" t="s">
        <v>44</v>
      </c>
      <c r="D7" s="55">
        <v>2.0</v>
      </c>
      <c r="E7" s="56"/>
      <c r="F7" s="56"/>
      <c r="G7" s="55" t="s">
        <v>46</v>
      </c>
      <c r="H7" s="56"/>
      <c r="I7" s="55" t="s">
        <v>47</v>
      </c>
    </row>
    <row r="8">
      <c r="B8" s="52" t="s">
        <v>48</v>
      </c>
      <c r="C8" s="55" t="s">
        <v>49</v>
      </c>
      <c r="D8" s="55">
        <v>1.0</v>
      </c>
      <c r="E8" s="56"/>
      <c r="F8" s="56"/>
      <c r="G8" s="55" t="s">
        <v>41</v>
      </c>
      <c r="H8" s="56"/>
      <c r="I8" s="55" t="s">
        <v>50</v>
      </c>
    </row>
    <row r="9">
      <c r="B9" s="52" t="s">
        <v>52</v>
      </c>
      <c r="C9" s="55" t="s">
        <v>54</v>
      </c>
      <c r="D9" s="55">
        <v>5.0</v>
      </c>
      <c r="E9" s="56"/>
      <c r="F9" s="56"/>
      <c r="G9" s="55" t="s">
        <v>41</v>
      </c>
      <c r="H9" s="56"/>
      <c r="I9" s="55" t="s">
        <v>55</v>
      </c>
    </row>
    <row r="10">
      <c r="B10" s="52" t="s">
        <v>56</v>
      </c>
      <c r="C10" s="55" t="s">
        <v>49</v>
      </c>
      <c r="D10" s="55">
        <v>1.0</v>
      </c>
      <c r="E10" s="56"/>
      <c r="F10" s="56"/>
      <c r="G10" s="55" t="s">
        <v>41</v>
      </c>
      <c r="H10" s="56"/>
      <c r="I10" s="55" t="s">
        <v>59</v>
      </c>
    </row>
    <row r="11">
      <c r="B11" s="58"/>
      <c r="C11" s="58"/>
      <c r="D11" s="58"/>
      <c r="E11" s="59"/>
      <c r="F11" s="59"/>
      <c r="G11" s="58"/>
      <c r="H11" s="59"/>
      <c r="I11" s="59"/>
    </row>
    <row r="12">
      <c r="B12" s="58"/>
      <c r="C12" s="58"/>
      <c r="D12" s="58"/>
      <c r="E12" s="59"/>
      <c r="F12" s="59"/>
      <c r="G12" s="58"/>
      <c r="H12" s="59"/>
      <c r="I12" s="59"/>
    </row>
  </sheetData>
  <conditionalFormatting sqref="B1:AH1">
    <cfRule type="notContainsBlanks" dxfId="5" priority="1">
      <formula>LEN(TRIM(B1))&gt;0</formula>
    </cfRule>
  </conditionalFormatting>
  <conditionalFormatting sqref="A1">
    <cfRule type="colorScale" priority="2">
      <colorScale>
        <cfvo type="formula" val="0"/>
        <cfvo type="percent" val="50"/>
        <cfvo type="percent" val="100"/>
        <color rgb="FFFF0000"/>
        <color rgb="FFFFFF00"/>
        <color rgb="FF34A853"/>
      </colorScale>
    </cfRule>
  </conditionalFormatting>
  <conditionalFormatting sqref="B1:AH1">
    <cfRule type="containsBlanks" dxfId="6" priority="3">
      <formula>LEN(TRIM(B1))=0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</cols>
  <sheetData>
    <row r="1">
      <c r="A1" s="6" t="s">
        <v>1</v>
      </c>
      <c r="B1" s="10"/>
      <c r="C1" s="10" t="s">
        <v>7</v>
      </c>
      <c r="D1" s="10"/>
      <c r="E1" s="14"/>
      <c r="F1" s="17"/>
      <c r="G1" s="17"/>
      <c r="H1" s="17"/>
      <c r="I1" s="17"/>
      <c r="J1" s="17"/>
      <c r="K1" s="20"/>
      <c r="L1" s="20"/>
      <c r="M1" s="20"/>
      <c r="N1" s="20"/>
      <c r="O1" s="17"/>
      <c r="P1" s="23">
        <v>12.0</v>
      </c>
      <c r="Q1" s="10" t="s">
        <v>9</v>
      </c>
      <c r="R1" s="72" t="s">
        <v>13</v>
      </c>
      <c r="S1" s="17"/>
      <c r="T1" s="17">
        <v>45672.0</v>
      </c>
      <c r="U1" s="10" t="s">
        <v>9</v>
      </c>
      <c r="V1" s="10" t="s">
        <v>9</v>
      </c>
      <c r="W1" s="10" t="s">
        <v>101</v>
      </c>
      <c r="X1" s="10" t="s">
        <v>102</v>
      </c>
      <c r="Y1" s="10" t="s">
        <v>101</v>
      </c>
      <c r="Z1" s="17">
        <v>42335.0</v>
      </c>
      <c r="AA1" s="14">
        <v>2.0</v>
      </c>
      <c r="AB1" s="14" t="s">
        <v>104</v>
      </c>
      <c r="AC1" s="10" t="s">
        <v>105</v>
      </c>
      <c r="AD1" s="10" t="s">
        <v>106</v>
      </c>
    </row>
    <row r="2">
      <c r="A2" s="75" t="s">
        <v>108</v>
      </c>
      <c r="B2" s="76"/>
      <c r="C2" s="10" t="s">
        <v>111</v>
      </c>
      <c r="D2" s="10"/>
      <c r="E2" s="10"/>
      <c r="F2" s="10"/>
      <c r="G2" s="10"/>
      <c r="H2" s="17"/>
      <c r="I2" s="17"/>
      <c r="J2" s="17"/>
      <c r="K2" s="17"/>
      <c r="L2" s="20"/>
      <c r="M2" s="14"/>
      <c r="N2" s="17"/>
      <c r="O2" s="17"/>
      <c r="P2" s="23">
        <v>10.0</v>
      </c>
      <c r="Q2" s="10" t="s">
        <v>9</v>
      </c>
      <c r="R2" s="23" t="s">
        <v>114</v>
      </c>
      <c r="S2" s="14" t="s">
        <v>24</v>
      </c>
      <c r="T2" s="17"/>
      <c r="U2" s="10" t="s">
        <v>9</v>
      </c>
      <c r="V2" s="10" t="s">
        <v>101</v>
      </c>
      <c r="W2" s="10" t="s">
        <v>115</v>
      </c>
      <c r="X2" s="10" t="s">
        <v>116</v>
      </c>
      <c r="Y2" s="10" t="s">
        <v>101</v>
      </c>
      <c r="Z2" s="17">
        <v>42803.0</v>
      </c>
      <c r="AA2" s="14">
        <v>2.0</v>
      </c>
      <c r="AB2" s="14" t="s">
        <v>118</v>
      </c>
      <c r="AC2" s="10" t="s">
        <v>119</v>
      </c>
      <c r="AD2" s="10" t="s">
        <v>120</v>
      </c>
    </row>
    <row r="3">
      <c r="A3" s="6" t="s">
        <v>121</v>
      </c>
      <c r="B3" s="10"/>
      <c r="C3" s="10" t="s">
        <v>122</v>
      </c>
      <c r="D3" s="17"/>
      <c r="E3" s="17"/>
      <c r="F3" s="17"/>
      <c r="G3" s="17"/>
      <c r="H3" s="17"/>
      <c r="I3" s="17"/>
      <c r="J3" s="17"/>
      <c r="K3" s="17"/>
      <c r="L3" s="20"/>
      <c r="M3" s="20"/>
      <c r="N3" s="20"/>
      <c r="O3" s="17"/>
      <c r="P3" s="23">
        <v>24.0</v>
      </c>
      <c r="Q3" s="10" t="s">
        <v>9</v>
      </c>
      <c r="R3" s="23" t="s">
        <v>124</v>
      </c>
      <c r="S3" s="17">
        <v>45484.0</v>
      </c>
      <c r="T3" s="17">
        <v>45484.0</v>
      </c>
      <c r="U3" s="10"/>
      <c r="V3" s="10" t="s">
        <v>9</v>
      </c>
      <c r="W3" s="10" t="s">
        <v>9</v>
      </c>
      <c r="X3" s="80" t="s">
        <v>125</v>
      </c>
      <c r="Y3" s="10" t="s">
        <v>26</v>
      </c>
      <c r="Z3" s="17">
        <v>41824.0</v>
      </c>
      <c r="AA3" s="14">
        <v>4.0</v>
      </c>
      <c r="AB3" s="14" t="s">
        <v>127</v>
      </c>
      <c r="AC3" s="10" t="s">
        <v>128</v>
      </c>
      <c r="AD3" s="10" t="s">
        <v>130</v>
      </c>
    </row>
    <row r="4">
      <c r="A4" s="6"/>
      <c r="B4" s="10"/>
      <c r="C4" s="10"/>
      <c r="D4" s="10"/>
      <c r="E4" s="10"/>
      <c r="F4" s="10"/>
      <c r="G4" s="17"/>
      <c r="H4" s="17"/>
      <c r="I4" s="17"/>
      <c r="J4" s="17"/>
      <c r="K4" s="17"/>
      <c r="L4" s="14"/>
      <c r="M4" s="17"/>
      <c r="N4" s="17"/>
      <c r="O4" s="23"/>
      <c r="P4" s="10"/>
      <c r="Q4" s="23"/>
      <c r="R4" s="17"/>
      <c r="S4" s="17"/>
      <c r="T4" s="10"/>
      <c r="U4" s="10"/>
      <c r="V4" s="10"/>
      <c r="W4" s="72"/>
      <c r="X4" s="14"/>
      <c r="Y4" s="17">
        <v>42484.0</v>
      </c>
      <c r="Z4" s="14">
        <v>2.0</v>
      </c>
      <c r="AA4" s="14" t="s">
        <v>132</v>
      </c>
      <c r="AB4" s="10" t="s">
        <v>134</v>
      </c>
      <c r="AC4" s="10" t="s">
        <v>135</v>
      </c>
      <c r="AD4" s="81"/>
    </row>
    <row r="6">
      <c r="A6" s="82" t="s">
        <v>137</v>
      </c>
    </row>
    <row r="7">
      <c r="A7" s="83" t="s">
        <v>140</v>
      </c>
      <c r="B7" s="84">
        <v>7.0</v>
      </c>
    </row>
    <row r="8">
      <c r="A8" s="83" t="s">
        <v>141</v>
      </c>
      <c r="B8" s="84">
        <v>6.0</v>
      </c>
    </row>
    <row r="9">
      <c r="A9" s="83" t="s">
        <v>142</v>
      </c>
      <c r="B9" s="84">
        <v>6.0</v>
      </c>
      <c r="D9" s="86"/>
    </row>
    <row r="10">
      <c r="A10" s="83" t="s">
        <v>143</v>
      </c>
      <c r="B10" s="84">
        <v>6.0</v>
      </c>
      <c r="D10" s="86"/>
    </row>
    <row r="11">
      <c r="A11" s="83" t="s">
        <v>144</v>
      </c>
      <c r="B11" s="84">
        <v>6.0</v>
      </c>
      <c r="D11" s="88"/>
    </row>
    <row r="12">
      <c r="A12" s="83" t="s">
        <v>145</v>
      </c>
      <c r="B12" s="84">
        <v>6.0</v>
      </c>
      <c r="D12" s="86"/>
    </row>
    <row r="13">
      <c r="A13" s="83" t="s">
        <v>146</v>
      </c>
      <c r="B13" s="84">
        <v>6.0</v>
      </c>
      <c r="D13" s="86"/>
    </row>
    <row r="14">
      <c r="A14" s="83" t="s">
        <v>147</v>
      </c>
      <c r="B14" s="84">
        <v>6.0</v>
      </c>
      <c r="D14" s="86"/>
    </row>
    <row r="15">
      <c r="A15" s="83" t="s">
        <v>148</v>
      </c>
      <c r="B15" s="84">
        <v>5.0</v>
      </c>
      <c r="D15" s="90"/>
    </row>
    <row r="16">
      <c r="A16" s="83" t="s">
        <v>149</v>
      </c>
      <c r="B16" s="84">
        <v>5.0</v>
      </c>
      <c r="D16" s="86"/>
    </row>
    <row r="17">
      <c r="A17" s="83" t="s">
        <v>150</v>
      </c>
      <c r="B17" s="84">
        <v>5.0</v>
      </c>
      <c r="D17" s="86"/>
    </row>
    <row r="18">
      <c r="A18" s="83" t="s">
        <v>151</v>
      </c>
      <c r="B18" s="84">
        <v>5.0</v>
      </c>
      <c r="D18" s="92"/>
    </row>
    <row r="19">
      <c r="A19" s="83" t="s">
        <v>152</v>
      </c>
      <c r="B19" s="84">
        <v>5.0</v>
      </c>
      <c r="D19" s="86"/>
    </row>
    <row r="20">
      <c r="A20" s="83" t="s">
        <v>153</v>
      </c>
      <c r="B20" s="84">
        <v>4.0</v>
      </c>
      <c r="D20" s="92"/>
    </row>
    <row r="21">
      <c r="A21" s="83" t="s">
        <v>154</v>
      </c>
      <c r="B21" s="84">
        <v>4.0</v>
      </c>
      <c r="D21" s="86"/>
    </row>
    <row r="22">
      <c r="A22" s="83" t="s">
        <v>155</v>
      </c>
      <c r="B22" s="84">
        <v>2.0</v>
      </c>
      <c r="D22" s="86"/>
    </row>
    <row r="23">
      <c r="A23" s="83" t="s">
        <v>156</v>
      </c>
      <c r="B23" s="84">
        <v>1.0</v>
      </c>
      <c r="D23" s="86"/>
    </row>
    <row r="24">
      <c r="A24" s="83" t="s">
        <v>157</v>
      </c>
      <c r="B24" s="84">
        <v>0.0</v>
      </c>
      <c r="D24" s="86"/>
    </row>
    <row r="25">
      <c r="A25" s="83" t="s">
        <v>158</v>
      </c>
      <c r="B25" s="84">
        <v>0.0</v>
      </c>
      <c r="D25" s="86"/>
    </row>
    <row r="26">
      <c r="D26" s="86"/>
    </row>
    <row r="27">
      <c r="D27" s="86"/>
    </row>
    <row r="29">
      <c r="A29" s="82" t="s">
        <v>159</v>
      </c>
    </row>
    <row r="30">
      <c r="A30" s="83" t="s">
        <v>160</v>
      </c>
    </row>
    <row r="31">
      <c r="A31" s="83" t="s">
        <v>161</v>
      </c>
    </row>
    <row r="32">
      <c r="A32" s="83" t="s">
        <v>162</v>
      </c>
    </row>
    <row r="33">
      <c r="A33" s="83" t="s">
        <v>163</v>
      </c>
    </row>
    <row r="34">
      <c r="A34" s="83" t="s">
        <v>164</v>
      </c>
    </row>
    <row r="35">
      <c r="A35" s="83" t="s">
        <v>144</v>
      </c>
    </row>
    <row r="36">
      <c r="A36" s="83" t="s">
        <v>165</v>
      </c>
    </row>
    <row r="37">
      <c r="A37" s="83" t="s">
        <v>8</v>
      </c>
    </row>
    <row r="38">
      <c r="A38" s="83" t="s">
        <v>166</v>
      </c>
    </row>
    <row r="39">
      <c r="A39" s="83" t="s">
        <v>167</v>
      </c>
    </row>
  </sheetData>
  <conditionalFormatting sqref="A3:AD3">
    <cfRule type="containsBlanks" dxfId="6" priority="1">
      <formula>LEN(TRIM(A3))=0</formula>
    </cfRule>
  </conditionalFormatting>
  <conditionalFormatting sqref="A3:AD3">
    <cfRule type="notContainsBlanks" dxfId="5" priority="2">
      <formula>LEN(TRIM(A3))&gt;0</formula>
    </cfRule>
  </conditionalFormatting>
  <conditionalFormatting sqref="A1:AD2 A4:AD4">
    <cfRule type="containsBlanks" dxfId="6" priority="3">
      <formula>LEN(TRIM(A1))=0</formula>
    </cfRule>
  </conditionalFormatting>
  <conditionalFormatting sqref="A1:AD2 A4:AD4">
    <cfRule type="notContainsBlanks" dxfId="5" priority="4">
      <formula>LEN(TRIM(A1))&gt;0</formula>
    </cfRule>
  </conditionalFormatting>
  <drawing r:id="rId1"/>
  <tableParts count="3"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5" max="5" width="43.25"/>
    <col customWidth="1" min="7" max="7" width="31.0"/>
    <col customWidth="1" min="11" max="11" width="66.88"/>
  </cols>
  <sheetData>
    <row r="1">
      <c r="A1" s="88"/>
      <c r="B1" s="88"/>
      <c r="C1" s="88"/>
      <c r="D1" s="88"/>
      <c r="E1" s="88"/>
      <c r="F1" s="100"/>
      <c r="G1" s="100"/>
      <c r="H1" s="100"/>
      <c r="I1" s="100"/>
      <c r="J1" s="100"/>
      <c r="K1" s="100"/>
      <c r="L1" s="100"/>
      <c r="M1" s="100"/>
      <c r="N1" s="100"/>
      <c r="O1" s="100"/>
      <c r="Q1" s="88"/>
      <c r="R1" s="90"/>
      <c r="S1" s="100"/>
      <c r="T1" s="100"/>
      <c r="U1" s="88"/>
      <c r="V1" s="88"/>
      <c r="W1" s="88"/>
      <c r="X1" s="88"/>
      <c r="Y1" s="88"/>
      <c r="Z1" s="100"/>
      <c r="AC1" s="88"/>
      <c r="AD1" s="88"/>
    </row>
    <row r="2" ht="22.5" customHeight="1">
      <c r="A2" s="101" t="s">
        <v>79</v>
      </c>
      <c r="B2" s="101" t="s">
        <v>81</v>
      </c>
      <c r="C2" s="102" t="s">
        <v>2</v>
      </c>
      <c r="D2" s="101" t="s">
        <v>88</v>
      </c>
      <c r="E2" s="101" t="s">
        <v>171</v>
      </c>
      <c r="F2" s="88"/>
      <c r="G2" s="101" t="s">
        <v>79</v>
      </c>
      <c r="H2" s="101" t="s">
        <v>81</v>
      </c>
      <c r="I2" s="102" t="s">
        <v>2</v>
      </c>
      <c r="J2" s="101" t="s">
        <v>88</v>
      </c>
      <c r="K2" s="101" t="s">
        <v>171</v>
      </c>
      <c r="L2" s="100"/>
      <c r="N2" s="100"/>
      <c r="O2" s="100"/>
      <c r="Q2" s="88"/>
      <c r="T2" s="100"/>
      <c r="U2" s="88"/>
      <c r="V2" s="88"/>
      <c r="W2" s="88"/>
      <c r="X2" s="88"/>
      <c r="Y2" s="88"/>
      <c r="Z2" s="100"/>
      <c r="AC2" s="88"/>
      <c r="AD2" s="88"/>
    </row>
    <row r="3" ht="22.5" customHeight="1">
      <c r="A3" s="103" t="s">
        <v>172</v>
      </c>
      <c r="B3" s="105"/>
      <c r="C3" s="106">
        <v>46256.0</v>
      </c>
      <c r="D3" s="105"/>
      <c r="E3" s="107" t="s">
        <v>173</v>
      </c>
      <c r="F3" s="100"/>
      <c r="G3" s="103" t="s">
        <v>172</v>
      </c>
      <c r="H3" s="105"/>
      <c r="I3" s="106">
        <v>46273.0</v>
      </c>
      <c r="J3" s="105"/>
      <c r="K3" s="107" t="s">
        <v>174</v>
      </c>
      <c r="L3" s="100"/>
      <c r="M3" s="100"/>
      <c r="N3" s="100"/>
      <c r="O3" s="100"/>
      <c r="Q3" s="88"/>
      <c r="S3" s="100"/>
      <c r="T3" s="100"/>
      <c r="U3" s="88"/>
      <c r="V3" s="88"/>
      <c r="W3" s="88"/>
      <c r="X3" s="90"/>
      <c r="Y3" s="88"/>
      <c r="Z3" s="100"/>
      <c r="AC3" s="88"/>
      <c r="AD3" s="88"/>
    </row>
    <row r="4" ht="22.5" customHeight="1">
      <c r="A4" s="105"/>
      <c r="B4" s="105"/>
      <c r="C4" s="105"/>
      <c r="D4" s="105"/>
      <c r="E4" s="105"/>
      <c r="F4" s="88"/>
      <c r="G4" s="105"/>
      <c r="H4" s="105"/>
      <c r="I4" s="105"/>
      <c r="J4" s="105"/>
      <c r="K4" s="105"/>
      <c r="M4" s="100"/>
      <c r="N4" s="100"/>
      <c r="P4" s="88"/>
      <c r="R4" s="100"/>
      <c r="S4" s="100"/>
      <c r="T4" s="88"/>
      <c r="U4" s="88"/>
      <c r="V4" s="88"/>
      <c r="W4" s="90"/>
      <c r="Y4" s="100"/>
      <c r="AB4" s="88"/>
      <c r="AC4" s="88"/>
      <c r="AD4" s="88"/>
    </row>
    <row r="5" ht="22.5" customHeight="1">
      <c r="A5" s="110"/>
      <c r="B5" s="110"/>
      <c r="C5" s="110"/>
      <c r="D5" s="110"/>
      <c r="E5" s="110"/>
      <c r="G5" s="110"/>
      <c r="H5" s="110"/>
      <c r="I5" s="110"/>
      <c r="J5" s="110"/>
      <c r="K5" s="110"/>
    </row>
    <row r="6" ht="22.5" customHeight="1">
      <c r="A6" s="110"/>
      <c r="B6" s="110"/>
      <c r="C6" s="110"/>
      <c r="D6" s="110"/>
      <c r="E6" s="110"/>
      <c r="G6" s="110"/>
      <c r="H6" s="110"/>
      <c r="I6" s="110"/>
      <c r="J6" s="110"/>
      <c r="K6" s="110"/>
    </row>
    <row r="7" ht="22.5" customHeight="1">
      <c r="A7" s="107"/>
      <c r="B7" s="110"/>
      <c r="C7" s="110"/>
      <c r="D7" s="110"/>
      <c r="E7" s="110"/>
      <c r="G7" s="107"/>
      <c r="H7" s="110"/>
      <c r="I7" s="110"/>
      <c r="J7" s="110"/>
      <c r="K7" s="110"/>
    </row>
    <row r="8" ht="22.5" customHeight="1">
      <c r="A8" s="110"/>
      <c r="B8" s="110"/>
      <c r="C8" s="110"/>
      <c r="D8" s="110"/>
      <c r="E8" s="110"/>
      <c r="G8" s="110"/>
      <c r="H8" s="110"/>
      <c r="I8" s="110"/>
      <c r="J8" s="110"/>
      <c r="K8" s="110"/>
    </row>
    <row r="9" ht="22.5" customHeight="1">
      <c r="A9" s="110"/>
      <c r="B9" s="110"/>
      <c r="C9" s="110"/>
      <c r="D9" s="110"/>
      <c r="E9" s="110"/>
      <c r="G9" s="110"/>
      <c r="H9" s="110"/>
      <c r="I9" s="110"/>
      <c r="J9" s="110"/>
      <c r="K9" s="110"/>
    </row>
    <row r="10" ht="22.5" customHeight="1">
      <c r="A10" s="110"/>
      <c r="B10" s="110"/>
      <c r="C10" s="110"/>
      <c r="D10" s="110"/>
      <c r="E10" s="110"/>
      <c r="G10" s="110"/>
      <c r="H10" s="110"/>
      <c r="I10" s="110"/>
      <c r="J10" s="110"/>
      <c r="K10" s="110"/>
    </row>
    <row r="11" ht="22.5" customHeight="1">
      <c r="A11" s="110"/>
      <c r="B11" s="110"/>
      <c r="C11" s="110"/>
      <c r="D11" s="110"/>
      <c r="E11" s="110"/>
      <c r="G11" s="110"/>
      <c r="H11" s="110"/>
      <c r="I11" s="110"/>
      <c r="J11" s="110"/>
      <c r="K11" s="110"/>
    </row>
    <row r="12" ht="22.5" customHeight="1">
      <c r="A12" s="110"/>
      <c r="B12" s="110"/>
      <c r="C12" s="110"/>
      <c r="D12" s="110"/>
      <c r="E12" s="110"/>
      <c r="G12" s="110"/>
      <c r="H12" s="110"/>
      <c r="I12" s="110"/>
      <c r="J12" s="110"/>
      <c r="K12" s="110"/>
    </row>
    <row r="13" ht="22.5" customHeight="1">
      <c r="A13" s="110"/>
      <c r="B13" s="110"/>
      <c r="C13" s="110"/>
      <c r="D13" s="110"/>
      <c r="E13" s="110"/>
      <c r="G13" s="110"/>
      <c r="H13" s="110"/>
      <c r="I13" s="110"/>
      <c r="J13" s="110"/>
      <c r="K13" s="110"/>
    </row>
    <row r="14" ht="22.5" customHeight="1">
      <c r="A14" s="110"/>
      <c r="B14" s="110"/>
      <c r="C14" s="110"/>
      <c r="D14" s="110"/>
      <c r="E14" s="110"/>
      <c r="G14" s="110"/>
      <c r="H14" s="110"/>
      <c r="I14" s="110"/>
      <c r="J14" s="110"/>
      <c r="K14" s="110"/>
    </row>
    <row r="15" ht="22.5" customHeight="1">
      <c r="A15" s="110"/>
      <c r="B15" s="110"/>
      <c r="C15" s="110"/>
      <c r="D15" s="110"/>
      <c r="E15" s="110"/>
      <c r="G15" s="110"/>
      <c r="H15" s="110"/>
      <c r="I15" s="110"/>
      <c r="J15" s="110"/>
      <c r="K15" s="110"/>
    </row>
    <row r="16" ht="22.5" customHeight="1">
      <c r="A16" s="110"/>
      <c r="B16" s="110"/>
      <c r="C16" s="110"/>
      <c r="D16" s="110"/>
      <c r="E16" s="110"/>
      <c r="G16" s="110"/>
      <c r="H16" s="110"/>
      <c r="I16" s="110"/>
      <c r="J16" s="110"/>
      <c r="K16" s="110"/>
    </row>
    <row r="17" ht="22.5" customHeight="1">
      <c r="A17" s="110"/>
      <c r="B17" s="110"/>
      <c r="C17" s="110"/>
      <c r="D17" s="110"/>
      <c r="E17" s="110"/>
      <c r="G17" s="110"/>
      <c r="H17" s="110"/>
      <c r="I17" s="110"/>
      <c r="J17" s="110"/>
      <c r="K17" s="110"/>
    </row>
    <row r="18" ht="22.5" customHeight="1">
      <c r="A18" s="110"/>
      <c r="B18" s="110"/>
      <c r="C18" s="110"/>
      <c r="D18" s="110"/>
      <c r="E18" s="110"/>
      <c r="G18" s="110"/>
      <c r="H18" s="110"/>
      <c r="I18" s="110"/>
      <c r="J18" s="110"/>
      <c r="K18" s="110"/>
    </row>
    <row r="19" ht="22.5" customHeight="1">
      <c r="A19" s="110"/>
      <c r="B19" s="110"/>
      <c r="C19" s="110"/>
      <c r="D19" s="110"/>
      <c r="E19" s="110"/>
      <c r="G19" s="110"/>
      <c r="H19" s="110"/>
      <c r="I19" s="110"/>
      <c r="J19" s="110"/>
      <c r="K19" s="110"/>
    </row>
    <row r="20" ht="22.5" customHeight="1">
      <c r="A20" s="110"/>
      <c r="B20" s="110"/>
      <c r="C20" s="110"/>
      <c r="D20" s="110"/>
      <c r="E20" s="110"/>
      <c r="G20" s="110"/>
      <c r="H20" s="110"/>
      <c r="I20" s="110"/>
      <c r="J20" s="110"/>
      <c r="K20" s="110"/>
    </row>
    <row r="21" ht="22.5" customHeight="1">
      <c r="A21" s="110"/>
      <c r="B21" s="110"/>
      <c r="C21" s="110"/>
      <c r="D21" s="110"/>
      <c r="E21" s="110"/>
      <c r="G21" s="110"/>
      <c r="H21" s="110"/>
      <c r="I21" s="110"/>
      <c r="J21" s="110"/>
      <c r="K21" s="110"/>
    </row>
    <row r="22" ht="22.5" customHeight="1">
      <c r="A22" s="110"/>
      <c r="B22" s="110"/>
      <c r="C22" s="110"/>
      <c r="D22" s="110"/>
      <c r="E22" s="110"/>
      <c r="G22" s="110"/>
      <c r="H22" s="110"/>
      <c r="I22" s="110"/>
      <c r="J22" s="110"/>
      <c r="K22" s="110"/>
    </row>
    <row r="23" ht="22.5" customHeight="1">
      <c r="A23" s="110"/>
      <c r="B23" s="110"/>
      <c r="C23" s="110"/>
      <c r="D23" s="110"/>
      <c r="E23" s="110"/>
      <c r="G23" s="110"/>
      <c r="H23" s="110"/>
      <c r="I23" s="110"/>
      <c r="J23" s="110"/>
      <c r="K23" s="110"/>
    </row>
    <row r="24" ht="22.5" customHeight="1">
      <c r="A24" s="110"/>
      <c r="B24" s="110"/>
      <c r="C24" s="110"/>
      <c r="D24" s="110"/>
      <c r="E24" s="110"/>
      <c r="G24" s="110"/>
      <c r="H24" s="110"/>
      <c r="I24" s="110"/>
      <c r="J24" s="110"/>
      <c r="K24" s="110"/>
    </row>
    <row r="25" ht="22.5" customHeight="1">
      <c r="A25" s="110"/>
      <c r="B25" s="110"/>
      <c r="C25" s="110"/>
      <c r="D25" s="110"/>
      <c r="E25" s="110"/>
      <c r="G25" s="110"/>
      <c r="H25" s="110"/>
      <c r="I25" s="110"/>
      <c r="J25" s="110"/>
      <c r="K25" s="110"/>
    </row>
    <row r="26" ht="22.5" customHeight="1">
      <c r="A26" s="110"/>
      <c r="B26" s="110"/>
      <c r="C26" s="110"/>
      <c r="D26" s="110"/>
      <c r="E26" s="110"/>
      <c r="G26" s="110"/>
      <c r="H26" s="110"/>
      <c r="I26" s="110"/>
      <c r="J26" s="110"/>
      <c r="K26" s="110"/>
    </row>
    <row r="27" ht="22.5" customHeight="1">
      <c r="A27" s="110"/>
      <c r="B27" s="110"/>
      <c r="C27" s="110"/>
      <c r="D27" s="110"/>
      <c r="E27" s="110"/>
      <c r="G27" s="110"/>
      <c r="H27" s="110"/>
      <c r="I27" s="110"/>
      <c r="J27" s="110"/>
      <c r="K27" s="110"/>
    </row>
    <row r="28" ht="22.5" customHeight="1">
      <c r="A28" s="110"/>
      <c r="B28" s="110"/>
      <c r="C28" s="110"/>
      <c r="D28" s="110"/>
      <c r="E28" s="110"/>
      <c r="G28" s="110"/>
      <c r="H28" s="110"/>
      <c r="I28" s="110"/>
      <c r="J28" s="110"/>
      <c r="K28" s="110"/>
    </row>
    <row r="29" ht="22.5" customHeight="1">
      <c r="A29" s="110"/>
      <c r="B29" s="110"/>
      <c r="C29" s="110"/>
      <c r="D29" s="110"/>
      <c r="E29" s="110"/>
      <c r="G29" s="110"/>
      <c r="H29" s="110"/>
      <c r="I29" s="110"/>
      <c r="J29" s="110"/>
      <c r="K29" s="110"/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75"/>
    <col customWidth="1" min="2" max="2" width="33.0"/>
  </cols>
  <sheetData>
    <row r="1">
      <c r="A1" s="113" t="s">
        <v>194</v>
      </c>
      <c r="B1" s="72"/>
      <c r="C1" s="10" t="s">
        <v>196</v>
      </c>
      <c r="D1" s="14" t="s">
        <v>197</v>
      </c>
      <c r="E1" s="20"/>
      <c r="F1" s="17"/>
      <c r="G1" s="17"/>
      <c r="H1" s="17"/>
      <c r="I1" s="17"/>
      <c r="J1" s="17"/>
      <c r="K1" s="17"/>
      <c r="L1" s="20"/>
      <c r="M1" s="76"/>
      <c r="N1" s="20"/>
      <c r="O1" s="14"/>
      <c r="P1" s="23">
        <v>31.0</v>
      </c>
      <c r="Q1" s="10" t="s">
        <v>9</v>
      </c>
      <c r="R1" s="72" t="s">
        <v>199</v>
      </c>
      <c r="S1" s="17">
        <v>45623.0</v>
      </c>
      <c r="T1" s="17" t="s">
        <v>9</v>
      </c>
      <c r="U1" s="72" t="s">
        <v>9</v>
      </c>
      <c r="V1" s="72" t="s">
        <v>9</v>
      </c>
      <c r="W1" s="72" t="s">
        <v>9</v>
      </c>
      <c r="X1" s="80" t="s">
        <v>125</v>
      </c>
      <c r="Y1" s="80" t="s">
        <v>26</v>
      </c>
      <c r="Z1" s="17">
        <v>42264.0</v>
      </c>
      <c r="AA1" s="14">
        <v>2.0</v>
      </c>
      <c r="AB1" s="80" t="s">
        <v>200</v>
      </c>
      <c r="AC1" s="10" t="s">
        <v>134</v>
      </c>
      <c r="AD1" s="10" t="s">
        <v>201</v>
      </c>
      <c r="AE1" s="81"/>
      <c r="AF1" s="81"/>
      <c r="AG1" s="81"/>
    </row>
    <row r="2" ht="15.75" customHeight="1">
      <c r="A2" s="114" t="s">
        <v>172</v>
      </c>
      <c r="B2" s="115" t="s">
        <v>203</v>
      </c>
      <c r="C2" s="115"/>
      <c r="D2" s="115"/>
      <c r="E2" s="115"/>
      <c r="F2" s="115"/>
      <c r="G2" s="115"/>
      <c r="H2" s="116">
        <v>10.0</v>
      </c>
      <c r="I2" s="117" t="s">
        <v>9</v>
      </c>
      <c r="J2" s="118" t="s">
        <v>204</v>
      </c>
      <c r="K2" s="119">
        <v>45729.0</v>
      </c>
      <c r="L2" s="119"/>
      <c r="M2" s="118" t="s">
        <v>9</v>
      </c>
      <c r="N2" s="118" t="s">
        <v>9</v>
      </c>
      <c r="O2" s="118" t="s">
        <v>9</v>
      </c>
      <c r="P2" s="120" t="s">
        <v>125</v>
      </c>
      <c r="Q2" s="120" t="s">
        <v>205</v>
      </c>
      <c r="R2" s="119">
        <v>42919.0</v>
      </c>
      <c r="S2" s="121">
        <v>4.0</v>
      </c>
      <c r="T2" s="120" t="s">
        <v>207</v>
      </c>
      <c r="U2" s="117" t="s">
        <v>208</v>
      </c>
      <c r="V2" s="122" t="s">
        <v>209</v>
      </c>
      <c r="W2" s="123"/>
      <c r="X2" s="124"/>
      <c r="Y2" s="123"/>
      <c r="Z2" s="125"/>
      <c r="AA2" s="123"/>
      <c r="AB2" s="123"/>
      <c r="AC2" s="126"/>
      <c r="AD2" s="126"/>
      <c r="AE2" s="126"/>
      <c r="AF2" s="126"/>
      <c r="AG2" s="126"/>
    </row>
  </sheetData>
  <conditionalFormatting sqref="A1:V2 W1:AG1">
    <cfRule type="containsBlanks" dxfId="6" priority="1">
      <formula>LEN(TRIM(A1))=0</formula>
    </cfRule>
  </conditionalFormatting>
  <conditionalFormatting sqref="A1:V2 W1:AG1">
    <cfRule type="notContainsBlanks" dxfId="5" priority="2">
      <formula>LEN(TRIM(A1))&gt;0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64.63"/>
    <col customWidth="1" min="3" max="3" width="104.63"/>
    <col customWidth="1" min="4" max="4" width="13.75"/>
    <col customWidth="1" min="5" max="6" width="27.38"/>
    <col customWidth="1" min="7" max="7" width="12.0"/>
    <col customWidth="1" min="8" max="8" width="10.75"/>
    <col customWidth="1" min="9" max="9" width="22.88"/>
    <col customWidth="1" min="10" max="10" width="16.88"/>
    <col customWidth="1" min="11" max="11" width="14.38"/>
    <col customWidth="1" min="12" max="12" width="22.63"/>
    <col customWidth="1" min="13" max="13" width="11.75"/>
    <col customWidth="1" min="14" max="14" width="10.75"/>
    <col customWidth="1" min="15" max="15" width="32.5"/>
    <col customWidth="1" min="16" max="16" width="39.75"/>
    <col customWidth="1" min="17" max="17" width="19.63"/>
    <col customWidth="1" min="18" max="20" width="10.75"/>
    <col customWidth="1" min="21" max="21" width="89.25"/>
    <col customWidth="1" min="22" max="22" width="32.63"/>
    <col customWidth="1" min="23" max="23" width="46.38"/>
    <col customWidth="1" min="28" max="28" width="107.63"/>
    <col customWidth="1" min="29" max="29" width="46.0"/>
    <col customWidth="1" min="30" max="34" width="61.75"/>
  </cols>
  <sheetData>
    <row r="1" ht="15.75" customHeight="1">
      <c r="A1" s="123"/>
      <c r="B1" s="131" t="s">
        <v>79</v>
      </c>
      <c r="C1" s="132"/>
      <c r="D1" s="133"/>
      <c r="E1" s="134"/>
      <c r="F1" s="134"/>
      <c r="G1" s="135"/>
      <c r="H1" s="135"/>
      <c r="I1" s="136"/>
      <c r="J1" s="136"/>
      <c r="K1" s="134"/>
      <c r="L1" s="134"/>
      <c r="M1" s="135"/>
      <c r="N1" s="135"/>
      <c r="O1" s="136"/>
      <c r="P1" s="137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</row>
    <row r="2" ht="15.75" customHeight="1">
      <c r="A2" s="123"/>
      <c r="B2" s="139" t="s">
        <v>221</v>
      </c>
      <c r="C2" s="140"/>
      <c r="D2" s="141">
        <v>45714.0</v>
      </c>
      <c r="E2" s="142"/>
      <c r="F2" s="142"/>
      <c r="G2" s="143"/>
      <c r="H2" s="143"/>
      <c r="I2" s="144"/>
      <c r="J2" s="144"/>
      <c r="K2" s="142"/>
      <c r="L2" s="142"/>
      <c r="M2" s="143"/>
      <c r="N2" s="143"/>
      <c r="O2" s="144"/>
      <c r="P2" s="137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</row>
    <row r="3" ht="15.75" customHeight="1">
      <c r="A3" s="123"/>
      <c r="B3" s="145"/>
      <c r="C3" s="146" t="s">
        <v>110</v>
      </c>
      <c r="D3" s="146" t="s">
        <v>223</v>
      </c>
      <c r="E3" s="147" t="s">
        <v>224</v>
      </c>
      <c r="F3" s="144" t="s">
        <v>225</v>
      </c>
      <c r="G3" s="144" t="s">
        <v>226</v>
      </c>
      <c r="H3" s="144" t="s">
        <v>227</v>
      </c>
      <c r="I3" s="144" t="s">
        <v>129</v>
      </c>
      <c r="J3" s="144" t="s">
        <v>131</v>
      </c>
      <c r="K3" s="144" t="s">
        <v>87</v>
      </c>
      <c r="L3" s="144" t="s">
        <v>228</v>
      </c>
      <c r="M3" s="148" t="s">
        <v>90</v>
      </c>
      <c r="N3" s="144" t="s">
        <v>80</v>
      </c>
      <c r="O3" s="144"/>
      <c r="P3" s="149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</row>
    <row r="4" ht="15.75" customHeight="1">
      <c r="A4" s="123"/>
      <c r="B4" s="145"/>
      <c r="C4" s="150" t="s">
        <v>231</v>
      </c>
      <c r="D4" s="150">
        <v>8.6185985004E10</v>
      </c>
      <c r="E4" s="148"/>
      <c r="F4" s="143"/>
      <c r="G4" s="148"/>
      <c r="H4" s="148"/>
      <c r="I4" s="148"/>
      <c r="J4" s="148"/>
      <c r="K4" s="141">
        <v>40093.0</v>
      </c>
      <c r="L4" s="144"/>
      <c r="M4" s="148">
        <v>4.0</v>
      </c>
      <c r="N4" s="148" t="s">
        <v>9</v>
      </c>
      <c r="O4" s="144"/>
      <c r="P4" s="149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</row>
    <row r="5" ht="15.75" customHeight="1">
      <c r="A5" s="123"/>
      <c r="B5" s="151"/>
      <c r="C5" s="152" t="s">
        <v>233</v>
      </c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4"/>
      <c r="P5" s="149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</row>
    <row r="6" ht="15.75" customHeight="1">
      <c r="A6" s="123"/>
      <c r="B6" s="139" t="s">
        <v>235</v>
      </c>
      <c r="C6" s="140">
        <v>45674.0</v>
      </c>
      <c r="D6" s="141">
        <v>45706.0</v>
      </c>
      <c r="E6" s="142"/>
      <c r="F6" s="142"/>
      <c r="G6" s="143"/>
      <c r="H6" s="143"/>
      <c r="I6" s="144"/>
      <c r="J6" s="144"/>
      <c r="K6" s="142"/>
      <c r="L6" s="142"/>
      <c r="M6" s="143"/>
      <c r="N6" s="143"/>
      <c r="O6" s="144"/>
      <c r="P6" s="137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</row>
    <row r="7" ht="15.75" customHeight="1">
      <c r="A7" s="123"/>
      <c r="B7" s="145"/>
      <c r="C7" s="146" t="s">
        <v>110</v>
      </c>
      <c r="D7" s="146" t="s">
        <v>223</v>
      </c>
      <c r="E7" s="147" t="s">
        <v>224</v>
      </c>
      <c r="F7" s="144" t="s">
        <v>225</v>
      </c>
      <c r="G7" s="144" t="s">
        <v>226</v>
      </c>
      <c r="H7" s="144" t="s">
        <v>227</v>
      </c>
      <c r="I7" s="144" t="s">
        <v>129</v>
      </c>
      <c r="J7" s="144" t="s">
        <v>131</v>
      </c>
      <c r="K7" s="144" t="s">
        <v>87</v>
      </c>
      <c r="L7" s="144" t="s">
        <v>228</v>
      </c>
      <c r="M7" s="148" t="s">
        <v>90</v>
      </c>
      <c r="N7" s="144" t="s">
        <v>80</v>
      </c>
      <c r="O7" s="144"/>
      <c r="P7" s="149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</row>
    <row r="8" ht="15.75" customHeight="1">
      <c r="A8" s="123"/>
      <c r="B8" s="145"/>
      <c r="C8" s="150">
        <v>15.0</v>
      </c>
      <c r="D8" s="150">
        <v>1.3396135903E10</v>
      </c>
      <c r="E8" s="148" t="s">
        <v>9</v>
      </c>
      <c r="F8" s="143"/>
      <c r="G8" s="148" t="s">
        <v>9</v>
      </c>
      <c r="H8" s="148" t="s">
        <v>9</v>
      </c>
      <c r="I8" s="148" t="s">
        <v>102</v>
      </c>
      <c r="J8" s="144"/>
      <c r="K8" s="141">
        <v>42898.0</v>
      </c>
      <c r="L8" s="144"/>
      <c r="M8" s="148">
        <v>3.0</v>
      </c>
      <c r="N8" s="148" t="s">
        <v>9</v>
      </c>
      <c r="O8" s="144"/>
      <c r="P8" s="149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</row>
    <row r="9" ht="15.75" customHeight="1">
      <c r="A9" s="123"/>
      <c r="B9" s="151"/>
      <c r="C9" s="152" t="s">
        <v>244</v>
      </c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4"/>
      <c r="P9" s="149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</row>
    <row r="10" ht="15.75" customHeight="1">
      <c r="A10" s="123"/>
      <c r="B10" s="139" t="s">
        <v>245</v>
      </c>
      <c r="C10" s="140">
        <v>45698.0</v>
      </c>
      <c r="D10" s="141">
        <v>45733.0</v>
      </c>
      <c r="E10" s="141">
        <v>45762.0</v>
      </c>
      <c r="F10" s="142"/>
      <c r="G10" s="143"/>
      <c r="H10" s="143"/>
      <c r="I10" s="144"/>
      <c r="J10" s="144"/>
      <c r="K10" s="142"/>
      <c r="L10" s="142"/>
      <c r="M10" s="143"/>
      <c r="N10" s="143"/>
      <c r="O10" s="144"/>
      <c r="P10" s="137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</row>
    <row r="11" ht="15.75" customHeight="1">
      <c r="A11" s="123"/>
      <c r="B11" s="145"/>
      <c r="C11" s="146" t="s">
        <v>110</v>
      </c>
      <c r="D11" s="146" t="s">
        <v>223</v>
      </c>
      <c r="E11" s="147" t="s">
        <v>224</v>
      </c>
      <c r="F11" s="144" t="s">
        <v>225</v>
      </c>
      <c r="G11" s="144" t="s">
        <v>226</v>
      </c>
      <c r="H11" s="144" t="s">
        <v>227</v>
      </c>
      <c r="I11" s="144" t="s">
        <v>129</v>
      </c>
      <c r="J11" s="144" t="s">
        <v>131</v>
      </c>
      <c r="K11" s="144" t="s">
        <v>87</v>
      </c>
      <c r="L11" s="144" t="s">
        <v>228</v>
      </c>
      <c r="M11" s="148" t="s">
        <v>90</v>
      </c>
      <c r="N11" s="144" t="s">
        <v>80</v>
      </c>
      <c r="O11" s="144"/>
      <c r="P11" s="149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</row>
    <row r="12" ht="15.75" customHeight="1">
      <c r="A12" s="123"/>
      <c r="B12" s="145"/>
      <c r="C12" s="150" t="s">
        <v>251</v>
      </c>
      <c r="D12" s="150" t="s">
        <v>252</v>
      </c>
      <c r="E12" s="147"/>
      <c r="F12" s="166">
        <v>45496.0</v>
      </c>
      <c r="G12" s="148" t="s">
        <v>9</v>
      </c>
      <c r="H12" s="144"/>
      <c r="I12" s="144"/>
      <c r="J12" s="144"/>
      <c r="K12" s="141">
        <v>42472.0</v>
      </c>
      <c r="L12" s="166">
        <v>45496.0</v>
      </c>
      <c r="M12" s="148">
        <v>3.0</v>
      </c>
      <c r="N12" s="148" t="s">
        <v>9</v>
      </c>
      <c r="O12" s="144"/>
      <c r="P12" s="149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</row>
    <row r="13" ht="15.75" customHeight="1">
      <c r="A13" s="123"/>
      <c r="B13" s="151"/>
      <c r="C13" s="152" t="s">
        <v>256</v>
      </c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4"/>
      <c r="P13" s="149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</row>
    <row r="14" ht="15.75" customHeight="1">
      <c r="A14" s="123"/>
      <c r="B14" s="169" t="s">
        <v>257</v>
      </c>
      <c r="C14" s="140">
        <v>45671.0</v>
      </c>
      <c r="D14" s="141">
        <v>45698.0</v>
      </c>
      <c r="E14" s="141">
        <v>45727.0</v>
      </c>
      <c r="F14" s="141">
        <v>45755.0</v>
      </c>
      <c r="G14" s="166">
        <v>45785.0</v>
      </c>
      <c r="H14" s="143"/>
      <c r="I14" s="144"/>
      <c r="J14" s="144"/>
      <c r="K14" s="142"/>
      <c r="L14" s="142"/>
      <c r="M14" s="143"/>
      <c r="N14" s="143"/>
      <c r="O14" s="144"/>
      <c r="P14" s="170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</row>
    <row r="15" ht="15.75" customHeight="1">
      <c r="A15" s="123"/>
      <c r="B15" s="145"/>
      <c r="C15" s="146" t="s">
        <v>110</v>
      </c>
      <c r="D15" s="146" t="s">
        <v>223</v>
      </c>
      <c r="E15" s="147" t="s">
        <v>224</v>
      </c>
      <c r="F15" s="144" t="s">
        <v>225</v>
      </c>
      <c r="G15" s="144" t="s">
        <v>226</v>
      </c>
      <c r="H15" s="144" t="s">
        <v>227</v>
      </c>
      <c r="I15" s="144" t="s">
        <v>129</v>
      </c>
      <c r="J15" s="144" t="s">
        <v>131</v>
      </c>
      <c r="K15" s="144" t="s">
        <v>87</v>
      </c>
      <c r="L15" s="144" t="s">
        <v>228</v>
      </c>
      <c r="M15" s="148" t="s">
        <v>90</v>
      </c>
      <c r="N15" s="144" t="s">
        <v>80</v>
      </c>
      <c r="O15" s="144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</row>
    <row r="16" ht="15.75" customHeight="1">
      <c r="A16" s="123"/>
      <c r="B16" s="145"/>
      <c r="C16" s="150">
        <v>15.0</v>
      </c>
      <c r="D16" s="150">
        <v>1.2198734974E10</v>
      </c>
      <c r="E16" s="148" t="s">
        <v>9</v>
      </c>
      <c r="F16" s="143"/>
      <c r="G16" s="144"/>
      <c r="H16" s="144"/>
      <c r="I16" s="144"/>
      <c r="J16" s="148" t="s">
        <v>260</v>
      </c>
      <c r="K16" s="141">
        <v>41686.0</v>
      </c>
      <c r="L16" s="144"/>
      <c r="M16" s="148">
        <v>2.0</v>
      </c>
      <c r="N16" s="148" t="s">
        <v>9</v>
      </c>
      <c r="O16" s="144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</row>
    <row r="17" ht="15.75" customHeight="1">
      <c r="A17" s="123"/>
      <c r="B17" s="151"/>
      <c r="C17" s="152" t="s">
        <v>261</v>
      </c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4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</row>
    <row r="18" ht="15.75" customHeight="1">
      <c r="A18" s="123"/>
      <c r="B18" s="139" t="s">
        <v>262</v>
      </c>
      <c r="C18" s="148" t="s">
        <v>263</v>
      </c>
      <c r="D18" s="141">
        <v>45706.0</v>
      </c>
      <c r="E18" s="142"/>
      <c r="F18" s="142"/>
      <c r="G18" s="143"/>
      <c r="H18" s="143"/>
      <c r="I18" s="144"/>
      <c r="J18" s="144"/>
      <c r="K18" s="142"/>
      <c r="L18" s="142"/>
      <c r="M18" s="143"/>
      <c r="N18" s="143"/>
      <c r="O18" s="144"/>
      <c r="P18" s="170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</row>
    <row r="19" ht="15.75" customHeight="1">
      <c r="A19" s="123"/>
      <c r="B19" s="145"/>
      <c r="C19" s="146" t="s">
        <v>110</v>
      </c>
      <c r="D19" s="146" t="s">
        <v>223</v>
      </c>
      <c r="E19" s="147" t="s">
        <v>224</v>
      </c>
      <c r="F19" s="144" t="s">
        <v>225</v>
      </c>
      <c r="G19" s="144" t="s">
        <v>226</v>
      </c>
      <c r="H19" s="144" t="s">
        <v>227</v>
      </c>
      <c r="I19" s="144" t="s">
        <v>129</v>
      </c>
      <c r="J19" s="144" t="s">
        <v>131</v>
      </c>
      <c r="K19" s="144" t="s">
        <v>87</v>
      </c>
      <c r="L19" s="144" t="s">
        <v>228</v>
      </c>
      <c r="M19" s="148" t="s">
        <v>90</v>
      </c>
      <c r="N19" s="144" t="s">
        <v>80</v>
      </c>
      <c r="O19" s="144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</row>
    <row r="20" ht="15.75" customHeight="1">
      <c r="A20" s="123"/>
      <c r="B20" s="145"/>
      <c r="C20" s="150">
        <v>5.0</v>
      </c>
      <c r="D20" s="150">
        <v>1.1676695923E10</v>
      </c>
      <c r="E20" s="148" t="s">
        <v>9</v>
      </c>
      <c r="F20" s="166">
        <v>45705.0</v>
      </c>
      <c r="G20" s="144"/>
      <c r="H20" s="144"/>
      <c r="I20" s="144"/>
      <c r="J20" s="148" t="s">
        <v>191</v>
      </c>
      <c r="K20" s="141">
        <v>41906.0</v>
      </c>
      <c r="L20" s="144"/>
      <c r="M20" s="148">
        <v>2.0</v>
      </c>
      <c r="N20" s="148" t="s">
        <v>9</v>
      </c>
      <c r="O20" s="144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</row>
    <row r="21" ht="15.75" customHeight="1">
      <c r="A21" s="123"/>
      <c r="B21" s="151"/>
      <c r="C21" s="152" t="s">
        <v>264</v>
      </c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4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</row>
    <row r="22" ht="15.75" customHeight="1">
      <c r="A22" s="123"/>
      <c r="B22" s="179" t="s">
        <v>265</v>
      </c>
      <c r="C22" s="180"/>
      <c r="D22" s="181">
        <v>45708.0</v>
      </c>
      <c r="E22" s="181">
        <v>45708.0</v>
      </c>
      <c r="F22" s="181">
        <v>45708.0</v>
      </c>
      <c r="G22" s="181">
        <v>45708.0</v>
      </c>
      <c r="H22" s="181">
        <v>45708.0</v>
      </c>
      <c r="I22" s="181">
        <v>45708.0</v>
      </c>
      <c r="J22" s="182"/>
      <c r="K22" s="183"/>
      <c r="L22" s="183"/>
      <c r="M22" s="184"/>
      <c r="N22" s="184"/>
      <c r="O22" s="182"/>
      <c r="P22" s="185" t="s">
        <v>268</v>
      </c>
      <c r="Q22" s="172"/>
      <c r="R22" s="172"/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</row>
    <row r="23" ht="15.75" customHeight="1">
      <c r="A23" s="123"/>
      <c r="B23" s="145"/>
      <c r="C23" s="186" t="s">
        <v>110</v>
      </c>
      <c r="D23" s="186" t="s">
        <v>223</v>
      </c>
      <c r="E23" s="187" t="s">
        <v>224</v>
      </c>
      <c r="F23" s="182" t="s">
        <v>225</v>
      </c>
      <c r="G23" s="182" t="s">
        <v>226</v>
      </c>
      <c r="H23" s="182" t="s">
        <v>227</v>
      </c>
      <c r="I23" s="182" t="s">
        <v>129</v>
      </c>
      <c r="J23" s="182" t="s">
        <v>131</v>
      </c>
      <c r="K23" s="182" t="s">
        <v>87</v>
      </c>
      <c r="L23" s="182" t="s">
        <v>228</v>
      </c>
      <c r="M23" s="188" t="s">
        <v>90</v>
      </c>
      <c r="N23" s="182" t="s">
        <v>80</v>
      </c>
      <c r="O23" s="188" t="s">
        <v>269</v>
      </c>
      <c r="P23" s="189"/>
      <c r="Q23" s="172"/>
      <c r="R23" s="172"/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</row>
    <row r="24" ht="15.75" customHeight="1">
      <c r="A24" s="123"/>
      <c r="B24" s="145"/>
      <c r="C24" s="190">
        <v>5.0</v>
      </c>
      <c r="D24" s="190">
        <v>8048065.0</v>
      </c>
      <c r="E24" s="187"/>
      <c r="F24" s="193">
        <v>45699.0</v>
      </c>
      <c r="G24" s="182"/>
      <c r="H24" s="182"/>
      <c r="I24" s="182"/>
      <c r="J24" s="182"/>
      <c r="K24" s="181">
        <v>41024.0</v>
      </c>
      <c r="L24" s="181">
        <v>45685.0</v>
      </c>
      <c r="M24" s="188">
        <v>2.0</v>
      </c>
      <c r="N24" s="188" t="s">
        <v>9</v>
      </c>
      <c r="O24" s="188" t="s">
        <v>272</v>
      </c>
      <c r="P24" s="185" t="s">
        <v>273</v>
      </c>
      <c r="Q24" s="172"/>
      <c r="R24" s="172"/>
      <c r="S24" s="172"/>
      <c r="T24" s="172"/>
      <c r="U24" s="172"/>
      <c r="V24" s="172"/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</row>
    <row r="25" ht="15.75" customHeight="1">
      <c r="A25" s="123"/>
      <c r="B25" s="151"/>
      <c r="C25" s="195" t="s">
        <v>274</v>
      </c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4"/>
      <c r="P25" s="185" t="s">
        <v>275</v>
      </c>
      <c r="Q25" s="172"/>
      <c r="R25" s="172"/>
      <c r="S25" s="172"/>
      <c r="T25" s="172"/>
      <c r="U25" s="172"/>
      <c r="V25" s="172"/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</row>
    <row r="26" ht="15.75" customHeight="1">
      <c r="A26" s="123"/>
      <c r="B26" s="139"/>
      <c r="C26" s="148" t="s">
        <v>277</v>
      </c>
      <c r="D26" s="196" t="s">
        <v>263</v>
      </c>
      <c r="E26" s="148" t="s">
        <v>263</v>
      </c>
      <c r="F26" s="141">
        <v>45764.0</v>
      </c>
      <c r="G26" s="166">
        <v>45824.0</v>
      </c>
      <c r="H26" s="143"/>
      <c r="I26" s="144"/>
      <c r="J26" s="144"/>
      <c r="K26" s="142"/>
      <c r="L26" s="142"/>
      <c r="M26" s="143"/>
      <c r="N26" s="143"/>
      <c r="O26" s="144"/>
      <c r="P26" s="197"/>
      <c r="Q26" s="172"/>
      <c r="R26" s="172"/>
      <c r="S26" s="172"/>
      <c r="T26" s="172"/>
      <c r="U26" s="172"/>
      <c r="V26" s="172"/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</row>
    <row r="27" ht="15.75" customHeight="1">
      <c r="A27" s="123"/>
      <c r="B27" s="145"/>
      <c r="C27" s="146" t="s">
        <v>110</v>
      </c>
      <c r="D27" s="146" t="s">
        <v>223</v>
      </c>
      <c r="E27" s="144" t="s">
        <v>224</v>
      </c>
      <c r="F27" s="144" t="s">
        <v>225</v>
      </c>
      <c r="G27" s="144" t="s">
        <v>226</v>
      </c>
      <c r="H27" s="144" t="s">
        <v>227</v>
      </c>
      <c r="I27" s="144" t="s">
        <v>129</v>
      </c>
      <c r="J27" s="144" t="s">
        <v>131</v>
      </c>
      <c r="K27" s="144" t="s">
        <v>87</v>
      </c>
      <c r="L27" s="144" t="s">
        <v>228</v>
      </c>
      <c r="M27" s="144" t="s">
        <v>90</v>
      </c>
      <c r="N27" s="144" t="s">
        <v>80</v>
      </c>
      <c r="O27" s="148" t="s">
        <v>280</v>
      </c>
      <c r="P27" s="198" t="s">
        <v>281</v>
      </c>
      <c r="Q27" s="172"/>
      <c r="R27" s="172"/>
      <c r="S27" s="172"/>
      <c r="T27" s="172"/>
      <c r="U27" s="172"/>
      <c r="V27" s="172"/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</row>
    <row r="28" ht="15.75" customHeight="1">
      <c r="A28" s="123"/>
      <c r="B28" s="145"/>
      <c r="C28" s="150">
        <v>10.0</v>
      </c>
      <c r="D28" s="150">
        <v>8475844.0</v>
      </c>
      <c r="E28" s="148" t="s">
        <v>9</v>
      </c>
      <c r="F28" s="143"/>
      <c r="G28" s="148" t="s">
        <v>9</v>
      </c>
      <c r="H28" s="148" t="s">
        <v>282</v>
      </c>
      <c r="I28" s="148" t="s">
        <v>283</v>
      </c>
      <c r="J28" s="148" t="s">
        <v>26</v>
      </c>
      <c r="K28" s="141">
        <v>42529.0</v>
      </c>
      <c r="L28" s="141">
        <v>45757.0</v>
      </c>
      <c r="M28" s="148">
        <v>2.0</v>
      </c>
      <c r="N28" s="148" t="s">
        <v>9</v>
      </c>
      <c r="O28" s="148" t="s">
        <v>284</v>
      </c>
      <c r="P28" s="197"/>
      <c r="Q28" s="172"/>
      <c r="R28" s="172"/>
      <c r="S28" s="172"/>
      <c r="T28" s="172"/>
      <c r="U28" s="172"/>
      <c r="V28" s="172"/>
      <c r="W28" s="172"/>
      <c r="X28" s="172"/>
      <c r="Y28" s="172"/>
      <c r="Z28" s="172"/>
      <c r="AA28" s="172"/>
      <c r="AB28" s="172"/>
      <c r="AC28" s="172"/>
      <c r="AD28" s="172"/>
      <c r="AE28" s="172"/>
      <c r="AF28" s="172"/>
      <c r="AG28" s="172"/>
      <c r="AH28" s="172"/>
    </row>
    <row r="29" ht="15.75" customHeight="1">
      <c r="A29" s="123"/>
      <c r="B29" s="139" t="s">
        <v>285</v>
      </c>
      <c r="C29" s="152" t="s">
        <v>287</v>
      </c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4"/>
      <c r="P29" s="197"/>
      <c r="Q29" s="172"/>
      <c r="R29" s="172"/>
      <c r="S29" s="172"/>
      <c r="T29" s="172"/>
      <c r="U29" s="172"/>
      <c r="V29" s="172"/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</row>
    <row r="30" ht="15.75" customHeight="1">
      <c r="A30" s="123"/>
      <c r="B30" s="139" t="s">
        <v>289</v>
      </c>
      <c r="C30" s="140">
        <v>45674.0</v>
      </c>
      <c r="D30" s="141">
        <v>45756.0</v>
      </c>
      <c r="E30" s="141">
        <v>45770.0</v>
      </c>
      <c r="F30" s="142"/>
      <c r="G30" s="143"/>
      <c r="H30" s="143"/>
      <c r="I30" s="144"/>
      <c r="J30" s="144"/>
      <c r="K30" s="142"/>
      <c r="L30" s="142"/>
      <c r="M30" s="143"/>
      <c r="N30" s="143"/>
      <c r="O30" s="144"/>
      <c r="P30" s="198" t="s">
        <v>281</v>
      </c>
      <c r="Q30" s="172"/>
      <c r="R30" s="172"/>
      <c r="S30" s="172"/>
      <c r="T30" s="172"/>
      <c r="U30" s="172"/>
      <c r="V30" s="172"/>
      <c r="W30" s="172"/>
      <c r="X30" s="172"/>
      <c r="Y30" s="172"/>
      <c r="Z30" s="172"/>
      <c r="AA30" s="172"/>
      <c r="AB30" s="172"/>
      <c r="AC30" s="172"/>
      <c r="AD30" s="172"/>
      <c r="AE30" s="172"/>
      <c r="AF30" s="172"/>
      <c r="AG30" s="172"/>
      <c r="AH30" s="172"/>
    </row>
    <row r="31" ht="15.75" customHeight="1">
      <c r="A31" s="123"/>
      <c r="B31" s="145"/>
      <c r="C31" s="146" t="s">
        <v>110</v>
      </c>
      <c r="D31" s="146" t="s">
        <v>223</v>
      </c>
      <c r="E31" s="147" t="s">
        <v>224</v>
      </c>
      <c r="F31" s="144" t="s">
        <v>225</v>
      </c>
      <c r="G31" s="144" t="s">
        <v>226</v>
      </c>
      <c r="H31" s="144" t="s">
        <v>227</v>
      </c>
      <c r="I31" s="144" t="s">
        <v>129</v>
      </c>
      <c r="J31" s="144" t="s">
        <v>131</v>
      </c>
      <c r="K31" s="144" t="s">
        <v>87</v>
      </c>
      <c r="L31" s="144" t="s">
        <v>228</v>
      </c>
      <c r="M31" s="148" t="s">
        <v>90</v>
      </c>
      <c r="N31" s="144" t="s">
        <v>80</v>
      </c>
      <c r="O31" s="148" t="s">
        <v>290</v>
      </c>
      <c r="P31" s="197"/>
      <c r="Q31" s="172"/>
      <c r="R31" s="172"/>
      <c r="S31" s="172"/>
      <c r="T31" s="172"/>
      <c r="U31" s="172"/>
      <c r="V31" s="172"/>
      <c r="W31" s="172"/>
      <c r="X31" s="172"/>
      <c r="Y31" s="172"/>
      <c r="Z31" s="172"/>
      <c r="AA31" s="172"/>
      <c r="AB31" s="172"/>
      <c r="AC31" s="172"/>
      <c r="AD31" s="172"/>
      <c r="AE31" s="172"/>
      <c r="AF31" s="172"/>
      <c r="AG31" s="172"/>
      <c r="AH31" s="172"/>
    </row>
    <row r="32" ht="15.75" customHeight="1">
      <c r="A32" s="123"/>
      <c r="B32" s="145"/>
      <c r="C32" s="150">
        <v>20.0</v>
      </c>
      <c r="D32" s="150">
        <v>1.2590446969E10</v>
      </c>
      <c r="E32" s="148" t="s">
        <v>9</v>
      </c>
      <c r="F32" s="143"/>
      <c r="G32" s="144"/>
      <c r="H32" s="148" t="s">
        <v>101</v>
      </c>
      <c r="I32" s="148" t="s">
        <v>102</v>
      </c>
      <c r="J32" s="141"/>
      <c r="K32" s="141">
        <v>42416.0</v>
      </c>
      <c r="L32" s="144"/>
      <c r="M32" s="148">
        <v>3.0</v>
      </c>
      <c r="N32" s="148" t="s">
        <v>9</v>
      </c>
      <c r="O32" s="148" t="s">
        <v>291</v>
      </c>
      <c r="P32" s="198" t="s">
        <v>138</v>
      </c>
      <c r="Q32" s="172"/>
      <c r="R32" s="172"/>
      <c r="S32" s="172"/>
      <c r="T32" s="172"/>
      <c r="U32" s="172"/>
      <c r="V32" s="172"/>
      <c r="W32" s="172"/>
      <c r="X32" s="172"/>
      <c r="Y32" s="172"/>
      <c r="Z32" s="172"/>
      <c r="AA32" s="172"/>
      <c r="AB32" s="172"/>
      <c r="AC32" s="172"/>
      <c r="AD32" s="172"/>
      <c r="AE32" s="172"/>
      <c r="AF32" s="172"/>
      <c r="AG32" s="172"/>
      <c r="AH32" s="172"/>
    </row>
    <row r="33" ht="15.75" customHeight="1">
      <c r="A33" s="123"/>
      <c r="B33" s="151"/>
      <c r="C33" s="152" t="s">
        <v>292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4"/>
      <c r="P33" s="198" t="s">
        <v>294</v>
      </c>
      <c r="Q33" s="172"/>
      <c r="R33" s="172"/>
      <c r="S33" s="172"/>
      <c r="T33" s="172"/>
      <c r="U33" s="172"/>
      <c r="V33" s="172"/>
      <c r="W33" s="172"/>
      <c r="X33" s="172"/>
      <c r="Y33" s="172"/>
      <c r="Z33" s="172"/>
      <c r="AA33" s="172"/>
      <c r="AB33" s="172"/>
      <c r="AC33" s="172"/>
      <c r="AD33" s="172"/>
      <c r="AE33" s="172"/>
      <c r="AF33" s="172"/>
      <c r="AG33" s="172"/>
      <c r="AH33" s="172"/>
    </row>
    <row r="34" ht="15.75" customHeight="1">
      <c r="A34" s="123"/>
      <c r="B34" s="139" t="s">
        <v>295</v>
      </c>
      <c r="C34" s="140"/>
      <c r="D34" s="146"/>
      <c r="E34" s="141">
        <v>45715.0</v>
      </c>
      <c r="F34" s="141">
        <v>45755.0</v>
      </c>
      <c r="G34" s="143"/>
      <c r="H34" s="143"/>
      <c r="I34" s="144"/>
      <c r="J34" s="144"/>
      <c r="K34" s="142"/>
      <c r="L34" s="142"/>
      <c r="M34" s="143"/>
      <c r="N34" s="143"/>
      <c r="O34" s="144"/>
      <c r="P34" s="198" t="s">
        <v>296</v>
      </c>
      <c r="Q34" s="172"/>
      <c r="R34" s="172"/>
      <c r="S34" s="172"/>
      <c r="T34" s="172"/>
      <c r="U34" s="172"/>
      <c r="V34" s="172"/>
      <c r="W34" s="172"/>
      <c r="X34" s="172"/>
      <c r="Y34" s="172"/>
      <c r="Z34" s="172"/>
      <c r="AA34" s="172"/>
      <c r="AB34" s="172"/>
      <c r="AC34" s="172"/>
      <c r="AD34" s="172"/>
      <c r="AE34" s="172"/>
      <c r="AF34" s="172"/>
      <c r="AG34" s="172"/>
      <c r="AH34" s="172"/>
    </row>
    <row r="35" ht="15.75" customHeight="1">
      <c r="A35" s="123"/>
      <c r="B35" s="145"/>
      <c r="C35" s="146" t="s">
        <v>110</v>
      </c>
      <c r="D35" s="196" t="s">
        <v>88</v>
      </c>
      <c r="E35" s="147" t="s">
        <v>224</v>
      </c>
      <c r="F35" s="144" t="s">
        <v>225</v>
      </c>
      <c r="G35" s="144" t="s">
        <v>226</v>
      </c>
      <c r="H35" s="144" t="s">
        <v>227</v>
      </c>
      <c r="I35" s="144" t="s">
        <v>129</v>
      </c>
      <c r="J35" s="144" t="s">
        <v>131</v>
      </c>
      <c r="K35" s="144" t="s">
        <v>87</v>
      </c>
      <c r="L35" s="144" t="s">
        <v>228</v>
      </c>
      <c r="M35" s="148" t="s">
        <v>90</v>
      </c>
      <c r="N35" s="144" t="s">
        <v>80</v>
      </c>
      <c r="O35" s="148" t="s">
        <v>297</v>
      </c>
      <c r="P35" s="197"/>
      <c r="Q35" s="172"/>
      <c r="R35" s="172"/>
      <c r="S35" s="172"/>
      <c r="T35" s="172"/>
      <c r="U35" s="172"/>
      <c r="V35" s="172"/>
      <c r="W35" s="172"/>
      <c r="X35" s="172"/>
      <c r="Y35" s="172"/>
      <c r="Z35" s="172"/>
      <c r="AA35" s="172"/>
      <c r="AB35" s="172"/>
      <c r="AC35" s="172"/>
      <c r="AD35" s="172"/>
      <c r="AE35" s="172"/>
      <c r="AF35" s="172"/>
      <c r="AG35" s="172"/>
      <c r="AH35" s="172"/>
    </row>
    <row r="36" ht="15.75" customHeight="1">
      <c r="A36" s="123"/>
      <c r="B36" s="145"/>
      <c r="C36" s="150">
        <v>5.0</v>
      </c>
      <c r="D36" s="150" t="s">
        <v>298</v>
      </c>
      <c r="E36" s="148" t="s">
        <v>9</v>
      </c>
      <c r="F36" s="143"/>
      <c r="G36" s="148" t="s">
        <v>9</v>
      </c>
      <c r="H36" s="148" t="s">
        <v>9</v>
      </c>
      <c r="I36" s="148"/>
      <c r="J36" s="148"/>
      <c r="K36" s="141">
        <v>43479.0</v>
      </c>
      <c r="L36" s="144"/>
      <c r="M36" s="148">
        <v>2.0</v>
      </c>
      <c r="N36" s="148" t="s">
        <v>9</v>
      </c>
      <c r="O36" s="148" t="s">
        <v>299</v>
      </c>
      <c r="P36" s="198" t="s">
        <v>300</v>
      </c>
      <c r="Q36" s="172"/>
      <c r="R36" s="172"/>
      <c r="S36" s="172"/>
      <c r="T36" s="172"/>
      <c r="U36" s="172"/>
      <c r="V36" s="172"/>
      <c r="W36" s="172"/>
      <c r="X36" s="172"/>
      <c r="Y36" s="172"/>
      <c r="Z36" s="172"/>
      <c r="AA36" s="172"/>
      <c r="AB36" s="172"/>
      <c r="AC36" s="172"/>
      <c r="AD36" s="172"/>
      <c r="AE36" s="172"/>
      <c r="AF36" s="172"/>
      <c r="AG36" s="172"/>
      <c r="AH36" s="172"/>
    </row>
    <row r="37" ht="15.75" customHeight="1">
      <c r="A37" s="123"/>
      <c r="B37" s="151"/>
      <c r="C37" s="152" t="s">
        <v>302</v>
      </c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4"/>
      <c r="P37" s="198" t="s">
        <v>303</v>
      </c>
      <c r="Q37" s="172"/>
      <c r="R37" s="172"/>
      <c r="S37" s="172"/>
      <c r="T37" s="172"/>
      <c r="U37" s="172"/>
      <c r="V37" s="172"/>
      <c r="W37" s="172"/>
      <c r="X37" s="172"/>
      <c r="Y37" s="172"/>
      <c r="Z37" s="172"/>
      <c r="AA37" s="172"/>
      <c r="AB37" s="172"/>
      <c r="AC37" s="172"/>
      <c r="AD37" s="172"/>
      <c r="AE37" s="172"/>
      <c r="AF37" s="172"/>
      <c r="AG37" s="172"/>
      <c r="AH37" s="172"/>
    </row>
    <row r="38" ht="15.75" customHeight="1">
      <c r="A38" s="123"/>
      <c r="B38" s="139" t="s">
        <v>304</v>
      </c>
      <c r="C38" s="148" t="s">
        <v>263</v>
      </c>
      <c r="D38" s="196" t="s">
        <v>263</v>
      </c>
      <c r="E38" s="148" t="s">
        <v>263</v>
      </c>
      <c r="F38" s="141">
        <v>45748.0</v>
      </c>
      <c r="G38" s="166">
        <v>45783.0</v>
      </c>
      <c r="H38" s="143"/>
      <c r="I38" s="144"/>
      <c r="J38" s="144"/>
      <c r="K38" s="142"/>
      <c r="L38" s="142"/>
      <c r="M38" s="143"/>
      <c r="N38" s="143"/>
      <c r="O38" s="144"/>
      <c r="P38" s="170"/>
      <c r="Q38" s="172"/>
      <c r="R38" s="172"/>
      <c r="S38" s="172"/>
      <c r="T38" s="172"/>
      <c r="U38" s="172"/>
      <c r="V38" s="172"/>
      <c r="W38" s="172"/>
      <c r="X38" s="172"/>
      <c r="Y38" s="172"/>
      <c r="Z38" s="172"/>
      <c r="AA38" s="172"/>
      <c r="AB38" s="172"/>
      <c r="AC38" s="172"/>
      <c r="AD38" s="172"/>
      <c r="AE38" s="172"/>
      <c r="AF38" s="172"/>
      <c r="AG38" s="172"/>
      <c r="AH38" s="172"/>
    </row>
    <row r="39" ht="15.75" customHeight="1">
      <c r="A39" s="123"/>
      <c r="B39" s="145"/>
      <c r="C39" s="146" t="s">
        <v>110</v>
      </c>
      <c r="D39" s="146" t="s">
        <v>223</v>
      </c>
      <c r="E39" s="147" t="s">
        <v>224</v>
      </c>
      <c r="F39" s="144" t="s">
        <v>225</v>
      </c>
      <c r="G39" s="144" t="s">
        <v>226</v>
      </c>
      <c r="H39" s="144" t="s">
        <v>227</v>
      </c>
      <c r="I39" s="144" t="s">
        <v>129</v>
      </c>
      <c r="J39" s="144" t="s">
        <v>131</v>
      </c>
      <c r="K39" s="144" t="s">
        <v>87</v>
      </c>
      <c r="L39" s="144" t="s">
        <v>228</v>
      </c>
      <c r="M39" s="148" t="s">
        <v>90</v>
      </c>
      <c r="N39" s="144" t="s">
        <v>80</v>
      </c>
      <c r="O39" s="144"/>
      <c r="P39" s="170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</row>
    <row r="40" ht="15.75" customHeight="1">
      <c r="A40" s="123"/>
      <c r="B40" s="145"/>
      <c r="C40" s="150">
        <v>5.0</v>
      </c>
      <c r="D40" s="150">
        <v>8117047.0</v>
      </c>
      <c r="E40" s="148" t="s">
        <v>9</v>
      </c>
      <c r="F40" s="166">
        <v>45742.0</v>
      </c>
      <c r="G40" s="148" t="s">
        <v>9</v>
      </c>
      <c r="H40" s="148" t="s">
        <v>9</v>
      </c>
      <c r="I40" s="148" t="s">
        <v>306</v>
      </c>
      <c r="J40" s="148" t="s">
        <v>26</v>
      </c>
      <c r="K40" s="141">
        <v>41870.0</v>
      </c>
      <c r="L40" s="144"/>
      <c r="M40" s="148">
        <v>2.0</v>
      </c>
      <c r="N40" s="148" t="s">
        <v>9</v>
      </c>
      <c r="O40" s="144"/>
      <c r="P40" s="170"/>
      <c r="Q40" s="172"/>
      <c r="R40" s="172"/>
      <c r="S40" s="172"/>
      <c r="T40" s="172"/>
      <c r="U40" s="172"/>
      <c r="V40" s="172"/>
      <c r="W40" s="172"/>
      <c r="X40" s="172"/>
      <c r="Y40" s="172"/>
      <c r="Z40" s="172"/>
      <c r="AA40" s="172"/>
      <c r="AB40" s="172"/>
      <c r="AC40" s="172"/>
      <c r="AD40" s="172"/>
      <c r="AE40" s="172"/>
      <c r="AF40" s="172"/>
      <c r="AG40" s="172"/>
      <c r="AH40" s="172"/>
    </row>
    <row r="41" ht="15.75" customHeight="1">
      <c r="A41" s="123"/>
      <c r="B41" s="151"/>
      <c r="C41" s="152" t="s">
        <v>321</v>
      </c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4"/>
      <c r="P41" s="170"/>
      <c r="Q41" s="172"/>
      <c r="R41" s="172"/>
      <c r="S41" s="172"/>
      <c r="T41" s="172"/>
      <c r="U41" s="172"/>
      <c r="V41" s="172"/>
      <c r="W41" s="172"/>
      <c r="X41" s="172"/>
      <c r="Y41" s="172"/>
      <c r="Z41" s="172"/>
      <c r="AA41" s="172"/>
      <c r="AB41" s="172"/>
      <c r="AC41" s="172"/>
      <c r="AD41" s="172"/>
      <c r="AE41" s="172"/>
      <c r="AF41" s="172"/>
      <c r="AG41" s="172"/>
      <c r="AH41" s="172"/>
    </row>
    <row r="42" ht="15.75" customHeight="1">
      <c r="A42" s="123"/>
      <c r="B42" s="139" t="s">
        <v>323</v>
      </c>
      <c r="C42" s="148" t="s">
        <v>263</v>
      </c>
      <c r="D42" s="196" t="s">
        <v>263</v>
      </c>
      <c r="E42" s="148" t="s">
        <v>263</v>
      </c>
      <c r="F42" s="141">
        <v>45747.0</v>
      </c>
      <c r="G42" s="148" t="s">
        <v>115</v>
      </c>
      <c r="H42" s="148" t="s">
        <v>115</v>
      </c>
      <c r="I42" s="141">
        <v>45845.0</v>
      </c>
      <c r="J42" s="144"/>
      <c r="K42" s="142"/>
      <c r="L42" s="142"/>
      <c r="M42" s="143"/>
      <c r="N42" s="143"/>
      <c r="O42" s="144"/>
      <c r="P42" s="198" t="s">
        <v>325</v>
      </c>
      <c r="Q42" s="172"/>
      <c r="R42" s="172"/>
      <c r="S42" s="172"/>
      <c r="T42" s="172"/>
      <c r="U42" s="172"/>
      <c r="V42" s="172"/>
      <c r="W42" s="172"/>
      <c r="X42" s="172"/>
      <c r="Y42" s="172"/>
      <c r="Z42" s="172"/>
      <c r="AA42" s="172"/>
      <c r="AB42" s="172"/>
      <c r="AC42" s="172"/>
      <c r="AD42" s="172"/>
      <c r="AE42" s="172"/>
      <c r="AF42" s="172"/>
      <c r="AG42" s="172"/>
      <c r="AH42" s="172"/>
    </row>
    <row r="43" ht="15.75" customHeight="1">
      <c r="A43" s="123"/>
      <c r="B43" s="145"/>
      <c r="C43" s="146" t="s">
        <v>110</v>
      </c>
      <c r="D43" s="146" t="s">
        <v>223</v>
      </c>
      <c r="E43" s="147" t="s">
        <v>224</v>
      </c>
      <c r="F43" s="144" t="s">
        <v>225</v>
      </c>
      <c r="G43" s="144" t="s">
        <v>226</v>
      </c>
      <c r="H43" s="144" t="s">
        <v>227</v>
      </c>
      <c r="I43" s="144" t="s">
        <v>129</v>
      </c>
      <c r="J43" s="144" t="s">
        <v>131</v>
      </c>
      <c r="K43" s="144" t="s">
        <v>87</v>
      </c>
      <c r="L43" s="144" t="s">
        <v>228</v>
      </c>
      <c r="M43" s="148" t="s">
        <v>90</v>
      </c>
      <c r="N43" s="144" t="s">
        <v>80</v>
      </c>
      <c r="O43" s="148" t="s">
        <v>328</v>
      </c>
      <c r="P43" s="198"/>
      <c r="Q43" s="172"/>
      <c r="R43" s="172"/>
      <c r="S43" s="172"/>
      <c r="T43" s="172"/>
      <c r="U43" s="172"/>
      <c r="V43" s="172"/>
      <c r="W43" s="172"/>
      <c r="X43" s="172"/>
      <c r="Y43" s="172"/>
      <c r="Z43" s="172"/>
      <c r="AA43" s="172"/>
      <c r="AB43" s="172"/>
      <c r="AC43" s="172"/>
      <c r="AD43" s="172"/>
      <c r="AE43" s="172"/>
      <c r="AF43" s="172"/>
      <c r="AG43" s="172"/>
      <c r="AH43" s="172"/>
    </row>
    <row r="44" ht="15.75" customHeight="1">
      <c r="A44" s="123"/>
      <c r="B44" s="145"/>
      <c r="C44" s="150">
        <v>5.0</v>
      </c>
      <c r="D44" s="150">
        <v>1.5823258984E10</v>
      </c>
      <c r="E44" s="148" t="s">
        <v>9</v>
      </c>
      <c r="F44" s="166">
        <v>45741.0</v>
      </c>
      <c r="G44" s="148" t="s">
        <v>9</v>
      </c>
      <c r="H44" s="148" t="s">
        <v>9</v>
      </c>
      <c r="I44" s="148"/>
      <c r="J44" s="148" t="s">
        <v>26</v>
      </c>
      <c r="K44" s="141">
        <v>44223.0</v>
      </c>
      <c r="L44" s="141">
        <v>45741.0</v>
      </c>
      <c r="M44" s="148">
        <v>1.0</v>
      </c>
      <c r="N44" s="148" t="s">
        <v>9</v>
      </c>
      <c r="O44" s="148" t="s">
        <v>329</v>
      </c>
      <c r="P44" s="198" t="s">
        <v>138</v>
      </c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/>
      <c r="AC44" s="172"/>
      <c r="AD44" s="172"/>
      <c r="AE44" s="172"/>
      <c r="AF44" s="172"/>
      <c r="AG44" s="172"/>
      <c r="AH44" s="172"/>
    </row>
    <row r="45" ht="15.75" customHeight="1">
      <c r="A45" s="123"/>
      <c r="B45" s="151"/>
      <c r="C45" s="152" t="s">
        <v>331</v>
      </c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4"/>
      <c r="P45" s="212" t="s">
        <v>333</v>
      </c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/>
      <c r="AC45" s="172"/>
      <c r="AD45" s="172"/>
      <c r="AE45" s="172"/>
      <c r="AF45" s="172"/>
      <c r="AG45" s="172"/>
      <c r="AH45" s="172"/>
    </row>
    <row r="46" ht="15.75" customHeight="1">
      <c r="A46" s="123"/>
      <c r="B46" s="139" t="s">
        <v>335</v>
      </c>
      <c r="C46" s="148" t="s">
        <v>101</v>
      </c>
      <c r="D46" s="196" t="s">
        <v>101</v>
      </c>
      <c r="E46" s="141">
        <v>45748.0</v>
      </c>
      <c r="F46" s="141">
        <v>45406.0</v>
      </c>
      <c r="G46" s="166">
        <v>45785.0</v>
      </c>
      <c r="H46" s="166">
        <v>45819.0</v>
      </c>
      <c r="I46" s="144"/>
      <c r="J46" s="144"/>
      <c r="K46" s="142"/>
      <c r="L46" s="142"/>
      <c r="M46" s="143"/>
      <c r="N46" s="143"/>
      <c r="O46" s="144"/>
      <c r="P46" s="198" t="s">
        <v>337</v>
      </c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/>
      <c r="AC46" s="172"/>
      <c r="AD46" s="172"/>
      <c r="AE46" s="172"/>
      <c r="AF46" s="172"/>
      <c r="AG46" s="172"/>
      <c r="AH46" s="172"/>
    </row>
    <row r="47" ht="15.75" customHeight="1">
      <c r="A47" s="123"/>
      <c r="B47" s="145"/>
      <c r="C47" s="146" t="s">
        <v>110</v>
      </c>
      <c r="D47" s="146" t="s">
        <v>223</v>
      </c>
      <c r="E47" s="147" t="s">
        <v>224</v>
      </c>
      <c r="F47" s="144" t="s">
        <v>225</v>
      </c>
      <c r="G47" s="144" t="s">
        <v>226</v>
      </c>
      <c r="H47" s="144" t="s">
        <v>227</v>
      </c>
      <c r="I47" s="144" t="s">
        <v>129</v>
      </c>
      <c r="J47" s="144" t="s">
        <v>131</v>
      </c>
      <c r="K47" s="144" t="s">
        <v>87</v>
      </c>
      <c r="L47" s="144" t="s">
        <v>228</v>
      </c>
      <c r="M47" s="148" t="s">
        <v>90</v>
      </c>
      <c r="N47" s="144" t="s">
        <v>80</v>
      </c>
      <c r="O47" s="148" t="s">
        <v>338</v>
      </c>
      <c r="P47" s="197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/>
      <c r="AC47" s="172"/>
      <c r="AD47" s="172"/>
      <c r="AE47" s="172"/>
      <c r="AF47" s="172"/>
      <c r="AG47" s="172"/>
      <c r="AH47" s="172"/>
    </row>
    <row r="48" ht="15.75" customHeight="1">
      <c r="A48" s="123"/>
      <c r="B48" s="145"/>
      <c r="C48" s="150">
        <v>10.0</v>
      </c>
      <c r="D48" s="150">
        <v>1.3631291981E10</v>
      </c>
      <c r="E48" s="148" t="s">
        <v>9</v>
      </c>
      <c r="F48" s="143"/>
      <c r="G48" s="148" t="s">
        <v>9</v>
      </c>
      <c r="H48" s="148" t="s">
        <v>9</v>
      </c>
      <c r="I48" s="148" t="s">
        <v>306</v>
      </c>
      <c r="J48" s="148" t="s">
        <v>191</v>
      </c>
      <c r="K48" s="141">
        <v>41191.0</v>
      </c>
      <c r="L48" s="144"/>
      <c r="M48" s="148">
        <v>2.0</v>
      </c>
      <c r="N48" s="148" t="s">
        <v>9</v>
      </c>
      <c r="O48" s="148" t="s">
        <v>339</v>
      </c>
      <c r="P48" s="198" t="s">
        <v>138</v>
      </c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/>
      <c r="AG48" s="172"/>
      <c r="AH48" s="172"/>
    </row>
    <row r="49" ht="15.75" customHeight="1">
      <c r="A49" s="123"/>
      <c r="B49" s="151"/>
      <c r="C49" s="152" t="s">
        <v>341</v>
      </c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4"/>
      <c r="P49" s="198" t="s">
        <v>342</v>
      </c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/>
      <c r="AG49" s="172"/>
      <c r="AH49" s="172"/>
    </row>
    <row r="50" ht="15.75" customHeight="1">
      <c r="A50" s="123"/>
      <c r="B50" s="139" t="s">
        <v>344</v>
      </c>
      <c r="C50" s="148" t="s">
        <v>277</v>
      </c>
      <c r="D50" s="196" t="s">
        <v>277</v>
      </c>
      <c r="E50" s="148" t="s">
        <v>277</v>
      </c>
      <c r="F50" s="148" t="s">
        <v>277</v>
      </c>
      <c r="G50" s="166">
        <v>45786.0</v>
      </c>
      <c r="H50" s="143"/>
      <c r="I50" s="144"/>
      <c r="J50" s="144"/>
      <c r="K50" s="142"/>
      <c r="L50" s="142"/>
      <c r="M50" s="143"/>
      <c r="N50" s="143"/>
      <c r="O50" s="144"/>
      <c r="P50" s="198" t="s">
        <v>134</v>
      </c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</row>
    <row r="51" ht="15.75" customHeight="1">
      <c r="A51" s="123"/>
      <c r="B51" s="145"/>
      <c r="C51" s="146" t="s">
        <v>110</v>
      </c>
      <c r="D51" s="146" t="s">
        <v>223</v>
      </c>
      <c r="E51" s="144" t="s">
        <v>224</v>
      </c>
      <c r="F51" s="144" t="s">
        <v>225</v>
      </c>
      <c r="G51" s="144" t="s">
        <v>226</v>
      </c>
      <c r="H51" s="144" t="s">
        <v>227</v>
      </c>
      <c r="I51" s="144" t="s">
        <v>129</v>
      </c>
      <c r="J51" s="144" t="s">
        <v>131</v>
      </c>
      <c r="K51" s="144" t="s">
        <v>87</v>
      </c>
      <c r="L51" s="144" t="s">
        <v>228</v>
      </c>
      <c r="M51" s="144" t="s">
        <v>90</v>
      </c>
      <c r="N51" s="144" t="s">
        <v>80</v>
      </c>
      <c r="O51" s="148" t="s">
        <v>346</v>
      </c>
      <c r="P51" s="197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  <c r="AF51" s="170"/>
      <c r="AG51" s="170"/>
      <c r="AH51" s="170"/>
    </row>
    <row r="52" ht="15.75" customHeight="1">
      <c r="A52" s="123"/>
      <c r="B52" s="145"/>
      <c r="C52" s="150">
        <v>10.0</v>
      </c>
      <c r="D52" s="150" t="s">
        <v>347</v>
      </c>
      <c r="E52" s="148" t="s">
        <v>24</v>
      </c>
      <c r="F52" s="143"/>
      <c r="G52" s="144"/>
      <c r="H52" s="148" t="s">
        <v>24</v>
      </c>
      <c r="I52" s="148" t="s">
        <v>348</v>
      </c>
      <c r="J52" s="148" t="s">
        <v>191</v>
      </c>
      <c r="K52" s="141">
        <v>41988.0</v>
      </c>
      <c r="L52" s="148" t="s">
        <v>9</v>
      </c>
      <c r="M52" s="148">
        <v>3.0</v>
      </c>
      <c r="N52" s="148" t="s">
        <v>9</v>
      </c>
      <c r="O52" s="148" t="s">
        <v>349</v>
      </c>
      <c r="P52" s="198" t="s">
        <v>138</v>
      </c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0"/>
      <c r="AH52" s="170"/>
    </row>
    <row r="53" ht="15.75" customHeight="1">
      <c r="A53" s="123"/>
      <c r="B53" s="151"/>
      <c r="C53" s="152" t="s">
        <v>350</v>
      </c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4"/>
      <c r="P53" s="198" t="s">
        <v>351</v>
      </c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  <c r="AF53" s="170"/>
      <c r="AG53" s="170"/>
      <c r="AH53" s="170"/>
    </row>
    <row r="54" ht="15.75" customHeight="1">
      <c r="A54" s="123"/>
      <c r="B54" s="139" t="s">
        <v>353</v>
      </c>
      <c r="C54" s="214" t="s">
        <v>110</v>
      </c>
      <c r="D54" s="214">
        <v>45708.0</v>
      </c>
      <c r="E54" s="214">
        <v>45736.0</v>
      </c>
      <c r="F54" s="214">
        <v>45772.0</v>
      </c>
      <c r="G54" s="214">
        <v>45792.0</v>
      </c>
      <c r="H54" s="214">
        <v>45828.0</v>
      </c>
      <c r="I54" s="214">
        <v>45883.0</v>
      </c>
      <c r="J54" s="214">
        <v>45904.0</v>
      </c>
      <c r="K54" s="214" t="s">
        <v>87</v>
      </c>
      <c r="L54" s="214" t="s">
        <v>228</v>
      </c>
      <c r="M54" s="214" t="s">
        <v>90</v>
      </c>
      <c r="N54" s="214" t="s">
        <v>80</v>
      </c>
      <c r="O54" s="214" t="s">
        <v>354</v>
      </c>
      <c r="P54" s="214" t="s">
        <v>136</v>
      </c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23"/>
      <c r="AD54" s="123"/>
      <c r="AE54" s="123"/>
      <c r="AF54" s="123"/>
      <c r="AG54" s="123"/>
      <c r="AH54" s="123"/>
    </row>
    <row r="55" ht="15.75" customHeight="1">
      <c r="A55" s="126"/>
      <c r="B55" s="215" t="s">
        <v>356</v>
      </c>
      <c r="C55" s="117" t="s">
        <v>357</v>
      </c>
      <c r="D55" s="119"/>
      <c r="E55" s="119">
        <v>45713.0</v>
      </c>
      <c r="F55" s="119">
        <v>45741.0</v>
      </c>
      <c r="G55" s="119">
        <v>45772.0</v>
      </c>
      <c r="H55" s="119"/>
      <c r="I55" s="119" t="s">
        <v>263</v>
      </c>
      <c r="J55" s="119"/>
      <c r="K55" s="119"/>
      <c r="L55" s="119"/>
      <c r="M55" s="119"/>
      <c r="N55" s="119"/>
      <c r="O55" s="119"/>
      <c r="P55" s="117" t="s">
        <v>9</v>
      </c>
      <c r="Q55" s="116" t="s">
        <v>358</v>
      </c>
      <c r="R55" s="119"/>
      <c r="S55" s="116">
        <v>15.0</v>
      </c>
      <c r="T55" s="119">
        <v>45667.0</v>
      </c>
      <c r="U55" s="117" t="s">
        <v>9</v>
      </c>
      <c r="V55" s="117"/>
      <c r="W55" s="117"/>
      <c r="X55" s="118"/>
      <c r="Y55" s="117"/>
      <c r="Z55" s="119">
        <v>41592.0</v>
      </c>
      <c r="AA55" s="116">
        <v>3.0</v>
      </c>
      <c r="AB55" s="121" t="s">
        <v>360</v>
      </c>
      <c r="AC55" s="117" t="s">
        <v>361</v>
      </c>
      <c r="AD55" s="117" t="s">
        <v>362</v>
      </c>
      <c r="AE55" s="220"/>
      <c r="AF55" s="220"/>
      <c r="AG55" s="220"/>
      <c r="AH55" s="220"/>
    </row>
    <row r="56" ht="15.75" customHeight="1">
      <c r="A56" s="126"/>
      <c r="B56" s="215" t="s">
        <v>364</v>
      </c>
      <c r="C56" s="117" t="s">
        <v>365</v>
      </c>
      <c r="D56" s="119">
        <v>45695.0</v>
      </c>
      <c r="E56" s="119">
        <v>45736.0</v>
      </c>
      <c r="F56" s="119">
        <v>45777.0</v>
      </c>
      <c r="G56" s="119">
        <v>45777.0</v>
      </c>
      <c r="H56" s="119">
        <v>45873.0</v>
      </c>
      <c r="I56" s="119">
        <v>45873.0</v>
      </c>
      <c r="J56" s="119"/>
      <c r="K56" s="119"/>
      <c r="L56" s="119"/>
      <c r="M56" s="119"/>
      <c r="N56" s="119"/>
      <c r="O56" s="119"/>
      <c r="P56" s="117" t="s">
        <v>9</v>
      </c>
      <c r="Q56" s="118"/>
      <c r="R56" s="119"/>
      <c r="S56" s="116" t="s">
        <v>366</v>
      </c>
      <c r="T56" s="119"/>
      <c r="U56" s="117"/>
      <c r="V56" s="117"/>
      <c r="W56" s="117"/>
      <c r="X56" s="118"/>
      <c r="Y56" s="117"/>
      <c r="Z56" s="119">
        <v>41913.0</v>
      </c>
      <c r="AA56" s="116">
        <v>2.0</v>
      </c>
      <c r="AB56" s="121" t="s">
        <v>367</v>
      </c>
      <c r="AC56" s="117" t="s">
        <v>368</v>
      </c>
      <c r="AD56" s="117" t="s">
        <v>369</v>
      </c>
      <c r="AE56" s="220"/>
      <c r="AF56" s="220"/>
      <c r="AG56" s="220"/>
      <c r="AH56" s="220"/>
    </row>
    <row r="57" ht="15.75" customHeight="1">
      <c r="A57" s="126"/>
      <c r="B57" s="215" t="s">
        <v>370</v>
      </c>
      <c r="C57" s="117" t="s">
        <v>371</v>
      </c>
      <c r="D57" s="117" t="s">
        <v>263</v>
      </c>
      <c r="E57" s="117" t="s">
        <v>263</v>
      </c>
      <c r="F57" s="117" t="s">
        <v>263</v>
      </c>
      <c r="G57" s="117" t="s">
        <v>277</v>
      </c>
      <c r="H57" s="119">
        <v>45779.0</v>
      </c>
      <c r="I57" s="119"/>
      <c r="J57" s="119"/>
      <c r="K57" s="119"/>
      <c r="L57" s="119"/>
      <c r="M57" s="119"/>
      <c r="N57" s="119"/>
      <c r="O57" s="119"/>
      <c r="P57" s="117" t="s">
        <v>9</v>
      </c>
      <c r="Q57" s="116" t="s">
        <v>373</v>
      </c>
      <c r="R57" s="119"/>
      <c r="S57" s="116">
        <v>10.0</v>
      </c>
      <c r="T57" s="119"/>
      <c r="U57" s="117" t="s">
        <v>9</v>
      </c>
      <c r="V57" s="117" t="s">
        <v>9</v>
      </c>
      <c r="W57" s="117"/>
      <c r="X57" s="118"/>
      <c r="Y57" s="117" t="s">
        <v>26</v>
      </c>
      <c r="Z57" s="119">
        <v>41208.0</v>
      </c>
      <c r="AA57" s="116">
        <v>3.0</v>
      </c>
      <c r="AB57" s="117" t="s">
        <v>374</v>
      </c>
      <c r="AC57" s="117" t="s">
        <v>375</v>
      </c>
      <c r="AD57" s="117" t="s">
        <v>384</v>
      </c>
      <c r="AE57" s="220"/>
      <c r="AF57" s="220"/>
      <c r="AG57" s="220"/>
      <c r="AH57" s="220"/>
    </row>
    <row r="58" ht="15.75" customHeight="1">
      <c r="A58" s="124"/>
      <c r="B58" s="114" t="s">
        <v>385</v>
      </c>
      <c r="C58" s="115" t="s">
        <v>387</v>
      </c>
      <c r="D58" s="115" t="s">
        <v>18</v>
      </c>
      <c r="E58" s="115" t="s">
        <v>18</v>
      </c>
      <c r="F58" s="115" t="s">
        <v>388</v>
      </c>
      <c r="G58" s="115" t="s">
        <v>101</v>
      </c>
      <c r="H58" s="115" t="s">
        <v>115</v>
      </c>
      <c r="I58" s="115" t="s">
        <v>115</v>
      </c>
      <c r="J58" s="115" t="s">
        <v>115</v>
      </c>
      <c r="K58" s="115" t="s">
        <v>115</v>
      </c>
      <c r="L58" s="227">
        <v>45924.0</v>
      </c>
      <c r="M58" s="228"/>
      <c r="N58" s="228"/>
      <c r="O58" s="228"/>
      <c r="P58" s="115" t="s">
        <v>9</v>
      </c>
      <c r="Q58" s="230" t="s">
        <v>389</v>
      </c>
      <c r="R58" s="231"/>
      <c r="S58" s="115">
        <v>10.0</v>
      </c>
      <c r="T58" s="227">
        <v>45838.0</v>
      </c>
      <c r="U58" s="115" t="s">
        <v>9</v>
      </c>
      <c r="V58" s="228"/>
      <c r="W58" s="228"/>
      <c r="X58" s="230" t="s">
        <v>390</v>
      </c>
      <c r="Y58" s="115" t="s">
        <v>26</v>
      </c>
      <c r="Z58" s="227">
        <v>42576.0</v>
      </c>
      <c r="AA58" s="115">
        <v>1.0</v>
      </c>
      <c r="AB58" s="115" t="s">
        <v>392</v>
      </c>
      <c r="AC58" s="115" t="s">
        <v>393</v>
      </c>
      <c r="AD58" s="115" t="s">
        <v>394</v>
      </c>
      <c r="AE58" s="232"/>
      <c r="AF58" s="232"/>
      <c r="AG58" s="232"/>
      <c r="AH58" s="232"/>
    </row>
    <row r="59" ht="15.75" customHeight="1">
      <c r="A59" s="126"/>
      <c r="B59" s="215" t="s">
        <v>397</v>
      </c>
      <c r="C59" s="117" t="s">
        <v>398</v>
      </c>
      <c r="D59" s="119">
        <v>45681.0</v>
      </c>
      <c r="E59" s="119">
        <v>45727.0</v>
      </c>
      <c r="F59" s="119">
        <v>45757.0</v>
      </c>
      <c r="G59" s="119">
        <v>45787.0</v>
      </c>
      <c r="H59" s="119">
        <v>45819.0</v>
      </c>
      <c r="I59" s="119">
        <v>45849.0</v>
      </c>
      <c r="J59" s="119">
        <v>45884.0</v>
      </c>
      <c r="K59" s="119">
        <v>45910.0</v>
      </c>
      <c r="L59" s="119"/>
      <c r="M59" s="119"/>
      <c r="N59" s="119"/>
      <c r="O59" s="119"/>
      <c r="P59" s="117" t="s">
        <v>9</v>
      </c>
      <c r="Q59" s="116" t="s">
        <v>399</v>
      </c>
      <c r="R59" s="119"/>
      <c r="S59" s="116" t="s">
        <v>400</v>
      </c>
      <c r="T59" s="119"/>
      <c r="U59" s="117"/>
      <c r="V59" s="117"/>
      <c r="W59" s="117" t="s">
        <v>9</v>
      </c>
      <c r="X59" s="118"/>
      <c r="Y59" s="117"/>
      <c r="Z59" s="119">
        <v>40843.0</v>
      </c>
      <c r="AA59" s="116">
        <v>3.0</v>
      </c>
      <c r="AB59" s="121" t="s">
        <v>401</v>
      </c>
      <c r="AC59" s="117" t="s">
        <v>402</v>
      </c>
      <c r="AD59" s="117" t="s">
        <v>403</v>
      </c>
      <c r="AE59" s="220"/>
      <c r="AF59" s="220"/>
      <c r="AG59" s="220"/>
      <c r="AH59" s="220"/>
    </row>
    <row r="60" ht="15.75" customHeight="1">
      <c r="A60" s="126"/>
      <c r="B60" s="215" t="s">
        <v>404</v>
      </c>
      <c r="C60" s="117" t="s">
        <v>405</v>
      </c>
      <c r="D60" s="117">
        <v>45674.0</v>
      </c>
      <c r="E60" s="121">
        <v>45702.0</v>
      </c>
      <c r="F60" s="117">
        <v>45729.0</v>
      </c>
      <c r="G60" s="117">
        <v>45762.0</v>
      </c>
      <c r="H60" s="119">
        <v>45792.0</v>
      </c>
      <c r="I60" s="119">
        <v>45824.0</v>
      </c>
      <c r="J60" s="119">
        <v>45855.0</v>
      </c>
      <c r="K60" s="119">
        <v>45884.0</v>
      </c>
      <c r="L60" s="119"/>
      <c r="M60" s="119"/>
      <c r="N60" s="119"/>
      <c r="O60" s="119"/>
      <c r="P60" s="117" t="s">
        <v>9</v>
      </c>
      <c r="Q60" s="116" t="s">
        <v>406</v>
      </c>
      <c r="R60" s="119"/>
      <c r="S60" s="116">
        <v>15.0</v>
      </c>
      <c r="T60" s="119">
        <v>45532.0</v>
      </c>
      <c r="U60" s="117" t="s">
        <v>9</v>
      </c>
      <c r="V60" s="117" t="s">
        <v>9</v>
      </c>
      <c r="W60" s="117" t="s">
        <v>9</v>
      </c>
      <c r="X60" s="120" t="s">
        <v>125</v>
      </c>
      <c r="Y60" s="117" t="s">
        <v>205</v>
      </c>
      <c r="Z60" s="119">
        <v>43118.0</v>
      </c>
      <c r="AA60" s="116">
        <v>3.0</v>
      </c>
      <c r="AB60" s="121" t="s">
        <v>408</v>
      </c>
      <c r="AC60" s="117" t="s">
        <v>134</v>
      </c>
      <c r="AD60" s="117" t="s">
        <v>409</v>
      </c>
      <c r="AE60" s="220"/>
      <c r="AF60" s="220"/>
      <c r="AG60" s="220"/>
      <c r="AH60" s="220"/>
    </row>
    <row r="61" ht="15.75" customHeight="1">
      <c r="A61" s="126"/>
      <c r="B61" s="215" t="s">
        <v>410</v>
      </c>
      <c r="C61" s="117" t="s">
        <v>411</v>
      </c>
      <c r="D61" s="117" t="s">
        <v>277</v>
      </c>
      <c r="E61" s="121" t="s">
        <v>412</v>
      </c>
      <c r="F61" s="117" t="s">
        <v>277</v>
      </c>
      <c r="G61" s="117" t="s">
        <v>277</v>
      </c>
      <c r="H61" s="119" t="s">
        <v>413</v>
      </c>
      <c r="I61" s="119" t="s">
        <v>414</v>
      </c>
      <c r="J61" s="119">
        <v>45880.0</v>
      </c>
      <c r="K61" s="119"/>
      <c r="L61" s="119"/>
      <c r="M61" s="119"/>
      <c r="N61" s="119"/>
      <c r="O61" s="119"/>
      <c r="P61" s="117" t="s">
        <v>9</v>
      </c>
      <c r="Q61" s="116" t="s">
        <v>415</v>
      </c>
      <c r="R61" s="119">
        <v>45870.0</v>
      </c>
      <c r="S61" s="116">
        <v>10.0</v>
      </c>
      <c r="T61" s="119">
        <v>45862.0</v>
      </c>
      <c r="U61" s="117" t="s">
        <v>9</v>
      </c>
      <c r="V61" s="117" t="s">
        <v>9</v>
      </c>
      <c r="W61" s="117" t="s">
        <v>9</v>
      </c>
      <c r="X61" s="120" t="s">
        <v>125</v>
      </c>
      <c r="Y61" s="117" t="s">
        <v>210</v>
      </c>
      <c r="Z61" s="119">
        <v>43231.0</v>
      </c>
      <c r="AA61" s="116">
        <v>2.0</v>
      </c>
      <c r="AB61" s="121" t="s">
        <v>416</v>
      </c>
      <c r="AC61" s="117" t="s">
        <v>417</v>
      </c>
      <c r="AD61" s="117" t="s">
        <v>418</v>
      </c>
      <c r="AE61" s="220"/>
      <c r="AF61" s="220"/>
      <c r="AG61" s="220"/>
      <c r="AH61" s="220"/>
    </row>
    <row r="62" ht="15.75" customHeight="1">
      <c r="A62" s="126"/>
      <c r="B62" s="215" t="s">
        <v>419</v>
      </c>
      <c r="C62" s="121" t="s">
        <v>420</v>
      </c>
      <c r="D62" s="117" t="s">
        <v>277</v>
      </c>
      <c r="E62" s="117" t="s">
        <v>277</v>
      </c>
      <c r="F62" s="117" t="s">
        <v>277</v>
      </c>
      <c r="G62" s="117" t="s">
        <v>277</v>
      </c>
      <c r="H62" s="119"/>
      <c r="I62" s="119"/>
      <c r="J62" s="119"/>
      <c r="K62" s="119"/>
      <c r="L62" s="119"/>
      <c r="M62" s="119"/>
      <c r="N62" s="119"/>
      <c r="O62" s="119"/>
      <c r="P62" s="117" t="s">
        <v>9</v>
      </c>
      <c r="Q62" s="118"/>
      <c r="R62" s="119"/>
      <c r="S62" s="116" t="s">
        <v>423</v>
      </c>
      <c r="T62" s="119"/>
      <c r="U62" s="117" t="s">
        <v>24</v>
      </c>
      <c r="V62" s="117"/>
      <c r="W62" s="117"/>
      <c r="X62" s="118"/>
      <c r="Y62" s="117" t="s">
        <v>205</v>
      </c>
      <c r="Z62" s="119">
        <v>43797.0</v>
      </c>
      <c r="AA62" s="116">
        <v>3.0</v>
      </c>
      <c r="AB62" s="121" t="s">
        <v>424</v>
      </c>
      <c r="AC62" s="117" t="s">
        <v>425</v>
      </c>
      <c r="AD62" s="117" t="s">
        <v>426</v>
      </c>
      <c r="AE62" s="220"/>
      <c r="AF62" s="220"/>
      <c r="AG62" s="220"/>
      <c r="AH62" s="220"/>
    </row>
    <row r="63" ht="15.75" customHeight="1">
      <c r="A63" s="126"/>
      <c r="B63" s="215" t="s">
        <v>427</v>
      </c>
      <c r="C63" s="117" t="s">
        <v>428</v>
      </c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7" t="s">
        <v>9</v>
      </c>
      <c r="Q63" s="118"/>
      <c r="R63" s="119"/>
      <c r="S63" s="116">
        <v>5.0</v>
      </c>
      <c r="T63" s="119"/>
      <c r="U63" s="117"/>
      <c r="V63" s="117"/>
      <c r="W63" s="117"/>
      <c r="X63" s="118"/>
      <c r="Y63" s="117"/>
      <c r="Z63" s="119">
        <v>43600.0</v>
      </c>
      <c r="AA63" s="116">
        <v>4.0</v>
      </c>
      <c r="AB63" s="121" t="s">
        <v>429</v>
      </c>
      <c r="AC63" s="117" t="s">
        <v>430</v>
      </c>
      <c r="AD63" s="117" t="s">
        <v>431</v>
      </c>
      <c r="AE63" s="220"/>
      <c r="AF63" s="220"/>
      <c r="AG63" s="220"/>
      <c r="AH63" s="220"/>
    </row>
    <row r="64" ht="15.75" customHeight="1">
      <c r="A64" s="126"/>
      <c r="B64" s="236" t="s">
        <v>432</v>
      </c>
      <c r="C64" s="117" t="s">
        <v>433</v>
      </c>
      <c r="D64" s="117" t="s">
        <v>263</v>
      </c>
      <c r="E64" s="117" t="s">
        <v>434</v>
      </c>
      <c r="F64" s="117">
        <v>45734.0</v>
      </c>
      <c r="G64" s="117">
        <v>45776.0</v>
      </c>
      <c r="H64" s="119"/>
      <c r="I64" s="119"/>
      <c r="J64" s="119"/>
      <c r="K64" s="119"/>
      <c r="L64" s="119"/>
      <c r="M64" s="119"/>
      <c r="N64" s="119"/>
      <c r="O64" s="119"/>
      <c r="P64" s="117" t="s">
        <v>9</v>
      </c>
      <c r="Q64" s="118" t="s">
        <v>437</v>
      </c>
      <c r="R64" s="119"/>
      <c r="S64" s="116">
        <v>15.0</v>
      </c>
      <c r="T64" s="119"/>
      <c r="U64" s="117"/>
      <c r="V64" s="117"/>
      <c r="W64" s="117"/>
      <c r="X64" s="118"/>
      <c r="Y64" s="117" t="s">
        <v>191</v>
      </c>
      <c r="Z64" s="119">
        <v>43193.0</v>
      </c>
      <c r="AA64" s="116">
        <v>2.0</v>
      </c>
      <c r="AB64" s="121" t="s">
        <v>438</v>
      </c>
      <c r="AC64" s="117" t="s">
        <v>281</v>
      </c>
      <c r="AD64" s="117" t="s">
        <v>439</v>
      </c>
      <c r="AE64" s="220"/>
      <c r="AF64" s="220"/>
      <c r="AG64" s="220"/>
      <c r="AH64" s="220"/>
    </row>
    <row r="65" ht="15.75" customHeight="1">
      <c r="A65" s="126"/>
      <c r="B65" s="236" t="s">
        <v>440</v>
      </c>
      <c r="C65" s="117"/>
      <c r="D65" s="117" t="s">
        <v>277</v>
      </c>
      <c r="E65" s="117" t="s">
        <v>277</v>
      </c>
      <c r="F65" s="117" t="s">
        <v>277</v>
      </c>
      <c r="G65" s="117" t="s">
        <v>277</v>
      </c>
      <c r="H65" s="119" t="s">
        <v>414</v>
      </c>
      <c r="I65" s="119" t="s">
        <v>413</v>
      </c>
      <c r="J65" s="121" t="s">
        <v>115</v>
      </c>
      <c r="K65" s="241">
        <v>45923.0</v>
      </c>
      <c r="L65" s="119"/>
      <c r="M65" s="119"/>
      <c r="N65" s="119"/>
      <c r="O65" s="119"/>
      <c r="P65" s="121" t="s">
        <v>9</v>
      </c>
      <c r="Q65" s="116" t="s">
        <v>442</v>
      </c>
      <c r="R65" s="241">
        <v>45918.0</v>
      </c>
      <c r="S65" s="116">
        <v>10.0</v>
      </c>
      <c r="T65" s="119"/>
      <c r="U65" s="117" t="s">
        <v>9</v>
      </c>
      <c r="V65" s="117" t="s">
        <v>9</v>
      </c>
      <c r="W65" s="117" t="s">
        <v>9</v>
      </c>
      <c r="X65" s="120" t="s">
        <v>125</v>
      </c>
      <c r="Y65" s="117"/>
      <c r="Z65" s="119">
        <v>42571.0</v>
      </c>
      <c r="AA65" s="116">
        <v>2.0</v>
      </c>
      <c r="AB65" s="121" t="s">
        <v>443</v>
      </c>
      <c r="AC65" s="117"/>
      <c r="AD65" s="117"/>
      <c r="AE65" s="220"/>
      <c r="AF65" s="220"/>
      <c r="AG65" s="220"/>
      <c r="AH65" s="220"/>
    </row>
    <row r="66" ht="15.75" customHeight="1">
      <c r="A66" s="124"/>
      <c r="B66" s="114" t="s">
        <v>444</v>
      </c>
      <c r="C66" s="117" t="s">
        <v>445</v>
      </c>
      <c r="D66" s="119">
        <v>45687.0</v>
      </c>
      <c r="E66" s="119">
        <v>45722.0</v>
      </c>
      <c r="F66" s="119">
        <v>45740.0</v>
      </c>
      <c r="G66" s="119">
        <v>45757.0</v>
      </c>
      <c r="H66" s="119">
        <v>45813.0</v>
      </c>
      <c r="I66" s="119">
        <v>45841.0</v>
      </c>
      <c r="J66" s="119">
        <v>45888.0</v>
      </c>
      <c r="K66" s="119">
        <v>45888.0</v>
      </c>
      <c r="L66" s="241">
        <v>45917.0</v>
      </c>
      <c r="M66" s="241">
        <v>45944.0</v>
      </c>
      <c r="N66" s="119"/>
      <c r="O66" s="119"/>
      <c r="P66" s="117" t="s">
        <v>9</v>
      </c>
      <c r="Q66" s="116" t="s">
        <v>447</v>
      </c>
      <c r="R66" s="119">
        <v>45352.0</v>
      </c>
      <c r="S66" s="116">
        <v>20.0</v>
      </c>
      <c r="T66" s="119">
        <v>45686.0</v>
      </c>
      <c r="U66" s="117" t="s">
        <v>9</v>
      </c>
      <c r="V66" s="117" t="s">
        <v>9</v>
      </c>
      <c r="W66" s="117" t="s">
        <v>9</v>
      </c>
      <c r="X66" s="117" t="s">
        <v>102</v>
      </c>
      <c r="Y66" s="117" t="s">
        <v>26</v>
      </c>
      <c r="Z66" s="119">
        <v>41247.0</v>
      </c>
      <c r="AA66" s="116">
        <v>4.0</v>
      </c>
      <c r="AB66" s="121" t="s">
        <v>448</v>
      </c>
      <c r="AC66" s="117" t="s">
        <v>425</v>
      </c>
      <c r="AD66" s="117" t="s">
        <v>449</v>
      </c>
      <c r="AE66" s="220"/>
      <c r="AF66" s="220"/>
      <c r="AG66" s="220"/>
      <c r="AH66" s="220"/>
    </row>
    <row r="67" ht="15.75" customHeight="1">
      <c r="A67" s="126"/>
      <c r="B67" s="215" t="s">
        <v>450</v>
      </c>
      <c r="C67" s="117" t="s">
        <v>451</v>
      </c>
      <c r="D67" s="117" t="s">
        <v>277</v>
      </c>
      <c r="E67" s="117" t="s">
        <v>277</v>
      </c>
      <c r="F67" s="117" t="s">
        <v>277</v>
      </c>
      <c r="G67" s="117" t="s">
        <v>277</v>
      </c>
      <c r="H67" s="119" t="s">
        <v>101</v>
      </c>
      <c r="I67" s="119" t="s">
        <v>101</v>
      </c>
      <c r="J67" s="119"/>
      <c r="K67" s="119"/>
      <c r="L67" s="119"/>
      <c r="M67" s="119"/>
      <c r="N67" s="119"/>
      <c r="O67" s="119"/>
      <c r="P67" s="117" t="s">
        <v>9</v>
      </c>
      <c r="Q67" s="116" t="s">
        <v>452</v>
      </c>
      <c r="R67" s="119"/>
      <c r="S67" s="116">
        <v>10.0</v>
      </c>
      <c r="T67" s="119"/>
      <c r="U67" s="117" t="s">
        <v>9</v>
      </c>
      <c r="V67" s="117" t="s">
        <v>9</v>
      </c>
      <c r="W67" s="117"/>
      <c r="X67" s="117" t="s">
        <v>454</v>
      </c>
      <c r="Y67" s="117"/>
      <c r="Z67" s="119">
        <v>41680.0</v>
      </c>
      <c r="AA67" s="116">
        <v>3.0</v>
      </c>
      <c r="AB67" s="121" t="s">
        <v>455</v>
      </c>
      <c r="AC67" s="117" t="s">
        <v>425</v>
      </c>
      <c r="AD67" s="117" t="s">
        <v>456</v>
      </c>
      <c r="AE67" s="220"/>
      <c r="AF67" s="220"/>
      <c r="AG67" s="220"/>
      <c r="AH67" s="220"/>
    </row>
    <row r="68" ht="15.75" customHeight="1">
      <c r="A68" s="126"/>
      <c r="B68" s="215" t="s">
        <v>457</v>
      </c>
      <c r="C68" s="117"/>
      <c r="D68" s="246"/>
      <c r="E68" s="117" t="s">
        <v>277</v>
      </c>
      <c r="F68" s="117" t="s">
        <v>277</v>
      </c>
      <c r="G68" s="117" t="s">
        <v>277</v>
      </c>
      <c r="H68" s="119">
        <v>45803.0</v>
      </c>
      <c r="I68" s="119"/>
      <c r="J68" s="119"/>
      <c r="K68" s="119"/>
      <c r="L68" s="119"/>
      <c r="M68" s="119"/>
      <c r="N68" s="119"/>
      <c r="O68" s="119"/>
      <c r="P68" s="117"/>
      <c r="Q68" s="118"/>
      <c r="R68" s="119"/>
      <c r="S68" s="116"/>
      <c r="T68" s="119"/>
      <c r="U68" s="117"/>
      <c r="V68" s="117"/>
      <c r="W68" s="117"/>
      <c r="X68" s="118"/>
      <c r="Y68" s="117"/>
      <c r="Z68" s="119"/>
      <c r="AA68" s="116">
        <v>2.0</v>
      </c>
      <c r="AB68" s="117"/>
      <c r="AC68" s="117"/>
      <c r="AD68" s="117"/>
      <c r="AE68" s="220"/>
      <c r="AF68" s="220"/>
      <c r="AG68" s="220"/>
      <c r="AH68" s="220"/>
    </row>
    <row r="69" ht="15.75" customHeight="1">
      <c r="A69" s="126"/>
      <c r="B69" s="215" t="s">
        <v>459</v>
      </c>
      <c r="C69" s="117" t="s">
        <v>460</v>
      </c>
      <c r="D69" s="117" t="s">
        <v>277</v>
      </c>
      <c r="E69" s="117" t="s">
        <v>277</v>
      </c>
      <c r="F69" s="117" t="s">
        <v>277</v>
      </c>
      <c r="G69" s="117" t="s">
        <v>277</v>
      </c>
      <c r="H69" s="119">
        <v>45799.0</v>
      </c>
      <c r="I69" s="119"/>
      <c r="J69" s="119"/>
      <c r="K69" s="119"/>
      <c r="L69" s="119"/>
      <c r="M69" s="119"/>
      <c r="N69" s="119"/>
      <c r="O69" s="119"/>
      <c r="P69" s="117" t="s">
        <v>9</v>
      </c>
      <c r="Q69" s="116" t="s">
        <v>462</v>
      </c>
      <c r="R69" s="241">
        <v>45919.0</v>
      </c>
      <c r="S69" s="116">
        <v>10.0</v>
      </c>
      <c r="T69" s="119"/>
      <c r="U69" s="117" t="s">
        <v>9</v>
      </c>
      <c r="V69" s="117" t="s">
        <v>9</v>
      </c>
      <c r="W69" s="117" t="s">
        <v>9</v>
      </c>
      <c r="X69" s="118"/>
      <c r="Y69" s="117"/>
      <c r="Z69" s="119">
        <v>40806.0</v>
      </c>
      <c r="AA69" s="116">
        <v>2.0</v>
      </c>
      <c r="AB69" s="121" t="s">
        <v>463</v>
      </c>
      <c r="AC69" s="117" t="s">
        <v>464</v>
      </c>
      <c r="AD69" s="117" t="s">
        <v>465</v>
      </c>
      <c r="AE69" s="220"/>
      <c r="AF69" s="220"/>
      <c r="AG69" s="220"/>
      <c r="AH69" s="220"/>
    </row>
    <row r="70" ht="15.75" customHeight="1">
      <c r="A70" s="124"/>
      <c r="B70" s="114" t="s">
        <v>466</v>
      </c>
      <c r="C70" s="228"/>
      <c r="D70" s="231"/>
      <c r="E70" s="231"/>
      <c r="F70" s="228"/>
      <c r="G70" s="228"/>
      <c r="H70" s="228"/>
      <c r="I70" s="228"/>
      <c r="J70" s="115" t="s">
        <v>277</v>
      </c>
      <c r="K70" s="115" t="s">
        <v>413</v>
      </c>
      <c r="L70" s="115" t="s">
        <v>413</v>
      </c>
      <c r="M70" s="248">
        <v>45939.0</v>
      </c>
      <c r="N70" s="228"/>
      <c r="O70" s="228"/>
      <c r="P70" s="115" t="s">
        <v>467</v>
      </c>
      <c r="Q70" s="230" t="s">
        <v>468</v>
      </c>
      <c r="R70" s="228"/>
      <c r="S70" s="115">
        <v>10.0</v>
      </c>
      <c r="T70" s="231"/>
      <c r="U70" s="228"/>
      <c r="V70" s="231"/>
      <c r="W70" s="228"/>
      <c r="X70" s="250"/>
      <c r="Y70" s="228"/>
      <c r="Z70" s="231"/>
      <c r="AA70" s="228"/>
      <c r="AB70" s="228"/>
      <c r="AC70" s="228"/>
      <c r="AD70" s="228"/>
      <c r="AE70" s="251"/>
      <c r="AF70" s="251"/>
      <c r="AG70" s="251"/>
      <c r="AH70" s="251"/>
    </row>
    <row r="71" ht="15.75" customHeight="1">
      <c r="A71" s="126"/>
      <c r="B71" s="215" t="s">
        <v>140</v>
      </c>
      <c r="C71" s="117" t="s">
        <v>470</v>
      </c>
      <c r="D71" s="117" t="s">
        <v>277</v>
      </c>
      <c r="E71" s="117" t="s">
        <v>277</v>
      </c>
      <c r="F71" s="117" t="s">
        <v>277</v>
      </c>
      <c r="G71" s="117" t="s">
        <v>277</v>
      </c>
      <c r="H71" s="119" t="s">
        <v>412</v>
      </c>
      <c r="I71" s="119" t="s">
        <v>412</v>
      </c>
      <c r="J71" s="119" t="s">
        <v>414</v>
      </c>
      <c r="K71" s="119" t="s">
        <v>414</v>
      </c>
      <c r="L71" s="119"/>
      <c r="M71" s="119"/>
      <c r="N71" s="119"/>
      <c r="O71" s="119"/>
      <c r="P71" s="117" t="s">
        <v>9</v>
      </c>
      <c r="Q71" s="116" t="s">
        <v>474</v>
      </c>
      <c r="R71" s="241">
        <v>45908.0</v>
      </c>
      <c r="S71" s="116">
        <v>20.0</v>
      </c>
      <c r="T71" s="119"/>
      <c r="U71" s="117"/>
      <c r="V71" s="121" t="s">
        <v>467</v>
      </c>
      <c r="W71" s="121" t="s">
        <v>475</v>
      </c>
      <c r="X71" s="117" t="s">
        <v>116</v>
      </c>
      <c r="Y71" s="121" t="s">
        <v>26</v>
      </c>
      <c r="Z71" s="119">
        <v>43346.0</v>
      </c>
      <c r="AA71" s="116">
        <v>1.0</v>
      </c>
      <c r="AB71" s="121" t="s">
        <v>476</v>
      </c>
      <c r="AC71" s="117" t="s">
        <v>134</v>
      </c>
      <c r="AD71" s="117" t="s">
        <v>477</v>
      </c>
      <c r="AE71" s="220"/>
      <c r="AF71" s="220"/>
      <c r="AG71" s="220"/>
      <c r="AH71" s="220"/>
    </row>
    <row r="72" ht="15.75" customHeight="1">
      <c r="A72" s="124"/>
      <c r="B72" s="114" t="s">
        <v>478</v>
      </c>
      <c r="C72" s="115"/>
      <c r="D72" s="117" t="s">
        <v>277</v>
      </c>
      <c r="E72" s="117" t="s">
        <v>277</v>
      </c>
      <c r="F72" s="117" t="s">
        <v>277</v>
      </c>
      <c r="G72" s="117" t="s">
        <v>277</v>
      </c>
      <c r="H72" s="117" t="s">
        <v>277</v>
      </c>
      <c r="I72" s="117" t="s">
        <v>277</v>
      </c>
      <c r="J72" s="117" t="s">
        <v>277</v>
      </c>
      <c r="K72" s="117" t="s">
        <v>277</v>
      </c>
      <c r="L72" s="117" t="s">
        <v>277</v>
      </c>
      <c r="M72" s="117" t="s">
        <v>277</v>
      </c>
      <c r="N72" s="248">
        <v>45972.0</v>
      </c>
      <c r="O72" s="228"/>
      <c r="P72" s="115" t="s">
        <v>467</v>
      </c>
      <c r="Q72" s="230" t="s">
        <v>479</v>
      </c>
      <c r="R72" s="228"/>
      <c r="S72" s="115"/>
      <c r="T72" s="231"/>
      <c r="U72" s="115"/>
      <c r="V72" s="115"/>
      <c r="W72" s="115"/>
      <c r="X72" s="230"/>
      <c r="Y72" s="228"/>
      <c r="Z72" s="253"/>
      <c r="AA72" s="115"/>
      <c r="AB72" s="115"/>
      <c r="AC72" s="115"/>
      <c r="AD72" s="115"/>
      <c r="AE72" s="232"/>
      <c r="AF72" s="232"/>
      <c r="AG72" s="232"/>
      <c r="AH72" s="232"/>
    </row>
    <row r="73" ht="15.75" customHeight="1">
      <c r="A73" s="126"/>
      <c r="B73" s="215" t="s">
        <v>480</v>
      </c>
      <c r="C73" s="117" t="s">
        <v>481</v>
      </c>
      <c r="D73" s="117" t="s">
        <v>277</v>
      </c>
      <c r="E73" s="117" t="s">
        <v>277</v>
      </c>
      <c r="F73" s="117" t="s">
        <v>277</v>
      </c>
      <c r="G73" s="117" t="s">
        <v>277</v>
      </c>
      <c r="H73" s="119"/>
      <c r="I73" s="119"/>
      <c r="J73" s="119"/>
      <c r="K73" s="119"/>
      <c r="L73" s="119"/>
      <c r="M73" s="119"/>
      <c r="N73" s="119"/>
      <c r="O73" s="119"/>
      <c r="P73" s="117" t="s">
        <v>9</v>
      </c>
      <c r="Q73" s="118"/>
      <c r="R73" s="119"/>
      <c r="S73" s="116">
        <v>20.0</v>
      </c>
      <c r="T73" s="119"/>
      <c r="U73" s="117"/>
      <c r="V73" s="117"/>
      <c r="W73" s="117"/>
      <c r="X73" s="118"/>
      <c r="Y73" s="117"/>
      <c r="Z73" s="119">
        <v>40639.0</v>
      </c>
      <c r="AA73" s="116">
        <v>2.0</v>
      </c>
      <c r="AB73" s="121" t="s">
        <v>484</v>
      </c>
      <c r="AC73" s="117" t="s">
        <v>128</v>
      </c>
      <c r="AD73" s="117" t="s">
        <v>485</v>
      </c>
      <c r="AE73" s="220"/>
      <c r="AF73" s="220"/>
      <c r="AG73" s="220"/>
      <c r="AH73" s="220"/>
    </row>
    <row r="74" ht="15.75" customHeight="1">
      <c r="A74" s="126"/>
      <c r="B74" s="215" t="s">
        <v>486</v>
      </c>
      <c r="C74" s="117" t="s">
        <v>487</v>
      </c>
      <c r="D74" s="117" t="s">
        <v>277</v>
      </c>
      <c r="E74" s="117" t="s">
        <v>277</v>
      </c>
      <c r="F74" s="117" t="s">
        <v>277</v>
      </c>
      <c r="G74" s="117" t="s">
        <v>277</v>
      </c>
      <c r="H74" s="119" t="s">
        <v>101</v>
      </c>
      <c r="I74" s="119" t="s">
        <v>101</v>
      </c>
      <c r="J74" s="119" t="s">
        <v>101</v>
      </c>
      <c r="K74" s="121" t="s">
        <v>101</v>
      </c>
      <c r="L74" s="241">
        <v>45916.0</v>
      </c>
      <c r="M74" s="119"/>
      <c r="N74" s="241">
        <v>45979.0</v>
      </c>
      <c r="O74" s="119"/>
      <c r="P74" s="117" t="s">
        <v>9</v>
      </c>
      <c r="Q74" s="118"/>
      <c r="R74" s="119"/>
      <c r="S74" s="116">
        <v>20.0</v>
      </c>
      <c r="T74" s="119"/>
      <c r="U74" s="117"/>
      <c r="V74" s="117" t="s">
        <v>24</v>
      </c>
      <c r="W74" s="117" t="s">
        <v>24</v>
      </c>
      <c r="X74" s="118"/>
      <c r="Y74" s="117"/>
      <c r="Z74" s="119">
        <v>44211.0</v>
      </c>
      <c r="AA74" s="116">
        <v>4.0</v>
      </c>
      <c r="AB74" s="121" t="s">
        <v>488</v>
      </c>
      <c r="AC74" s="117" t="s">
        <v>489</v>
      </c>
      <c r="AD74" s="117" t="s">
        <v>490</v>
      </c>
      <c r="AE74" s="220"/>
      <c r="AF74" s="220"/>
      <c r="AG74" s="220"/>
      <c r="AH74" s="220"/>
    </row>
    <row r="75" ht="15.75" customHeight="1">
      <c r="A75" s="126"/>
      <c r="B75" s="215" t="s">
        <v>493</v>
      </c>
      <c r="C75" s="117"/>
      <c r="D75" s="117" t="s">
        <v>277</v>
      </c>
      <c r="E75" s="117" t="s">
        <v>277</v>
      </c>
      <c r="F75" s="117" t="s">
        <v>277</v>
      </c>
      <c r="G75" s="117" t="s">
        <v>277</v>
      </c>
      <c r="H75" s="121" t="s">
        <v>414</v>
      </c>
      <c r="I75" s="241">
        <v>45811.0</v>
      </c>
      <c r="J75" s="241">
        <v>45840.0</v>
      </c>
      <c r="K75" s="259">
        <v>45869.0</v>
      </c>
      <c r="L75" s="241">
        <v>45898.0</v>
      </c>
      <c r="M75" s="241">
        <v>45930.0</v>
      </c>
      <c r="N75" s="241">
        <v>45958.0</v>
      </c>
      <c r="O75" s="119"/>
      <c r="P75" s="117"/>
      <c r="Q75" s="120" t="s">
        <v>494</v>
      </c>
      <c r="R75" s="241">
        <v>45918.0</v>
      </c>
      <c r="S75" s="121">
        <v>1.0</v>
      </c>
      <c r="T75" s="121" t="s">
        <v>9</v>
      </c>
      <c r="U75" s="117"/>
      <c r="V75" s="117"/>
      <c r="W75" s="121" t="s">
        <v>9</v>
      </c>
      <c r="X75" s="120" t="s">
        <v>125</v>
      </c>
      <c r="Y75" s="117"/>
      <c r="Z75" s="241">
        <v>43064.0</v>
      </c>
      <c r="AA75" s="121">
        <v>4.0</v>
      </c>
      <c r="AB75" s="117"/>
      <c r="AC75" s="117"/>
      <c r="AD75" s="117"/>
      <c r="AE75" s="220"/>
      <c r="AF75" s="220"/>
      <c r="AG75" s="220"/>
      <c r="AH75" s="220"/>
    </row>
    <row r="76" ht="15.75" customHeight="1">
      <c r="A76" s="126"/>
      <c r="B76" s="215" t="s">
        <v>495</v>
      </c>
      <c r="C76" s="117" t="s">
        <v>496</v>
      </c>
      <c r="D76" s="119">
        <v>45685.0</v>
      </c>
      <c r="E76" s="119">
        <v>45723.0</v>
      </c>
      <c r="F76" s="119">
        <v>45755.0</v>
      </c>
      <c r="G76" s="119">
        <v>45785.0</v>
      </c>
      <c r="H76" s="119" t="s">
        <v>101</v>
      </c>
      <c r="I76" s="119" t="s">
        <v>414</v>
      </c>
      <c r="J76" s="119" t="s">
        <v>101</v>
      </c>
      <c r="K76" s="119">
        <v>45890.0</v>
      </c>
      <c r="L76" s="119"/>
      <c r="M76" s="241">
        <v>45939.0</v>
      </c>
      <c r="N76" s="119"/>
      <c r="O76" s="119"/>
      <c r="P76" s="117" t="s">
        <v>9</v>
      </c>
      <c r="Q76" s="116" t="s">
        <v>497</v>
      </c>
      <c r="R76" s="119">
        <v>45337.0</v>
      </c>
      <c r="S76" s="116">
        <v>5.0</v>
      </c>
      <c r="T76" s="119">
        <v>45625.0</v>
      </c>
      <c r="U76" s="117"/>
      <c r="V76" s="117" t="s">
        <v>9</v>
      </c>
      <c r="W76" s="117" t="s">
        <v>9</v>
      </c>
      <c r="X76" s="118"/>
      <c r="Y76" s="117" t="s">
        <v>26</v>
      </c>
      <c r="Z76" s="119">
        <v>41170.0</v>
      </c>
      <c r="AA76" s="116">
        <v>2.0</v>
      </c>
      <c r="AB76" s="121" t="s">
        <v>500</v>
      </c>
      <c r="AC76" s="117" t="s">
        <v>425</v>
      </c>
      <c r="AD76" s="121" t="s">
        <v>501</v>
      </c>
      <c r="AE76" s="260"/>
      <c r="AF76" s="260"/>
      <c r="AG76" s="260"/>
      <c r="AH76" s="260"/>
    </row>
    <row r="77" ht="15.75" customHeight="1">
      <c r="A77" s="126"/>
      <c r="B77" s="215" t="s">
        <v>502</v>
      </c>
      <c r="C77" s="117" t="s">
        <v>503</v>
      </c>
      <c r="D77" s="117" t="s">
        <v>263</v>
      </c>
      <c r="E77" s="117" t="s">
        <v>277</v>
      </c>
      <c r="F77" s="117" t="s">
        <v>277</v>
      </c>
      <c r="G77" s="117">
        <v>45757.0</v>
      </c>
      <c r="H77" s="119">
        <v>45792.0</v>
      </c>
      <c r="I77" s="119">
        <v>45818.0</v>
      </c>
      <c r="J77" s="119">
        <v>45846.0</v>
      </c>
      <c r="K77" s="119">
        <v>45884.0</v>
      </c>
      <c r="L77" s="119"/>
      <c r="M77" s="119"/>
      <c r="N77" s="119"/>
      <c r="O77" s="119"/>
      <c r="P77" s="117" t="s">
        <v>9</v>
      </c>
      <c r="Q77" s="118" t="s">
        <v>504</v>
      </c>
      <c r="R77" s="119">
        <v>45748.0</v>
      </c>
      <c r="S77" s="116">
        <v>10.0</v>
      </c>
      <c r="T77" s="119">
        <v>45748.0</v>
      </c>
      <c r="U77" s="117" t="s">
        <v>9</v>
      </c>
      <c r="V77" s="117" t="s">
        <v>9</v>
      </c>
      <c r="W77" s="117" t="s">
        <v>9</v>
      </c>
      <c r="X77" s="120" t="s">
        <v>125</v>
      </c>
      <c r="Y77" s="117" t="s">
        <v>191</v>
      </c>
      <c r="Z77" s="119">
        <v>41133.0</v>
      </c>
      <c r="AA77" s="116">
        <v>2.0</v>
      </c>
      <c r="AB77" s="121" t="s">
        <v>505</v>
      </c>
      <c r="AC77" s="117" t="s">
        <v>361</v>
      </c>
      <c r="AD77" s="117" t="s">
        <v>506</v>
      </c>
      <c r="AE77" s="220"/>
      <c r="AF77" s="220"/>
      <c r="AG77" s="220"/>
      <c r="AH77" s="220"/>
    </row>
    <row r="78" ht="15.75" customHeight="1">
      <c r="A78" s="126"/>
      <c r="B78" s="236" t="s">
        <v>507</v>
      </c>
      <c r="C78" s="117" t="s">
        <v>508</v>
      </c>
      <c r="D78" s="117" t="s">
        <v>263</v>
      </c>
      <c r="E78" s="117" t="s">
        <v>263</v>
      </c>
      <c r="F78" s="117">
        <v>45723.0</v>
      </c>
      <c r="G78" s="117">
        <v>45754.0</v>
      </c>
      <c r="H78" s="119">
        <v>45785.0</v>
      </c>
      <c r="I78" s="119">
        <v>45811.0</v>
      </c>
      <c r="J78" s="119">
        <v>45811.0</v>
      </c>
      <c r="K78" s="119">
        <v>45876.0</v>
      </c>
      <c r="L78" s="119">
        <v>45902.0</v>
      </c>
      <c r="M78" s="241">
        <v>45933.0</v>
      </c>
      <c r="N78" s="241">
        <v>45965.0</v>
      </c>
      <c r="O78" s="119"/>
      <c r="P78" s="117" t="s">
        <v>9</v>
      </c>
      <c r="Q78" s="116" t="s">
        <v>510</v>
      </c>
      <c r="R78" s="119">
        <v>45726.0</v>
      </c>
      <c r="S78" s="116">
        <v>7.0</v>
      </c>
      <c r="T78" s="119">
        <v>45726.0</v>
      </c>
      <c r="U78" s="117" t="s">
        <v>9</v>
      </c>
      <c r="V78" s="117"/>
      <c r="W78" s="117"/>
      <c r="X78" s="118"/>
      <c r="Y78" s="117"/>
      <c r="Z78" s="119">
        <v>41014.0</v>
      </c>
      <c r="AA78" s="121">
        <v>4.0</v>
      </c>
      <c r="AB78" s="121" t="s">
        <v>511</v>
      </c>
      <c r="AC78" s="117"/>
      <c r="AD78" s="117" t="s">
        <v>512</v>
      </c>
      <c r="AE78" s="220"/>
      <c r="AF78" s="220"/>
      <c r="AG78" s="220"/>
      <c r="AH78" s="220"/>
    </row>
    <row r="79" ht="15.75" customHeight="1">
      <c r="A79" s="126"/>
      <c r="B79" s="215" t="s">
        <v>514</v>
      </c>
      <c r="C79" s="121" t="s">
        <v>515</v>
      </c>
      <c r="D79" s="117"/>
      <c r="E79" s="117"/>
      <c r="F79" s="117"/>
      <c r="G79" s="117"/>
      <c r="H79" s="119"/>
      <c r="I79" s="116">
        <v>23.0</v>
      </c>
      <c r="J79" s="117" t="s">
        <v>9</v>
      </c>
      <c r="K79" s="118" t="s">
        <v>516</v>
      </c>
      <c r="L79" s="119">
        <v>45923.0</v>
      </c>
      <c r="M79" s="119">
        <v>45923.0</v>
      </c>
      <c r="N79" s="117" t="s">
        <v>9</v>
      </c>
      <c r="O79" s="117"/>
      <c r="P79" s="117"/>
      <c r="Q79" s="118" t="s">
        <v>517</v>
      </c>
      <c r="R79" s="117" t="s">
        <v>518</v>
      </c>
      <c r="S79" s="119">
        <v>42823.0</v>
      </c>
      <c r="T79" s="121">
        <v>2.0</v>
      </c>
      <c r="U79" s="121" t="s">
        <v>519</v>
      </c>
      <c r="V79" s="117" t="s">
        <v>119</v>
      </c>
      <c r="W79" s="122" t="s">
        <v>520</v>
      </c>
      <c r="X79" s="123"/>
      <c r="Y79" s="126"/>
      <c r="Z79" s="125"/>
      <c r="AA79" s="123"/>
      <c r="AB79" s="123"/>
      <c r="AC79" s="123"/>
      <c r="AD79" s="123"/>
      <c r="AE79" s="123"/>
      <c r="AF79" s="123"/>
      <c r="AG79" s="123"/>
      <c r="AH79" s="123"/>
    </row>
    <row r="80" ht="15.75" customHeight="1">
      <c r="A80" s="126"/>
      <c r="B80" s="215" t="s">
        <v>521</v>
      </c>
      <c r="C80" s="117" t="s">
        <v>522</v>
      </c>
      <c r="D80" s="117"/>
      <c r="E80" s="117"/>
      <c r="F80" s="117"/>
      <c r="G80" s="117"/>
      <c r="H80" s="117"/>
      <c r="I80" s="116">
        <v>5.0</v>
      </c>
      <c r="J80" s="117" t="s">
        <v>9</v>
      </c>
      <c r="K80" s="118" t="s">
        <v>523</v>
      </c>
      <c r="L80" s="119">
        <v>45715.0</v>
      </c>
      <c r="M80" s="119">
        <v>45715.0</v>
      </c>
      <c r="N80" s="117" t="s">
        <v>9</v>
      </c>
      <c r="O80" s="117" t="s">
        <v>9</v>
      </c>
      <c r="P80" s="117" t="s">
        <v>9</v>
      </c>
      <c r="Q80" s="118"/>
      <c r="R80" s="117"/>
      <c r="S80" s="119">
        <v>41180.0</v>
      </c>
      <c r="T80" s="121">
        <v>3.0</v>
      </c>
      <c r="U80" s="121" t="s">
        <v>524</v>
      </c>
      <c r="V80" s="117" t="s">
        <v>525</v>
      </c>
      <c r="W80" s="122" t="s">
        <v>526</v>
      </c>
      <c r="X80" s="126"/>
      <c r="Y80" s="124"/>
      <c r="Z80" s="126"/>
      <c r="AA80" s="125"/>
      <c r="AB80" s="123"/>
      <c r="AC80" s="123"/>
      <c r="AD80" s="126"/>
      <c r="AE80" s="126"/>
      <c r="AF80" s="126"/>
      <c r="AG80" s="126"/>
      <c r="AH80" s="126"/>
    </row>
    <row r="81" ht="15.75" customHeight="1">
      <c r="A81" s="126"/>
      <c r="B81" s="215" t="s">
        <v>527</v>
      </c>
      <c r="C81" s="117" t="s">
        <v>528</v>
      </c>
      <c r="D81" s="117"/>
      <c r="E81" s="117"/>
      <c r="F81" s="117"/>
      <c r="G81" s="117"/>
      <c r="H81" s="117"/>
      <c r="I81" s="261">
        <v>17.0</v>
      </c>
      <c r="J81" s="262" t="s">
        <v>9</v>
      </c>
      <c r="K81" s="261" t="s">
        <v>530</v>
      </c>
      <c r="L81" s="263"/>
      <c r="M81" s="263"/>
      <c r="N81" s="262" t="s">
        <v>9</v>
      </c>
      <c r="O81" s="262" t="s">
        <v>9</v>
      </c>
      <c r="P81" s="117" t="s">
        <v>9</v>
      </c>
      <c r="Q81" s="118"/>
      <c r="R81" s="117" t="s">
        <v>191</v>
      </c>
      <c r="S81" s="119">
        <v>42285.0</v>
      </c>
      <c r="T81" s="121">
        <v>2.0</v>
      </c>
      <c r="U81" s="121" t="s">
        <v>531</v>
      </c>
      <c r="V81" s="117" t="s">
        <v>532</v>
      </c>
      <c r="W81" s="122" t="s">
        <v>533</v>
      </c>
      <c r="X81" s="126"/>
      <c r="Y81" s="124"/>
      <c r="Z81" s="126"/>
      <c r="AA81" s="125"/>
      <c r="AB81" s="123"/>
      <c r="AC81" s="123"/>
      <c r="AD81" s="126"/>
      <c r="AE81" s="126"/>
      <c r="AF81" s="126"/>
      <c r="AG81" s="126"/>
      <c r="AH81" s="126"/>
    </row>
    <row r="82" ht="15.75" customHeight="1">
      <c r="A82" s="126"/>
      <c r="B82" s="215" t="s">
        <v>535</v>
      </c>
      <c r="C82" s="117" t="s">
        <v>536</v>
      </c>
      <c r="D82" s="117"/>
      <c r="E82" s="117"/>
      <c r="F82" s="117"/>
      <c r="G82" s="117"/>
      <c r="H82" s="117"/>
      <c r="I82" s="115">
        <v>20.0</v>
      </c>
      <c r="J82" s="115" t="s">
        <v>467</v>
      </c>
      <c r="K82" s="230" t="s">
        <v>537</v>
      </c>
      <c r="L82" s="253"/>
      <c r="M82" s="119" t="s">
        <v>9</v>
      </c>
      <c r="N82" s="117"/>
      <c r="O82" s="117" t="s">
        <v>9</v>
      </c>
      <c r="P82" s="115" t="s">
        <v>538</v>
      </c>
      <c r="Q82" s="230" t="s">
        <v>539</v>
      </c>
      <c r="R82" s="121" t="s">
        <v>26</v>
      </c>
      <c r="S82" s="227">
        <v>43393.0</v>
      </c>
      <c r="T82" s="121"/>
      <c r="U82" s="115" t="s">
        <v>540</v>
      </c>
      <c r="V82" s="117" t="s">
        <v>541</v>
      </c>
      <c r="W82" s="122" t="s">
        <v>542</v>
      </c>
      <c r="X82" s="126"/>
      <c r="Y82" s="124"/>
      <c r="Z82" s="126"/>
      <c r="AA82" s="125"/>
      <c r="AB82" s="123"/>
      <c r="AC82" s="123"/>
      <c r="AD82" s="126"/>
      <c r="AE82" s="126"/>
      <c r="AF82" s="126"/>
      <c r="AG82" s="126"/>
      <c r="AH82" s="126"/>
    </row>
    <row r="83" ht="15.75" customHeight="1">
      <c r="A83" s="124"/>
      <c r="B83" s="114" t="s">
        <v>172</v>
      </c>
      <c r="C83" s="115" t="s">
        <v>203</v>
      </c>
      <c r="D83" s="115"/>
      <c r="E83" s="115"/>
      <c r="F83" s="115"/>
      <c r="G83" s="115"/>
      <c r="H83" s="115"/>
      <c r="I83" s="116">
        <v>10.0</v>
      </c>
      <c r="J83" s="117" t="s">
        <v>9</v>
      </c>
      <c r="K83" s="118" t="s">
        <v>204</v>
      </c>
      <c r="L83" s="119">
        <v>45729.0</v>
      </c>
      <c r="M83" s="119"/>
      <c r="N83" s="118" t="s">
        <v>9</v>
      </c>
      <c r="O83" s="118" t="s">
        <v>9</v>
      </c>
      <c r="P83" s="118" t="s">
        <v>9</v>
      </c>
      <c r="Q83" s="120" t="s">
        <v>125</v>
      </c>
      <c r="R83" s="120" t="s">
        <v>205</v>
      </c>
      <c r="S83" s="119">
        <v>42919.0</v>
      </c>
      <c r="T83" s="121">
        <v>4.0</v>
      </c>
      <c r="U83" s="120" t="s">
        <v>207</v>
      </c>
      <c r="V83" s="117" t="s">
        <v>208</v>
      </c>
      <c r="W83" s="122" t="s">
        <v>209</v>
      </c>
      <c r="X83" s="123"/>
      <c r="Y83" s="124"/>
      <c r="Z83" s="123"/>
      <c r="AA83" s="125"/>
      <c r="AB83" s="123"/>
      <c r="AC83" s="123"/>
      <c r="AD83" s="126"/>
      <c r="AE83" s="126"/>
      <c r="AF83" s="126"/>
      <c r="AG83" s="126"/>
      <c r="AH83" s="126"/>
    </row>
    <row r="84" ht="15.75" customHeight="1">
      <c r="A84" s="124"/>
      <c r="B84" s="264" t="s">
        <v>545</v>
      </c>
      <c r="C84" s="117"/>
      <c r="D84" s="117"/>
      <c r="E84" s="119"/>
      <c r="F84" s="119"/>
      <c r="G84" s="119"/>
      <c r="H84" s="119"/>
      <c r="I84" s="116">
        <v>10.0</v>
      </c>
      <c r="J84" s="117" t="s">
        <v>9</v>
      </c>
      <c r="K84" s="116" t="s">
        <v>547</v>
      </c>
      <c r="L84" s="119">
        <v>45866.0</v>
      </c>
      <c r="M84" s="119">
        <v>45884.0</v>
      </c>
      <c r="N84" s="117" t="s">
        <v>9</v>
      </c>
      <c r="O84" s="117" t="s">
        <v>9</v>
      </c>
      <c r="P84" s="117" t="s">
        <v>9</v>
      </c>
      <c r="Q84" s="117" t="s">
        <v>549</v>
      </c>
      <c r="R84" s="117" t="s">
        <v>260</v>
      </c>
      <c r="S84" s="119">
        <v>43378.0</v>
      </c>
      <c r="T84" s="121">
        <v>4.0</v>
      </c>
      <c r="U84" s="121" t="s">
        <v>551</v>
      </c>
      <c r="V84" s="121" t="s">
        <v>552</v>
      </c>
      <c r="W84" s="122" t="s">
        <v>553</v>
      </c>
      <c r="X84" s="124"/>
      <c r="Y84" s="124"/>
      <c r="Z84" s="124"/>
      <c r="AA84" s="125"/>
      <c r="AB84" s="123"/>
      <c r="AC84" s="124"/>
      <c r="AD84" s="126"/>
      <c r="AE84" s="126"/>
      <c r="AF84" s="126"/>
      <c r="AG84" s="126"/>
      <c r="AH84" s="126"/>
    </row>
    <row r="85" ht="15.75" customHeight="1">
      <c r="A85" s="123" t="s">
        <v>554</v>
      </c>
      <c r="B85" s="215" t="s">
        <v>555</v>
      </c>
      <c r="C85" s="117" t="s">
        <v>556</v>
      </c>
      <c r="D85" s="117"/>
      <c r="E85" s="117"/>
      <c r="F85" s="117"/>
      <c r="G85" s="117"/>
      <c r="H85" s="117"/>
      <c r="I85" s="116">
        <v>20.0</v>
      </c>
      <c r="J85" s="117" t="s">
        <v>9</v>
      </c>
      <c r="K85" s="116" t="s">
        <v>557</v>
      </c>
      <c r="L85" s="119">
        <v>45671.0</v>
      </c>
      <c r="M85" s="119">
        <v>45671.0</v>
      </c>
      <c r="N85" s="117" t="s">
        <v>9</v>
      </c>
      <c r="O85" s="117"/>
      <c r="P85" s="117" t="s">
        <v>9</v>
      </c>
      <c r="Q85" s="120" t="s">
        <v>125</v>
      </c>
      <c r="R85" s="117"/>
      <c r="S85" s="119">
        <v>42842.0</v>
      </c>
      <c r="T85" s="121">
        <v>2.0</v>
      </c>
      <c r="U85" s="121" t="s">
        <v>558</v>
      </c>
      <c r="V85" s="117" t="s">
        <v>559</v>
      </c>
      <c r="W85" s="122" t="s">
        <v>560</v>
      </c>
      <c r="X85" s="126"/>
      <c r="Y85" s="126"/>
      <c r="Z85" s="126"/>
      <c r="AA85" s="125"/>
      <c r="AB85" s="123"/>
      <c r="AC85" s="123"/>
      <c r="AD85" s="123"/>
      <c r="AE85" s="123"/>
      <c r="AF85" s="123"/>
      <c r="AG85" s="123"/>
      <c r="AH85" s="123"/>
    </row>
    <row r="86" ht="15.75" customHeight="1">
      <c r="A86" s="265"/>
      <c r="B86" s="114" t="s">
        <v>562</v>
      </c>
      <c r="C86" s="117" t="s">
        <v>563</v>
      </c>
      <c r="D86" s="117"/>
      <c r="E86" s="117"/>
      <c r="F86" s="119"/>
      <c r="G86" s="119"/>
      <c r="H86" s="119"/>
      <c r="I86" s="121">
        <v>15.0</v>
      </c>
      <c r="J86" s="117" t="s">
        <v>9</v>
      </c>
      <c r="K86" s="116" t="s">
        <v>564</v>
      </c>
      <c r="L86" s="119">
        <v>45890.0</v>
      </c>
      <c r="M86" s="119">
        <v>45867.0</v>
      </c>
      <c r="N86" s="117" t="s">
        <v>9</v>
      </c>
      <c r="O86" s="117" t="s">
        <v>9</v>
      </c>
      <c r="P86" s="117" t="s">
        <v>9</v>
      </c>
      <c r="Q86" s="117" t="s">
        <v>102</v>
      </c>
      <c r="R86" s="117" t="s">
        <v>205</v>
      </c>
      <c r="S86" s="119">
        <v>42549.0</v>
      </c>
      <c r="T86" s="121">
        <v>2.0</v>
      </c>
      <c r="U86" s="121" t="s">
        <v>566</v>
      </c>
      <c r="V86" s="117" t="s">
        <v>559</v>
      </c>
      <c r="W86" s="122" t="s">
        <v>567</v>
      </c>
      <c r="X86" s="126"/>
      <c r="Y86" s="124"/>
      <c r="Z86" s="126"/>
      <c r="AA86" s="125"/>
      <c r="AB86" s="123"/>
      <c r="AC86" s="123"/>
      <c r="AD86" s="126"/>
      <c r="AE86" s="126"/>
      <c r="AF86" s="126"/>
      <c r="AG86" s="126"/>
      <c r="AH86" s="126"/>
    </row>
    <row r="87" ht="15.75" customHeight="1">
      <c r="A87" s="265"/>
      <c r="B87" s="215" t="s">
        <v>568</v>
      </c>
      <c r="C87" s="117" t="s">
        <v>569</v>
      </c>
      <c r="D87" s="117"/>
      <c r="E87" s="119"/>
      <c r="F87" s="119"/>
      <c r="G87" s="119"/>
      <c r="H87" s="119"/>
      <c r="I87" s="116">
        <v>10.0</v>
      </c>
      <c r="J87" s="117" t="s">
        <v>9</v>
      </c>
      <c r="K87" s="116" t="s">
        <v>571</v>
      </c>
      <c r="L87" s="119"/>
      <c r="M87" s="119"/>
      <c r="N87" s="117" t="s">
        <v>9</v>
      </c>
      <c r="O87" s="117" t="s">
        <v>9</v>
      </c>
      <c r="P87" s="117" t="s">
        <v>9</v>
      </c>
      <c r="Q87" s="120" t="s">
        <v>125</v>
      </c>
      <c r="R87" s="117" t="s">
        <v>191</v>
      </c>
      <c r="S87" s="119">
        <v>42056.0</v>
      </c>
      <c r="T87" s="121">
        <v>2.0</v>
      </c>
      <c r="U87" s="121" t="s">
        <v>572</v>
      </c>
      <c r="V87" s="117" t="s">
        <v>134</v>
      </c>
      <c r="W87" s="122" t="s">
        <v>574</v>
      </c>
      <c r="X87" s="126"/>
      <c r="Y87" s="126"/>
      <c r="Z87" s="126"/>
      <c r="AA87" s="125"/>
      <c r="AB87" s="123"/>
      <c r="AC87" s="123"/>
      <c r="AD87" s="126"/>
      <c r="AE87" s="126"/>
      <c r="AF87" s="126"/>
      <c r="AG87" s="126"/>
      <c r="AH87" s="126"/>
    </row>
    <row r="88" ht="15.75" customHeight="1">
      <c r="A88" s="265"/>
      <c r="B88" s="215" t="s">
        <v>575</v>
      </c>
      <c r="C88" s="117" t="s">
        <v>576</v>
      </c>
      <c r="D88" s="117"/>
      <c r="E88" s="119"/>
      <c r="F88" s="119"/>
      <c r="G88" s="119"/>
      <c r="H88" s="119"/>
      <c r="I88" s="116">
        <v>10.0</v>
      </c>
      <c r="J88" s="117" t="s">
        <v>9</v>
      </c>
      <c r="K88" s="116" t="s">
        <v>577</v>
      </c>
      <c r="L88" s="119">
        <v>45679.0</v>
      </c>
      <c r="M88" s="119">
        <v>45679.0</v>
      </c>
      <c r="N88" s="117" t="s">
        <v>9</v>
      </c>
      <c r="O88" s="117" t="s">
        <v>9</v>
      </c>
      <c r="P88" s="117" t="s">
        <v>9</v>
      </c>
      <c r="Q88" s="117" t="s">
        <v>578</v>
      </c>
      <c r="R88" s="117" t="s">
        <v>191</v>
      </c>
      <c r="S88" s="119">
        <v>43881.0</v>
      </c>
      <c r="T88" s="121">
        <v>1.0</v>
      </c>
      <c r="U88" s="121" t="s">
        <v>579</v>
      </c>
      <c r="V88" s="117" t="s">
        <v>325</v>
      </c>
      <c r="W88" s="122" t="s">
        <v>580</v>
      </c>
      <c r="X88" s="126"/>
      <c r="Y88" s="124"/>
      <c r="Z88" s="126"/>
      <c r="AA88" s="125"/>
      <c r="AB88" s="123"/>
      <c r="AC88" s="123"/>
      <c r="AD88" s="126"/>
      <c r="AE88" s="126"/>
      <c r="AF88" s="126"/>
      <c r="AG88" s="126"/>
      <c r="AH88" s="126"/>
    </row>
    <row r="89" ht="15.75" customHeight="1">
      <c r="A89" s="123" t="s">
        <v>582</v>
      </c>
      <c r="B89" s="215" t="s">
        <v>583</v>
      </c>
      <c r="C89" s="117" t="s">
        <v>584</v>
      </c>
      <c r="D89" s="117"/>
      <c r="E89" s="119"/>
      <c r="F89" s="119"/>
      <c r="G89" s="119"/>
      <c r="H89" s="119"/>
      <c r="I89" s="115"/>
      <c r="J89" s="115" t="s">
        <v>467</v>
      </c>
      <c r="K89" s="230" t="s">
        <v>585</v>
      </c>
      <c r="L89" s="228"/>
      <c r="M89" s="231"/>
      <c r="N89" s="115"/>
      <c r="O89" s="115"/>
      <c r="P89" s="115" t="s">
        <v>9</v>
      </c>
      <c r="Q89" s="230"/>
      <c r="R89" s="228"/>
      <c r="S89" s="227">
        <v>41248.0</v>
      </c>
      <c r="T89" s="121"/>
      <c r="U89" s="115"/>
      <c r="V89" s="115" t="s">
        <v>586</v>
      </c>
      <c r="W89" s="266" t="s">
        <v>587</v>
      </c>
      <c r="X89" s="126"/>
      <c r="Y89" s="126"/>
      <c r="Z89" s="126"/>
      <c r="AA89" s="125"/>
      <c r="AB89" s="123"/>
      <c r="AC89" s="123"/>
      <c r="AD89" s="126"/>
      <c r="AE89" s="126"/>
      <c r="AF89" s="126"/>
      <c r="AG89" s="126"/>
      <c r="AH89" s="126"/>
    </row>
    <row r="90" ht="15.75" customHeight="1">
      <c r="A90" s="123" t="s">
        <v>588</v>
      </c>
      <c r="B90" s="114" t="s">
        <v>589</v>
      </c>
      <c r="C90" s="115" t="s">
        <v>590</v>
      </c>
      <c r="D90" s="115"/>
      <c r="E90" s="227"/>
      <c r="F90" s="227"/>
      <c r="G90" s="115"/>
      <c r="H90" s="115"/>
      <c r="I90" s="116">
        <v>15.0</v>
      </c>
      <c r="J90" s="117" t="s">
        <v>9</v>
      </c>
      <c r="K90" s="116" t="s">
        <v>591</v>
      </c>
      <c r="L90" s="119">
        <v>45574.0</v>
      </c>
      <c r="M90" s="119">
        <v>45574.0</v>
      </c>
      <c r="N90" s="117" t="s">
        <v>9</v>
      </c>
      <c r="O90" s="117" t="s">
        <v>9</v>
      </c>
      <c r="P90" s="117" t="s">
        <v>9</v>
      </c>
      <c r="Q90" s="120" t="s">
        <v>125</v>
      </c>
      <c r="R90" s="117" t="s">
        <v>260</v>
      </c>
      <c r="S90" s="119">
        <v>43029.0</v>
      </c>
      <c r="T90" s="121">
        <v>3.0</v>
      </c>
      <c r="U90" s="121" t="s">
        <v>592</v>
      </c>
      <c r="V90" s="117" t="s">
        <v>134</v>
      </c>
      <c r="W90" s="122" t="s">
        <v>593</v>
      </c>
      <c r="X90" s="123"/>
      <c r="Y90" s="124"/>
      <c r="Z90" s="265"/>
      <c r="AA90" s="125"/>
      <c r="AB90" s="123"/>
      <c r="AC90" s="123"/>
      <c r="AD90" s="123"/>
      <c r="AE90" s="123"/>
      <c r="AF90" s="123"/>
      <c r="AG90" s="123"/>
      <c r="AH90" s="123"/>
    </row>
    <row r="91" ht="15.75" customHeight="1">
      <c r="A91" s="265"/>
      <c r="B91" s="215" t="s">
        <v>594</v>
      </c>
      <c r="C91" s="117" t="s">
        <v>595</v>
      </c>
      <c r="D91" s="117"/>
      <c r="E91" s="117"/>
      <c r="F91" s="119"/>
      <c r="G91" s="119"/>
      <c r="H91" s="119"/>
      <c r="I91" s="116">
        <v>20.0</v>
      </c>
      <c r="J91" s="117" t="s">
        <v>9</v>
      </c>
      <c r="K91" s="116" t="s">
        <v>597</v>
      </c>
      <c r="L91" s="119">
        <v>45910.0</v>
      </c>
      <c r="M91" s="119"/>
      <c r="N91" s="117"/>
      <c r="O91" s="117"/>
      <c r="P91" s="117"/>
      <c r="Q91" s="118"/>
      <c r="R91" s="117"/>
      <c r="S91" s="119">
        <v>42580.0</v>
      </c>
      <c r="T91" s="121">
        <v>3.0</v>
      </c>
      <c r="U91" s="121" t="s">
        <v>598</v>
      </c>
      <c r="V91" s="117" t="s">
        <v>599</v>
      </c>
      <c r="W91" s="122" t="s">
        <v>600</v>
      </c>
      <c r="X91" s="126"/>
      <c r="Y91" s="124"/>
      <c r="Z91" s="126"/>
      <c r="AA91" s="125"/>
      <c r="AB91" s="123"/>
      <c r="AC91" s="123"/>
      <c r="AD91" s="126"/>
      <c r="AE91" s="126"/>
      <c r="AF91" s="126"/>
      <c r="AG91" s="126"/>
      <c r="AH91" s="126"/>
    </row>
    <row r="92" ht="15.75" customHeight="1">
      <c r="A92" s="123" t="s">
        <v>601</v>
      </c>
      <c r="B92" s="215" t="s">
        <v>602</v>
      </c>
      <c r="C92" s="117" t="s">
        <v>603</v>
      </c>
      <c r="D92" s="117"/>
      <c r="E92" s="117"/>
      <c r="F92" s="117"/>
      <c r="G92" s="117"/>
      <c r="H92" s="117"/>
      <c r="I92" s="121">
        <v>7.0</v>
      </c>
      <c r="J92" s="117" t="s">
        <v>9</v>
      </c>
      <c r="K92" s="116" t="s">
        <v>604</v>
      </c>
      <c r="L92" s="119">
        <v>45714.0</v>
      </c>
      <c r="M92" s="119">
        <v>45714.0</v>
      </c>
      <c r="N92" s="117" t="s">
        <v>9</v>
      </c>
      <c r="O92" s="117" t="s">
        <v>9</v>
      </c>
      <c r="P92" s="117" t="s">
        <v>9</v>
      </c>
      <c r="Q92" s="120" t="s">
        <v>125</v>
      </c>
      <c r="R92" s="117" t="s">
        <v>26</v>
      </c>
      <c r="S92" s="119">
        <v>41864.0</v>
      </c>
      <c r="T92" s="121">
        <v>2.0</v>
      </c>
      <c r="U92" s="117" t="s">
        <v>605</v>
      </c>
      <c r="V92" s="117" t="s">
        <v>541</v>
      </c>
      <c r="W92" s="122" t="s">
        <v>606</v>
      </c>
      <c r="X92" s="126"/>
      <c r="Y92" s="124"/>
      <c r="Z92" s="126"/>
      <c r="AA92" s="125"/>
      <c r="AB92" s="123"/>
      <c r="AC92" s="123"/>
      <c r="AD92" s="126"/>
      <c r="AE92" s="126"/>
      <c r="AF92" s="126"/>
      <c r="AG92" s="126"/>
      <c r="AH92" s="126"/>
    </row>
    <row r="93" ht="15.75" customHeight="1">
      <c r="A93" s="265"/>
      <c r="B93" s="264" t="s">
        <v>608</v>
      </c>
      <c r="C93" s="117" t="s">
        <v>609</v>
      </c>
      <c r="D93" s="117"/>
      <c r="E93" s="119"/>
      <c r="F93" s="268"/>
      <c r="G93" s="268"/>
      <c r="H93" s="119"/>
      <c r="I93" s="116">
        <v>1.0</v>
      </c>
      <c r="J93" s="117" t="s">
        <v>9</v>
      </c>
      <c r="K93" s="118" t="s">
        <v>610</v>
      </c>
      <c r="L93" s="119">
        <v>45835.0</v>
      </c>
      <c r="M93" s="119">
        <v>45883.0</v>
      </c>
      <c r="N93" s="117"/>
      <c r="O93" s="117"/>
      <c r="P93" s="117" t="s">
        <v>9</v>
      </c>
      <c r="Q93" s="118"/>
      <c r="R93" s="121"/>
      <c r="S93" s="119">
        <v>42484.0</v>
      </c>
      <c r="T93" s="121">
        <v>2.0</v>
      </c>
      <c r="U93" s="121" t="s">
        <v>132</v>
      </c>
      <c r="V93" s="117" t="s">
        <v>134</v>
      </c>
      <c r="W93" s="122" t="s">
        <v>135</v>
      </c>
      <c r="X93" s="126"/>
      <c r="Y93" s="124"/>
      <c r="Z93" s="126"/>
      <c r="AA93" s="125"/>
      <c r="AB93" s="123"/>
      <c r="AC93" s="126"/>
      <c r="AD93" s="126"/>
      <c r="AE93" s="126"/>
      <c r="AF93" s="126"/>
      <c r="AG93" s="126"/>
      <c r="AH93" s="126"/>
    </row>
    <row r="94" ht="15.75" customHeight="1">
      <c r="A94" s="265"/>
      <c r="B94" s="264" t="s">
        <v>611</v>
      </c>
      <c r="C94" s="117" t="s">
        <v>612</v>
      </c>
      <c r="D94" s="241">
        <v>45909.0</v>
      </c>
      <c r="E94" s="241" t="s">
        <v>613</v>
      </c>
      <c r="F94" s="241"/>
      <c r="G94" s="117"/>
      <c r="H94" s="117"/>
      <c r="I94" s="269">
        <v>8.0</v>
      </c>
      <c r="J94" s="269" t="s">
        <v>9</v>
      </c>
      <c r="K94" s="270" t="s">
        <v>614</v>
      </c>
      <c r="L94" s="271"/>
      <c r="M94" s="271"/>
      <c r="N94" s="271"/>
      <c r="O94" s="271"/>
      <c r="P94" s="271"/>
      <c r="Q94" s="271"/>
      <c r="R94" s="269" t="s">
        <v>26</v>
      </c>
      <c r="S94" s="272">
        <v>41752.0</v>
      </c>
      <c r="T94" s="269">
        <v>3.0</v>
      </c>
      <c r="U94" s="269" t="s">
        <v>616</v>
      </c>
      <c r="V94" s="269" t="s">
        <v>128</v>
      </c>
      <c r="W94" s="273" t="s">
        <v>618</v>
      </c>
      <c r="X94" s="126"/>
      <c r="Y94" s="124"/>
      <c r="Z94" s="123"/>
      <c r="AA94" s="125"/>
      <c r="AB94" s="123"/>
      <c r="AC94" s="123"/>
      <c r="AD94" s="126"/>
      <c r="AE94" s="126"/>
      <c r="AF94" s="126"/>
      <c r="AG94" s="126"/>
      <c r="AH94" s="126"/>
    </row>
    <row r="95" ht="15.75" customHeight="1">
      <c r="A95" s="265"/>
      <c r="B95" s="264" t="s">
        <v>620</v>
      </c>
      <c r="C95" s="269" t="s">
        <v>621</v>
      </c>
      <c r="D95" s="272">
        <v>46044.0</v>
      </c>
      <c r="E95" s="272">
        <v>46061.0</v>
      </c>
      <c r="F95" s="272"/>
      <c r="G95" s="271"/>
      <c r="H95" s="271"/>
      <c r="I95" s="121">
        <v>5.0</v>
      </c>
      <c r="J95" s="121" t="s">
        <v>624</v>
      </c>
      <c r="K95" s="120" t="s">
        <v>625</v>
      </c>
      <c r="L95" s="119"/>
      <c r="M95" s="119"/>
      <c r="N95" s="117"/>
      <c r="O95" s="117"/>
      <c r="P95" s="117"/>
      <c r="Q95" s="120" t="s">
        <v>125</v>
      </c>
      <c r="R95" s="117"/>
      <c r="S95" s="119">
        <v>42723.0</v>
      </c>
      <c r="T95" s="121">
        <v>4.0</v>
      </c>
      <c r="U95" s="121" t="s">
        <v>626</v>
      </c>
      <c r="V95" s="117" t="s">
        <v>281</v>
      </c>
      <c r="W95" s="122" t="s">
        <v>627</v>
      </c>
      <c r="X95" s="265"/>
      <c r="Y95" s="265"/>
      <c r="Z95" s="123"/>
      <c r="AA95" s="125"/>
      <c r="AB95" s="123"/>
      <c r="AC95" s="123"/>
      <c r="AD95" s="123"/>
      <c r="AE95" s="123"/>
      <c r="AF95" s="123"/>
      <c r="AG95" s="123"/>
      <c r="AH95" s="123"/>
    </row>
    <row r="96" ht="15.75" customHeight="1">
      <c r="A96" s="265"/>
      <c r="B96" s="236" t="s">
        <v>149</v>
      </c>
      <c r="C96" s="117" t="s">
        <v>628</v>
      </c>
      <c r="D96" s="121" t="s">
        <v>197</v>
      </c>
      <c r="E96" s="119"/>
      <c r="F96" s="119"/>
      <c r="G96" s="119"/>
      <c r="H96" s="119"/>
      <c r="I96" s="116">
        <v>10.0</v>
      </c>
      <c r="J96" s="117" t="s">
        <v>9</v>
      </c>
      <c r="K96" s="118" t="s">
        <v>629</v>
      </c>
      <c r="L96" s="119"/>
      <c r="M96" s="119"/>
      <c r="N96" s="118" t="s">
        <v>9</v>
      </c>
      <c r="O96" s="118" t="s">
        <v>9</v>
      </c>
      <c r="P96" s="118" t="s">
        <v>9</v>
      </c>
      <c r="Q96" s="120" t="s">
        <v>125</v>
      </c>
      <c r="R96" s="120"/>
      <c r="S96" s="119">
        <v>42384.0</v>
      </c>
      <c r="T96" s="121">
        <v>2.0</v>
      </c>
      <c r="U96" s="120" t="s">
        <v>631</v>
      </c>
      <c r="V96" s="117"/>
      <c r="W96" s="122"/>
      <c r="X96" s="126"/>
      <c r="Y96" s="124"/>
      <c r="Z96" s="126"/>
      <c r="AA96" s="125"/>
      <c r="AB96" s="123"/>
      <c r="AC96" s="123"/>
      <c r="AD96" s="126"/>
      <c r="AE96" s="126"/>
      <c r="AF96" s="126"/>
      <c r="AG96" s="126"/>
      <c r="AH96" s="126"/>
    </row>
    <row r="97" ht="15.75" customHeight="1">
      <c r="A97" s="265"/>
      <c r="B97" s="264" t="s">
        <v>632</v>
      </c>
      <c r="C97" s="274" t="s">
        <v>633</v>
      </c>
      <c r="D97" s="121" t="s">
        <v>197</v>
      </c>
      <c r="E97" s="119"/>
      <c r="F97" s="119"/>
      <c r="G97" s="119"/>
      <c r="H97" s="119"/>
      <c r="I97" s="116">
        <v>10.0</v>
      </c>
      <c r="J97" s="117" t="s">
        <v>9</v>
      </c>
      <c r="K97" s="118" t="s">
        <v>634</v>
      </c>
      <c r="L97" s="241">
        <v>45918.0</v>
      </c>
      <c r="M97" s="119">
        <v>45695.0</v>
      </c>
      <c r="N97" s="117" t="s">
        <v>9</v>
      </c>
      <c r="O97" s="117" t="s">
        <v>9</v>
      </c>
      <c r="P97" s="117"/>
      <c r="Q97" s="117" t="s">
        <v>102</v>
      </c>
      <c r="R97" s="117"/>
      <c r="S97" s="241">
        <v>43405.0</v>
      </c>
      <c r="T97" s="121">
        <v>2.0</v>
      </c>
      <c r="U97" s="121" t="s">
        <v>635</v>
      </c>
      <c r="V97" s="117" t="s">
        <v>532</v>
      </c>
      <c r="W97" s="122" t="s">
        <v>636</v>
      </c>
      <c r="X97" s="124"/>
      <c r="Y97" s="124"/>
      <c r="Z97" s="124"/>
      <c r="AA97" s="125"/>
      <c r="AB97" s="123"/>
      <c r="AC97" s="124"/>
      <c r="AD97" s="126"/>
      <c r="AE97" s="126"/>
      <c r="AF97" s="126"/>
      <c r="AG97" s="126"/>
      <c r="AH97" s="126"/>
    </row>
    <row r="98" ht="15.75" customHeight="1">
      <c r="A98" s="265"/>
      <c r="B98" s="276" t="s">
        <v>637</v>
      </c>
      <c r="C98" s="277" t="s">
        <v>638</v>
      </c>
      <c r="D98" s="278" t="s">
        <v>197</v>
      </c>
      <c r="E98" s="278" t="s">
        <v>18</v>
      </c>
      <c r="F98" s="278"/>
      <c r="G98" s="279"/>
      <c r="H98" s="279"/>
      <c r="I98" s="116">
        <v>10.0</v>
      </c>
      <c r="J98" s="117" t="s">
        <v>9</v>
      </c>
      <c r="K98" s="116" t="s">
        <v>640</v>
      </c>
      <c r="L98" s="119">
        <v>45798.0</v>
      </c>
      <c r="M98" s="119">
        <v>45811.0</v>
      </c>
      <c r="N98" s="117" t="s">
        <v>9</v>
      </c>
      <c r="O98" s="117" t="s">
        <v>9</v>
      </c>
      <c r="P98" s="117" t="s">
        <v>9</v>
      </c>
      <c r="Q98" s="117" t="s">
        <v>641</v>
      </c>
      <c r="R98" s="117" t="s">
        <v>191</v>
      </c>
      <c r="S98" s="119">
        <v>42653.0</v>
      </c>
      <c r="T98" s="121">
        <v>2.0</v>
      </c>
      <c r="U98" s="121" t="s">
        <v>642</v>
      </c>
      <c r="V98" s="117"/>
      <c r="W98" s="122"/>
      <c r="X98" s="126"/>
      <c r="Y98" s="126"/>
      <c r="Z98" s="126"/>
      <c r="AA98" s="125"/>
      <c r="AB98" s="123"/>
      <c r="AC98" s="123"/>
      <c r="AD98" s="126"/>
      <c r="AE98" s="126"/>
      <c r="AF98" s="126"/>
      <c r="AG98" s="126"/>
      <c r="AH98" s="126"/>
    </row>
    <row r="99" ht="15.75" customHeight="1">
      <c r="A99" s="265"/>
      <c r="B99" s="276" t="s">
        <v>644</v>
      </c>
      <c r="C99" s="274" t="s">
        <v>645</v>
      </c>
      <c r="D99" s="241">
        <v>46051.0</v>
      </c>
      <c r="E99" s="119"/>
      <c r="F99" s="119"/>
      <c r="G99" s="117"/>
      <c r="H99" s="117"/>
      <c r="I99" s="116">
        <v>10.0</v>
      </c>
      <c r="J99" s="117" t="s">
        <v>9</v>
      </c>
      <c r="K99" s="116" t="s">
        <v>114</v>
      </c>
      <c r="L99" s="121" t="s">
        <v>24</v>
      </c>
      <c r="M99" s="119"/>
      <c r="N99" s="117" t="s">
        <v>9</v>
      </c>
      <c r="O99" s="117" t="s">
        <v>101</v>
      </c>
      <c r="P99" s="117" t="s">
        <v>115</v>
      </c>
      <c r="Q99" s="117" t="s">
        <v>116</v>
      </c>
      <c r="R99" s="117"/>
      <c r="S99" s="119">
        <v>42803.0</v>
      </c>
      <c r="T99" s="121">
        <v>2.0</v>
      </c>
      <c r="U99" s="121" t="s">
        <v>118</v>
      </c>
      <c r="V99" s="121" t="s">
        <v>541</v>
      </c>
      <c r="W99" s="122" t="s">
        <v>120</v>
      </c>
      <c r="X99" s="126"/>
      <c r="Y99" s="126"/>
      <c r="Z99" s="126"/>
      <c r="AA99" s="125"/>
      <c r="AB99" s="123"/>
      <c r="AC99" s="123"/>
      <c r="AD99" s="126"/>
      <c r="AE99" s="126"/>
      <c r="AF99" s="126"/>
      <c r="AG99" s="126"/>
      <c r="AH99" s="126"/>
    </row>
    <row r="100" ht="15.75" customHeight="1">
      <c r="A100" s="265"/>
      <c r="B100" s="236" t="s">
        <v>108</v>
      </c>
      <c r="C100" s="274" t="s">
        <v>111</v>
      </c>
      <c r="D100" s="121" t="s">
        <v>18</v>
      </c>
      <c r="E100" s="119"/>
      <c r="F100" s="119"/>
      <c r="G100" s="117"/>
      <c r="H100" s="117"/>
      <c r="I100" s="116">
        <v>1.0</v>
      </c>
      <c r="J100" s="117" t="s">
        <v>9</v>
      </c>
      <c r="K100" s="118" t="s">
        <v>647</v>
      </c>
      <c r="L100" s="119"/>
      <c r="M100" s="119">
        <v>45643.0</v>
      </c>
      <c r="N100" s="117" t="s">
        <v>9</v>
      </c>
      <c r="O100" s="117" t="s">
        <v>9</v>
      </c>
      <c r="P100" s="117"/>
      <c r="Q100" s="118"/>
      <c r="R100" s="117" t="s">
        <v>260</v>
      </c>
      <c r="S100" s="119">
        <v>42058.0</v>
      </c>
      <c r="T100" s="121">
        <v>4.0</v>
      </c>
      <c r="U100" s="121" t="s">
        <v>648</v>
      </c>
      <c r="V100" s="117" t="s">
        <v>649</v>
      </c>
      <c r="W100" s="122" t="s">
        <v>650</v>
      </c>
      <c r="X100" s="126"/>
      <c r="Y100" s="126"/>
      <c r="Z100" s="126"/>
      <c r="AA100" s="125"/>
      <c r="AB100" s="123"/>
      <c r="AC100" s="123"/>
      <c r="AD100" s="123"/>
      <c r="AE100" s="123"/>
      <c r="AF100" s="123"/>
      <c r="AG100" s="123"/>
      <c r="AH100" s="123"/>
    </row>
    <row r="101" ht="15.75" customHeight="1">
      <c r="A101" s="265"/>
      <c r="B101" s="236" t="s">
        <v>652</v>
      </c>
      <c r="C101" s="274" t="s">
        <v>653</v>
      </c>
      <c r="D101" s="121" t="s">
        <v>197</v>
      </c>
      <c r="E101" s="119"/>
      <c r="F101" s="119"/>
      <c r="G101" s="119"/>
      <c r="H101" s="119"/>
      <c r="I101" s="117" t="s">
        <v>9</v>
      </c>
      <c r="J101" s="121" t="s">
        <v>654</v>
      </c>
      <c r="K101" s="120" t="s">
        <v>655</v>
      </c>
      <c r="L101" s="118" t="s">
        <v>656</v>
      </c>
      <c r="M101" s="119"/>
      <c r="N101" s="121" t="s">
        <v>9</v>
      </c>
      <c r="O101" s="121" t="s">
        <v>9</v>
      </c>
      <c r="P101" s="117"/>
      <c r="Q101" s="118"/>
      <c r="R101" s="118"/>
      <c r="S101" s="119">
        <v>42146.0</v>
      </c>
      <c r="T101" s="121">
        <v>4.0</v>
      </c>
      <c r="U101" s="121" t="s">
        <v>241</v>
      </c>
      <c r="V101" s="117" t="s">
        <v>184</v>
      </c>
      <c r="W101" s="122" t="s">
        <v>243</v>
      </c>
      <c r="X101" s="126"/>
      <c r="Y101" s="124"/>
      <c r="Z101" s="126"/>
      <c r="AA101" s="125"/>
      <c r="AB101" s="123"/>
      <c r="AC101" s="123"/>
      <c r="AD101" s="126"/>
      <c r="AE101" s="126"/>
      <c r="AF101" s="126"/>
      <c r="AG101" s="126"/>
      <c r="AH101" s="126"/>
    </row>
    <row r="102" ht="15.75" customHeight="1">
      <c r="A102" s="265"/>
      <c r="B102" s="215" t="s">
        <v>239</v>
      </c>
      <c r="C102" s="280" t="s">
        <v>240</v>
      </c>
      <c r="D102" s="241" t="s">
        <v>115</v>
      </c>
      <c r="E102" s="241">
        <v>46055.0</v>
      </c>
      <c r="F102" s="241">
        <v>46119.0</v>
      </c>
      <c r="G102" s="241"/>
      <c r="H102" s="241"/>
      <c r="I102" s="116">
        <v>30.0</v>
      </c>
      <c r="J102" s="117" t="s">
        <v>9</v>
      </c>
      <c r="K102" s="118" t="s">
        <v>657</v>
      </c>
      <c r="L102" s="119">
        <v>45352.0</v>
      </c>
      <c r="M102" s="119">
        <v>45352.0</v>
      </c>
      <c r="N102" s="121" t="s">
        <v>24</v>
      </c>
      <c r="O102" s="117"/>
      <c r="P102" s="117"/>
      <c r="Q102" s="120" t="s">
        <v>658</v>
      </c>
      <c r="R102" s="117"/>
      <c r="S102" s="119">
        <v>42699.0</v>
      </c>
      <c r="T102" s="121">
        <v>4.0</v>
      </c>
      <c r="U102" s="121" t="s">
        <v>659</v>
      </c>
      <c r="V102" s="121" t="s">
        <v>28</v>
      </c>
      <c r="W102" s="122" t="s">
        <v>661</v>
      </c>
      <c r="X102" s="126"/>
      <c r="Y102" s="124"/>
      <c r="Z102" s="124"/>
      <c r="AA102" s="125"/>
      <c r="AB102" s="123"/>
      <c r="AC102" s="123"/>
      <c r="AD102" s="126"/>
      <c r="AE102" s="126"/>
      <c r="AF102" s="126"/>
      <c r="AG102" s="126"/>
      <c r="AH102" s="126"/>
    </row>
    <row r="103" ht="15.75" customHeight="1">
      <c r="A103" s="265"/>
      <c r="B103" s="215" t="s">
        <v>662</v>
      </c>
      <c r="C103" s="274" t="s">
        <v>663</v>
      </c>
      <c r="D103" s="241"/>
      <c r="E103" s="241"/>
      <c r="F103" s="241"/>
      <c r="G103" s="241"/>
      <c r="H103" s="241"/>
      <c r="I103" s="116">
        <v>10.0</v>
      </c>
      <c r="J103" s="117" t="s">
        <v>9</v>
      </c>
      <c r="K103" s="120" t="s">
        <v>664</v>
      </c>
      <c r="L103" s="119">
        <v>45911.0</v>
      </c>
      <c r="M103" s="119">
        <v>45911.0</v>
      </c>
      <c r="N103" s="117" t="s">
        <v>9</v>
      </c>
      <c r="O103" s="117" t="s">
        <v>9</v>
      </c>
      <c r="P103" s="117" t="s">
        <v>9</v>
      </c>
      <c r="Q103" s="120" t="s">
        <v>539</v>
      </c>
      <c r="R103" s="117"/>
      <c r="S103" s="119">
        <v>41419.0</v>
      </c>
      <c r="T103" s="121">
        <v>2.0</v>
      </c>
      <c r="U103" s="121" t="s">
        <v>665</v>
      </c>
      <c r="V103" s="117" t="s">
        <v>525</v>
      </c>
      <c r="W103" s="122" t="s">
        <v>666</v>
      </c>
      <c r="X103" s="126"/>
      <c r="Y103" s="124"/>
      <c r="Z103" s="126"/>
      <c r="AA103" s="125"/>
      <c r="AB103" s="123"/>
      <c r="AC103" s="123"/>
      <c r="AD103" s="123"/>
      <c r="AE103" s="123"/>
      <c r="AF103" s="123"/>
      <c r="AG103" s="123"/>
      <c r="AH103" s="123"/>
    </row>
    <row r="104" ht="15.75" customHeight="1">
      <c r="A104" s="265"/>
      <c r="B104" s="215" t="s">
        <v>668</v>
      </c>
      <c r="C104" s="274" t="s">
        <v>669</v>
      </c>
      <c r="D104" s="241" t="s">
        <v>414</v>
      </c>
      <c r="E104" s="241">
        <v>46056.0</v>
      </c>
      <c r="F104" s="241"/>
      <c r="G104" s="241"/>
      <c r="H104" s="241"/>
      <c r="I104" s="116">
        <v>20.0</v>
      </c>
      <c r="J104" s="117" t="s">
        <v>9</v>
      </c>
      <c r="K104" s="116" t="s">
        <v>670</v>
      </c>
      <c r="L104" s="119"/>
      <c r="M104" s="119"/>
      <c r="N104" s="121" t="s">
        <v>24</v>
      </c>
      <c r="O104" s="117"/>
      <c r="P104" s="117"/>
      <c r="Q104" s="118"/>
      <c r="R104" s="117" t="s">
        <v>26</v>
      </c>
      <c r="S104" s="119">
        <v>41442.0</v>
      </c>
      <c r="T104" s="121">
        <v>2.0</v>
      </c>
      <c r="U104" s="121" t="s">
        <v>671</v>
      </c>
      <c r="V104" s="117" t="s">
        <v>672</v>
      </c>
      <c r="W104" s="122" t="s">
        <v>673</v>
      </c>
      <c r="X104" s="126"/>
      <c r="Y104" s="124"/>
      <c r="Z104" s="126"/>
      <c r="AA104" s="125"/>
      <c r="AB104" s="123"/>
      <c r="AC104" s="123"/>
      <c r="AD104" s="126"/>
      <c r="AE104" s="126"/>
      <c r="AF104" s="126"/>
      <c r="AG104" s="126"/>
      <c r="AH104" s="126"/>
    </row>
    <row r="105" ht="15.75" customHeight="1">
      <c r="A105" s="265"/>
      <c r="B105" s="215" t="s">
        <v>680</v>
      </c>
      <c r="C105" s="280" t="s">
        <v>681</v>
      </c>
      <c r="D105" s="241">
        <v>46049.0</v>
      </c>
      <c r="E105" s="241">
        <v>46084.0</v>
      </c>
      <c r="F105" s="241"/>
      <c r="G105" s="241"/>
      <c r="H105" s="241"/>
      <c r="I105" s="121">
        <v>20.0</v>
      </c>
      <c r="J105" s="121" t="s">
        <v>9</v>
      </c>
      <c r="K105" s="121" t="s">
        <v>683</v>
      </c>
      <c r="L105" s="241"/>
      <c r="M105" s="119"/>
      <c r="N105" s="121" t="s">
        <v>24</v>
      </c>
      <c r="O105" s="117"/>
      <c r="P105" s="117"/>
      <c r="Q105" s="118"/>
      <c r="R105" s="117"/>
      <c r="S105" s="119"/>
      <c r="T105" s="121"/>
      <c r="U105" s="121"/>
      <c r="V105" s="117"/>
      <c r="W105" s="117"/>
      <c r="X105" s="126"/>
      <c r="Y105" s="124"/>
      <c r="Z105" s="126"/>
      <c r="AA105" s="125"/>
      <c r="AB105" s="123"/>
      <c r="AC105" s="123"/>
      <c r="AD105" s="126"/>
      <c r="AE105" s="126"/>
      <c r="AF105" s="126"/>
      <c r="AG105" s="126"/>
      <c r="AH105" s="126"/>
    </row>
    <row r="106" ht="15.75" customHeight="1">
      <c r="A106" s="265"/>
      <c r="B106" s="114" t="s">
        <v>687</v>
      </c>
      <c r="C106" s="280" t="s">
        <v>689</v>
      </c>
      <c r="D106" s="241" t="s">
        <v>690</v>
      </c>
      <c r="E106" s="241">
        <v>46072.0</v>
      </c>
      <c r="F106" s="241">
        <v>46105.0</v>
      </c>
      <c r="G106" s="241">
        <v>46142.0</v>
      </c>
      <c r="H106" s="241"/>
      <c r="I106" s="115"/>
      <c r="J106" s="115"/>
      <c r="K106" s="230"/>
      <c r="L106" s="227"/>
      <c r="M106" s="227"/>
      <c r="N106" s="115"/>
      <c r="O106" s="115"/>
      <c r="P106" s="115"/>
      <c r="Q106" s="230"/>
      <c r="R106" s="228"/>
      <c r="S106" s="227"/>
      <c r="T106" s="121"/>
      <c r="U106" s="115"/>
      <c r="V106" s="115"/>
      <c r="W106" s="115"/>
      <c r="X106" s="126"/>
      <c r="Y106" s="124"/>
      <c r="Z106" s="126"/>
      <c r="AA106" s="125"/>
      <c r="AB106" s="123"/>
      <c r="AC106" s="123"/>
      <c r="AD106" s="126"/>
      <c r="AE106" s="126"/>
      <c r="AF106" s="126"/>
      <c r="AG106" s="126"/>
      <c r="AH106" s="126"/>
    </row>
    <row r="107" ht="15.75" customHeight="1">
      <c r="A107" s="265"/>
      <c r="B107" s="282" t="s">
        <v>156</v>
      </c>
      <c r="C107" s="284" t="s">
        <v>18</v>
      </c>
      <c r="D107" s="121" t="s">
        <v>18</v>
      </c>
      <c r="E107" s="121" t="s">
        <v>18</v>
      </c>
      <c r="F107" s="121" t="s">
        <v>18</v>
      </c>
      <c r="G107" s="241"/>
      <c r="H107" s="241"/>
      <c r="I107" s="115">
        <v>20.0</v>
      </c>
      <c r="J107" s="115" t="s">
        <v>9</v>
      </c>
      <c r="K107" s="230" t="s">
        <v>700</v>
      </c>
      <c r="L107" s="227"/>
      <c r="M107" s="227"/>
      <c r="N107" s="115"/>
      <c r="O107" s="115"/>
      <c r="P107" s="115"/>
      <c r="Q107" s="230"/>
      <c r="R107" s="228"/>
      <c r="S107" s="227">
        <v>40302.0</v>
      </c>
      <c r="T107" s="121">
        <v>2.0</v>
      </c>
      <c r="U107" s="115" t="s">
        <v>702</v>
      </c>
      <c r="V107" s="115" t="s">
        <v>703</v>
      </c>
      <c r="W107" s="115" t="s">
        <v>704</v>
      </c>
      <c r="X107" s="123"/>
      <c r="Y107" s="124"/>
      <c r="Z107" s="265"/>
      <c r="AA107" s="125"/>
      <c r="AB107" s="123"/>
      <c r="AC107" s="123"/>
      <c r="AD107" s="123"/>
      <c r="AE107" s="123"/>
      <c r="AF107" s="123"/>
      <c r="AG107" s="123"/>
      <c r="AH107" s="123"/>
    </row>
    <row r="108" ht="15.75" customHeight="1">
      <c r="A108" s="265"/>
      <c r="B108" s="114" t="s">
        <v>706</v>
      </c>
      <c r="C108" s="284" t="s">
        <v>708</v>
      </c>
      <c r="D108" s="121" t="s">
        <v>18</v>
      </c>
      <c r="E108" s="121" t="s">
        <v>18</v>
      </c>
      <c r="F108" s="121" t="s">
        <v>18</v>
      </c>
      <c r="G108" s="241"/>
      <c r="H108" s="241"/>
      <c r="I108" s="116">
        <v>12.0</v>
      </c>
      <c r="J108" s="117" t="s">
        <v>9</v>
      </c>
      <c r="K108" s="116" t="s">
        <v>711</v>
      </c>
      <c r="L108" s="119">
        <v>45901.0</v>
      </c>
      <c r="M108" s="119"/>
      <c r="N108" s="117" t="s">
        <v>9</v>
      </c>
      <c r="O108" s="117" t="s">
        <v>9</v>
      </c>
      <c r="P108" s="117" t="s">
        <v>9</v>
      </c>
      <c r="Q108" s="118" t="s">
        <v>25</v>
      </c>
      <c r="R108" s="117" t="s">
        <v>26</v>
      </c>
      <c r="S108" s="119">
        <v>42963.0</v>
      </c>
      <c r="T108" s="121">
        <v>3.0</v>
      </c>
      <c r="U108" s="121" t="s">
        <v>714</v>
      </c>
      <c r="V108" s="117" t="s">
        <v>715</v>
      </c>
      <c r="W108" s="117" t="s">
        <v>716</v>
      </c>
      <c r="X108" s="123"/>
      <c r="Y108" s="124"/>
      <c r="Z108" s="265"/>
      <c r="AA108" s="125"/>
      <c r="AB108" s="123"/>
      <c r="AC108" s="123"/>
      <c r="AD108" s="123"/>
      <c r="AE108" s="123"/>
      <c r="AF108" s="123"/>
      <c r="AG108" s="123"/>
      <c r="AH108" s="123"/>
    </row>
    <row r="109" ht="15.75" customHeight="1">
      <c r="A109" s="265"/>
      <c r="B109" s="215" t="s">
        <v>717</v>
      </c>
      <c r="C109" s="274" t="s">
        <v>718</v>
      </c>
      <c r="D109" s="241" t="s">
        <v>719</v>
      </c>
      <c r="E109" s="241" t="s">
        <v>720</v>
      </c>
      <c r="F109" s="241"/>
      <c r="G109" s="241"/>
      <c r="H109" s="241"/>
      <c r="I109" s="115">
        <v>26.0</v>
      </c>
      <c r="J109" s="115" t="s">
        <v>9</v>
      </c>
      <c r="K109" s="230" t="s">
        <v>722</v>
      </c>
      <c r="L109" s="227"/>
      <c r="M109" s="227"/>
      <c r="N109" s="115"/>
      <c r="O109" s="115"/>
      <c r="P109" s="115"/>
      <c r="Q109" s="230"/>
      <c r="R109" s="228"/>
      <c r="S109" s="227">
        <v>42093.0</v>
      </c>
      <c r="T109" s="121">
        <v>3.0</v>
      </c>
      <c r="U109" s="115"/>
      <c r="V109" s="115" t="s">
        <v>723</v>
      </c>
      <c r="W109" s="115" t="s">
        <v>724</v>
      </c>
      <c r="X109" s="126"/>
      <c r="Y109" s="124"/>
      <c r="Z109" s="126"/>
      <c r="AA109" s="125"/>
      <c r="AB109" s="123"/>
      <c r="AC109" s="123"/>
      <c r="AD109" s="126"/>
      <c r="AE109" s="126"/>
      <c r="AF109" s="126"/>
      <c r="AG109" s="126"/>
      <c r="AH109" s="126"/>
    </row>
    <row r="110" ht="15.75" customHeight="1">
      <c r="A110" s="265"/>
      <c r="B110" s="114" t="s">
        <v>725</v>
      </c>
      <c r="C110" s="284" t="s">
        <v>726</v>
      </c>
      <c r="D110" s="241" t="s">
        <v>18</v>
      </c>
      <c r="E110" s="241" t="s">
        <v>18</v>
      </c>
      <c r="F110" s="241" t="s">
        <v>18</v>
      </c>
      <c r="G110" s="241">
        <v>46107.0</v>
      </c>
      <c r="H110" s="241"/>
      <c r="I110" s="287"/>
      <c r="J110" s="287"/>
      <c r="K110" s="287"/>
      <c r="L110" s="287"/>
      <c r="M110" s="287"/>
      <c r="N110" s="287"/>
      <c r="O110" s="287"/>
      <c r="P110" s="287"/>
      <c r="Q110" s="287"/>
      <c r="R110" s="287"/>
      <c r="S110" s="287"/>
      <c r="T110" s="287"/>
      <c r="U110" s="287"/>
      <c r="V110" s="287"/>
      <c r="W110" s="287"/>
      <c r="X110" s="123"/>
      <c r="Y110" s="124"/>
      <c r="Z110" s="265"/>
      <c r="AA110" s="125"/>
      <c r="AB110" s="123"/>
      <c r="AC110" s="123"/>
      <c r="AD110" s="123"/>
      <c r="AE110" s="123"/>
      <c r="AF110" s="123"/>
      <c r="AG110" s="123"/>
      <c r="AH110" s="123"/>
    </row>
    <row r="111">
      <c r="B111" s="288" t="s">
        <v>729</v>
      </c>
      <c r="C111" s="14" t="s">
        <v>180</v>
      </c>
      <c r="D111" s="25">
        <f>INT((TODAY()-E111)/365.25)</f>
        <v>11</v>
      </c>
      <c r="E111" s="17">
        <v>42250.0</v>
      </c>
      <c r="F111" s="23" t="s">
        <v>747</v>
      </c>
      <c r="G111" s="290" t="s">
        <v>18</v>
      </c>
      <c r="H111" s="291" t="s">
        <v>752</v>
      </c>
      <c r="I111" s="20">
        <v>46037.0</v>
      </c>
      <c r="J111" s="20">
        <v>46056.0</v>
      </c>
      <c r="K111" s="20">
        <v>46090.0</v>
      </c>
      <c r="L111" s="20">
        <v>46118.0</v>
      </c>
      <c r="M111" s="20">
        <v>46154.0</v>
      </c>
      <c r="N111" s="20">
        <v>46182.0</v>
      </c>
      <c r="O111" s="20"/>
      <c r="P111" s="20"/>
      <c r="Q111" s="20"/>
      <c r="R111" s="20"/>
      <c r="S111" s="20"/>
      <c r="T111" s="20"/>
      <c r="U111" s="23">
        <v>10.0</v>
      </c>
      <c r="V111" s="10" t="s">
        <v>9</v>
      </c>
      <c r="W111" s="17"/>
      <c r="X111" s="17"/>
      <c r="Y111" s="14" t="s">
        <v>24</v>
      </c>
      <c r="Z111" s="10"/>
      <c r="AA111" s="10" t="s">
        <v>9</v>
      </c>
      <c r="AB111" s="10" t="s">
        <v>759</v>
      </c>
      <c r="AC111" s="10" t="s">
        <v>26</v>
      </c>
      <c r="AD111" s="14">
        <v>1.0</v>
      </c>
      <c r="AE111" s="14" t="s">
        <v>761</v>
      </c>
      <c r="AF111" s="10" t="s">
        <v>762</v>
      </c>
      <c r="AG111" s="10" t="s">
        <v>763</v>
      </c>
      <c r="AH111" s="81"/>
    </row>
    <row r="112">
      <c r="B112" s="293" t="s">
        <v>142</v>
      </c>
      <c r="C112" s="294" t="s">
        <v>9</v>
      </c>
      <c r="D112" s="294" t="s">
        <v>180</v>
      </c>
      <c r="E112" s="295">
        <f t="shared" ref="E112:E119" si="1">INT((TODAY()-F112)/365.25)</f>
        <v>11</v>
      </c>
      <c r="F112" s="298">
        <v>42274.0</v>
      </c>
      <c r="G112" s="300" t="s">
        <v>765</v>
      </c>
      <c r="H112" s="298" t="s">
        <v>18</v>
      </c>
      <c r="I112" s="301" t="s">
        <v>766</v>
      </c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302">
        <v>20.0</v>
      </c>
      <c r="W112" s="303" t="s">
        <v>9</v>
      </c>
      <c r="X112" s="304"/>
      <c r="Y112" s="304"/>
      <c r="Z112" s="294" t="s">
        <v>24</v>
      </c>
      <c r="AA112" s="303"/>
      <c r="AB112" s="303"/>
      <c r="AC112" s="300"/>
      <c r="AD112" s="303"/>
      <c r="AE112" s="294">
        <v>2.0</v>
      </c>
      <c r="AF112" s="294" t="s">
        <v>768</v>
      </c>
      <c r="AG112" s="303" t="s">
        <v>769</v>
      </c>
      <c r="AH112" s="303" t="s">
        <v>770</v>
      </c>
    </row>
    <row r="113">
      <c r="B113" s="13" t="s">
        <v>1</v>
      </c>
      <c r="C113" s="16" t="s">
        <v>9</v>
      </c>
      <c r="D113" s="16" t="s">
        <v>10</v>
      </c>
      <c r="E113" s="25">
        <f t="shared" si="1"/>
        <v>10</v>
      </c>
      <c r="F113" s="26">
        <v>42335.0</v>
      </c>
      <c r="G113" s="27"/>
      <c r="H113" s="26">
        <v>46105.0</v>
      </c>
      <c r="I113" s="16">
        <v>2.0</v>
      </c>
      <c r="J113" s="29" t="s">
        <v>7</v>
      </c>
      <c r="K113" s="16" t="s">
        <v>18</v>
      </c>
      <c r="L113" s="16" t="s">
        <v>18</v>
      </c>
      <c r="M113" s="26">
        <v>46106.0</v>
      </c>
      <c r="N113" s="26">
        <v>46195.0</v>
      </c>
      <c r="O113" s="26">
        <v>46204.0</v>
      </c>
      <c r="P113" s="26">
        <v>46204.0</v>
      </c>
      <c r="Q113" s="26">
        <v>46231.0</v>
      </c>
      <c r="R113" s="26"/>
      <c r="S113" s="26"/>
      <c r="T113" s="26"/>
      <c r="U113" s="26"/>
      <c r="V113" s="26"/>
      <c r="W113" s="305">
        <v>12.0</v>
      </c>
      <c r="X113" s="37"/>
      <c r="Y113" s="37">
        <v>45672.0</v>
      </c>
      <c r="Z113" s="39" t="s">
        <v>9</v>
      </c>
      <c r="AA113" s="39" t="s">
        <v>9</v>
      </c>
      <c r="AB113" s="39" t="s">
        <v>101</v>
      </c>
      <c r="AC113" s="39" t="s">
        <v>102</v>
      </c>
      <c r="AD113" s="39"/>
      <c r="AE113" s="16" t="s">
        <v>104</v>
      </c>
      <c r="AF113" s="39" t="s">
        <v>105</v>
      </c>
      <c r="AG113" s="16" t="s">
        <v>106</v>
      </c>
      <c r="AH113" s="16" t="s">
        <v>30</v>
      </c>
    </row>
    <row r="114">
      <c r="A114" s="9">
        <f t="shared" ref="A114:A117" si="2">SUMPRODUCT((X114:AG114&lt;&gt;"")*(X114:AG114&lt;&gt;"-"))</f>
        <v>10</v>
      </c>
      <c r="B114" s="306" t="s">
        <v>161</v>
      </c>
      <c r="C114" s="16" t="s">
        <v>9</v>
      </c>
      <c r="D114" s="16" t="s">
        <v>168</v>
      </c>
      <c r="E114" s="25">
        <f t="shared" si="1"/>
        <v>9</v>
      </c>
      <c r="F114" s="26">
        <v>42662.0</v>
      </c>
      <c r="G114" s="27" t="s">
        <v>772</v>
      </c>
      <c r="H114" s="26" t="s">
        <v>18</v>
      </c>
      <c r="I114" s="16">
        <v>4.0</v>
      </c>
      <c r="J114" s="29" t="s">
        <v>773</v>
      </c>
      <c r="K114" s="26">
        <v>46037.0</v>
      </c>
      <c r="L114" s="26">
        <v>46073.0</v>
      </c>
      <c r="M114" s="26">
        <v>46093.0</v>
      </c>
      <c r="N114" s="26">
        <v>46126.0</v>
      </c>
      <c r="O114" s="26">
        <v>46196.0</v>
      </c>
      <c r="P114" s="26">
        <v>46219.0</v>
      </c>
      <c r="Q114" s="26">
        <v>46219.0</v>
      </c>
      <c r="R114" s="26"/>
      <c r="S114" s="26"/>
      <c r="T114" s="26"/>
      <c r="U114" s="26"/>
      <c r="V114" s="26"/>
      <c r="W114" s="305">
        <v>10.0</v>
      </c>
      <c r="X114" s="37">
        <v>45595.0</v>
      </c>
      <c r="Y114" s="37">
        <v>45666.0</v>
      </c>
      <c r="Z114" s="39" t="s">
        <v>9</v>
      </c>
      <c r="AA114" s="39" t="s">
        <v>9</v>
      </c>
      <c r="AB114" s="39" t="s">
        <v>9</v>
      </c>
      <c r="AC114" s="307" t="s">
        <v>539</v>
      </c>
      <c r="AD114" s="39" t="s">
        <v>26</v>
      </c>
      <c r="AE114" s="16" t="s">
        <v>775</v>
      </c>
      <c r="AF114" s="39" t="s">
        <v>776</v>
      </c>
      <c r="AG114" s="39" t="s">
        <v>777</v>
      </c>
      <c r="AH114" s="16" t="s">
        <v>178</v>
      </c>
    </row>
    <row r="115">
      <c r="A115" s="9">
        <f t="shared" si="2"/>
        <v>6</v>
      </c>
      <c r="B115" s="308" t="s">
        <v>779</v>
      </c>
      <c r="C115" s="16" t="s">
        <v>9</v>
      </c>
      <c r="D115" s="16" t="s">
        <v>180</v>
      </c>
      <c r="E115" s="25">
        <f t="shared" si="1"/>
        <v>6</v>
      </c>
      <c r="F115" s="26">
        <v>43905.0</v>
      </c>
      <c r="G115" s="27" t="s">
        <v>780</v>
      </c>
      <c r="H115" s="26">
        <v>46107.0</v>
      </c>
      <c r="I115" s="16"/>
      <c r="J115" s="309">
        <v>4.7999664883E10</v>
      </c>
      <c r="K115" s="26" t="s">
        <v>18</v>
      </c>
      <c r="L115" s="26" t="s">
        <v>18</v>
      </c>
      <c r="M115" s="26" t="s">
        <v>18</v>
      </c>
      <c r="N115" s="26">
        <v>46147.0</v>
      </c>
      <c r="O115" s="26">
        <v>46220.0</v>
      </c>
      <c r="P115" s="26">
        <v>46225.0</v>
      </c>
      <c r="Q115" s="26">
        <v>46268.0</v>
      </c>
      <c r="R115" s="26"/>
      <c r="S115" s="26"/>
      <c r="T115" s="26"/>
      <c r="U115" s="26"/>
      <c r="V115" s="26"/>
      <c r="W115" s="310"/>
      <c r="X115" s="311"/>
      <c r="Y115" s="311"/>
      <c r="Z115" s="310" t="s">
        <v>9</v>
      </c>
      <c r="AA115" s="310" t="s">
        <v>9</v>
      </c>
      <c r="AB115" s="310"/>
      <c r="AC115" s="312"/>
      <c r="AD115" s="310" t="s">
        <v>191</v>
      </c>
      <c r="AE115" s="16" t="s">
        <v>216</v>
      </c>
      <c r="AF115" s="310" t="s">
        <v>782</v>
      </c>
      <c r="AG115" s="310" t="s">
        <v>783</v>
      </c>
      <c r="AH115" s="40" t="s">
        <v>30</v>
      </c>
    </row>
    <row r="116">
      <c r="A116" s="9">
        <f t="shared" si="2"/>
        <v>4</v>
      </c>
      <c r="B116" s="308" t="s">
        <v>148</v>
      </c>
      <c r="C116" s="16" t="s">
        <v>9</v>
      </c>
      <c r="D116" s="16" t="s">
        <v>168</v>
      </c>
      <c r="E116" s="25">
        <f t="shared" si="1"/>
        <v>6</v>
      </c>
      <c r="F116" s="26">
        <v>43863.0</v>
      </c>
      <c r="G116" s="27" t="s">
        <v>276</v>
      </c>
      <c r="H116" s="26">
        <v>46197.0</v>
      </c>
      <c r="I116" s="16"/>
      <c r="J116" s="29" t="s">
        <v>279</v>
      </c>
      <c r="K116" s="16" t="s">
        <v>18</v>
      </c>
      <c r="L116" s="16" t="s">
        <v>18</v>
      </c>
      <c r="M116" s="16" t="s">
        <v>18</v>
      </c>
      <c r="N116" s="16" t="s">
        <v>18</v>
      </c>
      <c r="O116" s="16" t="s">
        <v>18</v>
      </c>
      <c r="P116" s="26">
        <v>46197.0</v>
      </c>
      <c r="Q116" s="26">
        <v>46279.0</v>
      </c>
      <c r="R116" s="16" t="s">
        <v>170</v>
      </c>
      <c r="S116" s="26"/>
      <c r="T116" s="26"/>
      <c r="U116" s="26"/>
      <c r="V116" s="26"/>
      <c r="W116" s="16">
        <v>10.0</v>
      </c>
      <c r="X116" s="26"/>
      <c r="Y116" s="16" t="s">
        <v>9</v>
      </c>
      <c r="Z116" s="16" t="s">
        <v>9</v>
      </c>
      <c r="AA116" s="16" t="s">
        <v>9</v>
      </c>
      <c r="AB116" s="16" t="s">
        <v>9</v>
      </c>
      <c r="AC116" s="27"/>
      <c r="AD116" s="39"/>
      <c r="AE116" s="16"/>
      <c r="AF116" s="39"/>
      <c r="AG116" s="39"/>
      <c r="AH116" s="39"/>
    </row>
    <row r="117">
      <c r="A117" s="9">
        <f t="shared" si="2"/>
        <v>3</v>
      </c>
      <c r="B117" s="308" t="s">
        <v>154</v>
      </c>
      <c r="C117" s="16" t="s">
        <v>9</v>
      </c>
      <c r="D117" s="16" t="s">
        <v>10</v>
      </c>
      <c r="E117" s="25">
        <f t="shared" si="1"/>
        <v>12</v>
      </c>
      <c r="F117" s="26">
        <v>41676.0</v>
      </c>
      <c r="G117" s="27" t="s">
        <v>787</v>
      </c>
      <c r="H117" s="26" t="s">
        <v>18</v>
      </c>
      <c r="I117" s="16"/>
      <c r="J117" s="29" t="s">
        <v>279</v>
      </c>
      <c r="K117" s="16" t="s">
        <v>18</v>
      </c>
      <c r="L117" s="16" t="s">
        <v>18</v>
      </c>
      <c r="M117" s="16" t="s">
        <v>18</v>
      </c>
      <c r="N117" s="16" t="s">
        <v>18</v>
      </c>
      <c r="O117" s="16" t="s">
        <v>18</v>
      </c>
      <c r="P117" s="26">
        <v>46197.0</v>
      </c>
      <c r="Q117" s="26">
        <v>46279.0</v>
      </c>
      <c r="R117" s="16" t="s">
        <v>170</v>
      </c>
      <c r="S117" s="26"/>
      <c r="T117" s="26"/>
      <c r="U117" s="26"/>
      <c r="V117" s="26"/>
      <c r="W117" s="16">
        <v>10.0</v>
      </c>
      <c r="X117" s="26"/>
      <c r="Y117" s="16" t="s">
        <v>9</v>
      </c>
      <c r="Z117" s="16" t="s">
        <v>9</v>
      </c>
      <c r="AA117" s="16"/>
      <c r="AB117" s="16"/>
      <c r="AC117" s="307" t="s">
        <v>788</v>
      </c>
      <c r="AD117" s="16"/>
      <c r="AE117" s="16"/>
      <c r="AF117" s="16"/>
      <c r="AG117" s="16"/>
      <c r="AH117" s="16"/>
    </row>
    <row r="118">
      <c r="A118" s="9">
        <f t="shared" ref="A118:A119" si="3">SUMPRODUCT((X118:AH118&lt;&gt;"")*(X118:AH118&lt;&gt;"-"))</f>
        <v>5</v>
      </c>
      <c r="B118" s="308" t="s">
        <v>141</v>
      </c>
      <c r="C118" s="16" t="s">
        <v>9</v>
      </c>
      <c r="D118" s="16" t="s">
        <v>180</v>
      </c>
      <c r="E118" s="25">
        <f t="shared" si="1"/>
        <v>11</v>
      </c>
      <c r="F118" s="26">
        <v>42073.0</v>
      </c>
      <c r="G118" s="27" t="s">
        <v>789</v>
      </c>
      <c r="H118" s="26">
        <v>46100.0</v>
      </c>
      <c r="I118" s="16">
        <v>2.0</v>
      </c>
      <c r="J118" s="309" t="s">
        <v>790</v>
      </c>
      <c r="K118" s="26" t="s">
        <v>18</v>
      </c>
      <c r="L118" s="26" t="s">
        <v>18</v>
      </c>
      <c r="M118" s="26">
        <v>46101.0</v>
      </c>
      <c r="N118" s="26">
        <v>46135.0</v>
      </c>
      <c r="O118" s="26">
        <v>46163.0</v>
      </c>
      <c r="P118" s="26">
        <v>46195.0</v>
      </c>
      <c r="Q118" s="26">
        <v>46223.0</v>
      </c>
      <c r="R118" s="26">
        <v>46253.0</v>
      </c>
      <c r="S118" s="26"/>
      <c r="T118" s="26"/>
      <c r="U118" s="26"/>
      <c r="V118" s="26"/>
      <c r="W118" s="310">
        <v>20.0</v>
      </c>
      <c r="X118" s="311"/>
      <c r="Y118" s="311"/>
      <c r="Z118" s="310" t="s">
        <v>24</v>
      </c>
      <c r="AA118" s="310"/>
      <c r="AB118" s="310"/>
      <c r="AC118" s="312"/>
      <c r="AD118" s="313"/>
      <c r="AE118" s="310" t="s">
        <v>792</v>
      </c>
      <c r="AF118" s="310" t="s">
        <v>793</v>
      </c>
      <c r="AG118" s="310" t="s">
        <v>794</v>
      </c>
      <c r="AH118" s="40" t="s">
        <v>30</v>
      </c>
    </row>
    <row r="119">
      <c r="A119" s="314">
        <f t="shared" si="3"/>
        <v>8</v>
      </c>
      <c r="B119" s="315" t="s">
        <v>167</v>
      </c>
      <c r="C119" s="121" t="s">
        <v>9</v>
      </c>
      <c r="D119" s="121" t="s">
        <v>180</v>
      </c>
      <c r="E119" s="316">
        <f t="shared" si="1"/>
        <v>15</v>
      </c>
      <c r="F119" s="241">
        <v>40688.0</v>
      </c>
      <c r="G119" s="118" t="s">
        <v>796</v>
      </c>
      <c r="H119" s="241" t="s">
        <v>18</v>
      </c>
      <c r="I119" s="121">
        <v>2.0</v>
      </c>
      <c r="J119" s="274" t="s">
        <v>797</v>
      </c>
      <c r="K119" s="241" t="s">
        <v>18</v>
      </c>
      <c r="L119" s="241">
        <v>46141.0</v>
      </c>
      <c r="M119" s="241">
        <v>46141.0</v>
      </c>
      <c r="N119" s="241">
        <v>46141.0</v>
      </c>
      <c r="O119" s="241">
        <v>46141.0</v>
      </c>
      <c r="P119" s="241">
        <v>46141.0</v>
      </c>
      <c r="Q119" s="241">
        <v>46141.0</v>
      </c>
      <c r="R119" s="241"/>
      <c r="S119" s="241"/>
      <c r="T119" s="241"/>
      <c r="U119" s="241"/>
      <c r="V119" s="241"/>
      <c r="W119" s="121">
        <v>20.0</v>
      </c>
      <c r="X119" s="119"/>
      <c r="Y119" s="119"/>
      <c r="Z119" s="117" t="s">
        <v>9</v>
      </c>
      <c r="AA119" s="117" t="s">
        <v>9</v>
      </c>
      <c r="AB119" s="117" t="s">
        <v>9</v>
      </c>
      <c r="AC119" s="120"/>
      <c r="AD119" s="117" t="s">
        <v>191</v>
      </c>
      <c r="AE119" s="121" t="s">
        <v>841</v>
      </c>
      <c r="AF119" s="117" t="s">
        <v>464</v>
      </c>
      <c r="AG119" s="117" t="s">
        <v>843</v>
      </c>
      <c r="AH119" s="121" t="s">
        <v>178</v>
      </c>
    </row>
    <row r="120">
      <c r="B120" s="329"/>
      <c r="C120" s="287"/>
      <c r="D120" s="330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87"/>
      <c r="AB120" s="287"/>
      <c r="AC120" s="287"/>
      <c r="AD120" s="287"/>
      <c r="AE120" s="287"/>
      <c r="AF120" s="287"/>
      <c r="AG120" s="287"/>
      <c r="AH120" s="287"/>
    </row>
    <row r="121">
      <c r="B121" s="329"/>
      <c r="C121" s="287"/>
      <c r="D121" s="330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87"/>
      <c r="AB121" s="287"/>
      <c r="AC121" s="287"/>
      <c r="AD121" s="287"/>
      <c r="AE121" s="287"/>
      <c r="AF121" s="287"/>
      <c r="AG121" s="287"/>
      <c r="AH121" s="287"/>
    </row>
    <row r="122">
      <c r="B122" s="329"/>
      <c r="C122" s="287"/>
      <c r="D122" s="330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87"/>
      <c r="AB122" s="287"/>
      <c r="AC122" s="287"/>
      <c r="AD122" s="287"/>
      <c r="AE122" s="287"/>
      <c r="AF122" s="287"/>
      <c r="AG122" s="287"/>
      <c r="AH122" s="287"/>
    </row>
    <row r="123">
      <c r="B123" s="331"/>
      <c r="C123" s="15"/>
      <c r="D123" s="332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</row>
    <row r="124">
      <c r="B124" s="331"/>
      <c r="C124" s="15"/>
      <c r="D124" s="332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</row>
    <row r="125">
      <c r="B125" s="331"/>
      <c r="C125" s="15"/>
      <c r="D125" s="332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</row>
    <row r="126">
      <c r="B126" s="331"/>
      <c r="C126" s="15"/>
      <c r="D126" s="332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</row>
    <row r="127">
      <c r="B127" s="331"/>
      <c r="C127" s="15"/>
      <c r="D127" s="332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</row>
    <row r="128">
      <c r="B128" s="331"/>
      <c r="C128" s="15"/>
      <c r="D128" s="332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</row>
    <row r="129">
      <c r="B129" s="331"/>
      <c r="C129" s="15"/>
      <c r="D129" s="332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</row>
    <row r="130">
      <c r="B130" s="331"/>
      <c r="C130" s="15"/>
      <c r="D130" s="332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</row>
    <row r="131">
      <c r="B131" s="331"/>
      <c r="C131" s="15"/>
      <c r="D131" s="332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</row>
    <row r="132">
      <c r="B132" s="264" t="s">
        <v>545</v>
      </c>
      <c r="C132" s="117"/>
      <c r="D132" s="117"/>
      <c r="E132" s="119"/>
      <c r="F132" s="119"/>
      <c r="G132" s="119"/>
      <c r="H132" s="119"/>
      <c r="I132" s="116">
        <v>10.0</v>
      </c>
      <c r="J132" s="117" t="s">
        <v>9</v>
      </c>
      <c r="K132" s="116" t="s">
        <v>547</v>
      </c>
      <c r="L132" s="119">
        <v>45866.0</v>
      </c>
      <c r="M132" s="119">
        <v>45884.0</v>
      </c>
      <c r="N132" s="117" t="s">
        <v>9</v>
      </c>
      <c r="O132" s="117" t="s">
        <v>9</v>
      </c>
      <c r="P132" s="117" t="s">
        <v>9</v>
      </c>
      <c r="Q132" s="117" t="s">
        <v>549</v>
      </c>
      <c r="R132" s="117" t="s">
        <v>260</v>
      </c>
      <c r="S132" s="119">
        <v>43378.0</v>
      </c>
      <c r="T132" s="121">
        <v>4.0</v>
      </c>
      <c r="U132" s="121" t="s">
        <v>551</v>
      </c>
      <c r="V132" s="121" t="s">
        <v>552</v>
      </c>
      <c r="W132" s="122" t="s">
        <v>553</v>
      </c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</row>
    <row r="133">
      <c r="B133" s="331"/>
      <c r="C133" s="15"/>
      <c r="D133" s="332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</row>
    <row r="134">
      <c r="B134" s="331"/>
      <c r="C134" s="15"/>
      <c r="D134" s="332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</row>
    <row r="135">
      <c r="B135" s="331"/>
      <c r="C135" s="15"/>
      <c r="D135" s="332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</row>
    <row r="136">
      <c r="B136" s="331"/>
      <c r="C136" s="15"/>
      <c r="D136" s="332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</row>
    <row r="137">
      <c r="B137" s="331"/>
      <c r="C137" s="15"/>
      <c r="D137" s="332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</row>
    <row r="138">
      <c r="B138" s="331"/>
      <c r="C138" s="15"/>
      <c r="D138" s="332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</row>
    <row r="139">
      <c r="B139" s="331"/>
      <c r="C139" s="15"/>
      <c r="D139" s="332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</row>
    <row r="140">
      <c r="B140" s="331"/>
      <c r="C140" s="15"/>
      <c r="D140" s="332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</row>
    <row r="141">
      <c r="B141" s="331"/>
      <c r="C141" s="15"/>
      <c r="D141" s="332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</row>
    <row r="142">
      <c r="B142" s="331"/>
      <c r="C142" s="15"/>
      <c r="D142" s="332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</row>
    <row r="143">
      <c r="B143" s="331"/>
      <c r="C143" s="15"/>
      <c r="D143" s="332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</row>
    <row r="144">
      <c r="B144" s="331"/>
      <c r="C144" s="15"/>
      <c r="D144" s="332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</row>
    <row r="145">
      <c r="B145" s="331"/>
      <c r="C145" s="15"/>
      <c r="D145" s="332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</row>
    <row r="146">
      <c r="B146" s="331"/>
      <c r="C146" s="15"/>
      <c r="D146" s="332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</row>
    <row r="147">
      <c r="B147" s="331"/>
      <c r="C147" s="15"/>
      <c r="D147" s="332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</row>
    <row r="148">
      <c r="B148" s="331"/>
      <c r="C148" s="15"/>
      <c r="D148" s="332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</row>
    <row r="149">
      <c r="B149" s="331"/>
      <c r="C149" s="15"/>
      <c r="D149" s="332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</row>
    <row r="150">
      <c r="B150" s="331"/>
      <c r="C150" s="15"/>
      <c r="D150" s="332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</row>
    <row r="151">
      <c r="B151" s="331"/>
      <c r="C151" s="15"/>
      <c r="D151" s="332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</row>
    <row r="152">
      <c r="B152" s="331"/>
      <c r="C152" s="15"/>
      <c r="D152" s="332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</row>
    <row r="153">
      <c r="B153" s="331"/>
      <c r="C153" s="15"/>
      <c r="D153" s="332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</row>
    <row r="154">
      <c r="B154" s="331"/>
      <c r="C154" s="15"/>
      <c r="D154" s="332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</row>
    <row r="155">
      <c r="B155" s="331"/>
      <c r="C155" s="15"/>
      <c r="D155" s="332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</row>
    <row r="156">
      <c r="B156" s="331"/>
      <c r="C156" s="15"/>
      <c r="D156" s="332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</row>
    <row r="157">
      <c r="B157" s="331"/>
      <c r="C157" s="15"/>
      <c r="D157" s="332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</row>
    <row r="158">
      <c r="B158" s="331"/>
      <c r="C158" s="15"/>
      <c r="D158" s="332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</row>
    <row r="159">
      <c r="B159" s="331"/>
      <c r="C159" s="15"/>
      <c r="D159" s="332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</row>
    <row r="160">
      <c r="B160" s="331"/>
      <c r="C160" s="15"/>
      <c r="D160" s="332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</row>
    <row r="161">
      <c r="B161" s="331"/>
      <c r="C161" s="15"/>
      <c r="D161" s="332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</row>
    <row r="162">
      <c r="B162" s="331"/>
      <c r="C162" s="15"/>
      <c r="D162" s="332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</row>
    <row r="163">
      <c r="B163" s="331"/>
      <c r="C163" s="15"/>
      <c r="D163" s="332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</row>
    <row r="164">
      <c r="B164" s="331"/>
      <c r="C164" s="15"/>
      <c r="D164" s="332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</row>
    <row r="165">
      <c r="B165" s="331"/>
      <c r="C165" s="15"/>
      <c r="D165" s="332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</row>
    <row r="166">
      <c r="B166" s="331"/>
      <c r="C166" s="15"/>
      <c r="D166" s="332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</row>
    <row r="167">
      <c r="B167" s="331"/>
      <c r="C167" s="15"/>
      <c r="D167" s="332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</row>
    <row r="168">
      <c r="B168" s="331"/>
      <c r="C168" s="15"/>
      <c r="D168" s="332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</row>
    <row r="169">
      <c r="B169" s="331"/>
      <c r="C169" s="15"/>
      <c r="D169" s="332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</row>
    <row r="170">
      <c r="B170" s="331"/>
      <c r="C170" s="15"/>
      <c r="D170" s="332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</row>
    <row r="171">
      <c r="B171" s="331"/>
      <c r="C171" s="15"/>
      <c r="D171" s="332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</row>
    <row r="172">
      <c r="B172" s="331"/>
      <c r="C172" s="15"/>
      <c r="D172" s="332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</row>
    <row r="173">
      <c r="B173" s="331"/>
      <c r="C173" s="15"/>
      <c r="D173" s="332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</row>
    <row r="174">
      <c r="B174" s="331"/>
      <c r="C174" s="15"/>
      <c r="D174" s="332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</row>
    <row r="175">
      <c r="B175" s="331"/>
      <c r="C175" s="15"/>
      <c r="D175" s="332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</row>
    <row r="176">
      <c r="B176" s="331"/>
      <c r="C176" s="15"/>
      <c r="D176" s="332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</row>
    <row r="177">
      <c r="B177" s="331"/>
      <c r="C177" s="15"/>
      <c r="D177" s="332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</row>
    <row r="178">
      <c r="B178" s="331"/>
      <c r="C178" s="15"/>
      <c r="D178" s="332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</row>
    <row r="179">
      <c r="B179" s="331"/>
      <c r="C179" s="15"/>
      <c r="D179" s="332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</row>
    <row r="180">
      <c r="B180" s="331"/>
      <c r="C180" s="15"/>
      <c r="D180" s="332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</row>
    <row r="181">
      <c r="B181" s="331"/>
      <c r="C181" s="15"/>
      <c r="D181" s="332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</row>
    <row r="182">
      <c r="B182" s="331"/>
      <c r="C182" s="15"/>
      <c r="D182" s="332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</row>
    <row r="183">
      <c r="B183" s="331"/>
      <c r="C183" s="15"/>
      <c r="D183" s="332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</row>
    <row r="184">
      <c r="B184" s="331"/>
      <c r="C184" s="15"/>
      <c r="D184" s="332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</row>
    <row r="185">
      <c r="B185" s="331"/>
      <c r="C185" s="15"/>
      <c r="D185" s="332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</row>
    <row r="186">
      <c r="B186" s="331"/>
      <c r="C186" s="15"/>
      <c r="D186" s="332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</row>
    <row r="187">
      <c r="B187" s="331"/>
      <c r="C187" s="15"/>
      <c r="D187" s="332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</row>
    <row r="188">
      <c r="B188" s="331"/>
      <c r="C188" s="15"/>
      <c r="D188" s="332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</row>
    <row r="189">
      <c r="B189" s="331"/>
      <c r="C189" s="15"/>
      <c r="D189" s="332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</row>
    <row r="190">
      <c r="B190" s="331"/>
      <c r="C190" s="15"/>
      <c r="D190" s="332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</row>
    <row r="191">
      <c r="B191" s="331"/>
      <c r="C191" s="15"/>
      <c r="D191" s="332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</row>
    <row r="192">
      <c r="B192" s="331"/>
      <c r="C192" s="15"/>
      <c r="D192" s="332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</row>
    <row r="193">
      <c r="B193" s="331"/>
      <c r="C193" s="15"/>
      <c r="D193" s="332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</row>
    <row r="194">
      <c r="B194" s="331"/>
      <c r="C194" s="15"/>
      <c r="D194" s="332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</row>
    <row r="195">
      <c r="B195" s="331"/>
      <c r="C195" s="15"/>
      <c r="D195" s="332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</row>
    <row r="196">
      <c r="B196" s="331"/>
      <c r="C196" s="15"/>
      <c r="D196" s="332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</row>
    <row r="197">
      <c r="B197" s="331"/>
      <c r="C197" s="15"/>
      <c r="D197" s="332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</row>
    <row r="198">
      <c r="B198" s="331"/>
      <c r="C198" s="15"/>
      <c r="D198" s="332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</row>
    <row r="199">
      <c r="B199" s="331"/>
      <c r="C199" s="15"/>
      <c r="D199" s="332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</row>
    <row r="200">
      <c r="B200" s="331"/>
      <c r="C200" s="15"/>
      <c r="D200" s="332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</row>
    <row r="201">
      <c r="B201" s="331"/>
      <c r="C201" s="15"/>
      <c r="D201" s="332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</row>
    <row r="202">
      <c r="B202" s="331"/>
      <c r="C202" s="15"/>
      <c r="D202" s="332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</row>
    <row r="203">
      <c r="B203" s="331"/>
      <c r="C203" s="15"/>
      <c r="D203" s="332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</row>
    <row r="204">
      <c r="B204" s="331"/>
      <c r="C204" s="15"/>
      <c r="D204" s="332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</row>
    <row r="205">
      <c r="B205" s="331"/>
      <c r="C205" s="15"/>
      <c r="D205" s="332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</row>
    <row r="206">
      <c r="B206" s="331"/>
      <c r="C206" s="15"/>
      <c r="D206" s="332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</row>
    <row r="207">
      <c r="B207" s="331"/>
      <c r="C207" s="15"/>
      <c r="D207" s="332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</row>
    <row r="208">
      <c r="B208" s="331"/>
      <c r="C208" s="15"/>
      <c r="D208" s="332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</row>
    <row r="209">
      <c r="B209" s="331"/>
      <c r="C209" s="15"/>
      <c r="D209" s="332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</row>
    <row r="210">
      <c r="B210" s="331"/>
      <c r="C210" s="15"/>
      <c r="D210" s="332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</row>
    <row r="211">
      <c r="B211" s="331"/>
      <c r="C211" s="15"/>
      <c r="D211" s="332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</row>
    <row r="212">
      <c r="B212" s="331"/>
      <c r="C212" s="15"/>
      <c r="D212" s="332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</row>
    <row r="213">
      <c r="B213" s="331"/>
      <c r="C213" s="15"/>
      <c r="D213" s="332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</row>
    <row r="214">
      <c r="B214" s="331"/>
      <c r="C214" s="15"/>
      <c r="D214" s="332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</row>
    <row r="215">
      <c r="B215" s="331"/>
      <c r="C215" s="15"/>
      <c r="D215" s="332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</row>
    <row r="216">
      <c r="B216" s="331"/>
      <c r="C216" s="15"/>
      <c r="D216" s="332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</row>
    <row r="217">
      <c r="B217" s="331"/>
      <c r="C217" s="15"/>
      <c r="D217" s="332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</row>
    <row r="218">
      <c r="B218" s="331"/>
      <c r="C218" s="15"/>
      <c r="D218" s="332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</row>
    <row r="219">
      <c r="B219" s="331"/>
      <c r="C219" s="15"/>
      <c r="D219" s="332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</row>
    <row r="220">
      <c r="B220" s="331"/>
      <c r="C220" s="15"/>
      <c r="D220" s="332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</row>
    <row r="221">
      <c r="B221" s="331"/>
      <c r="C221" s="15"/>
      <c r="D221" s="332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</row>
    <row r="222">
      <c r="B222" s="331"/>
      <c r="C222" s="15"/>
      <c r="D222" s="332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</row>
    <row r="223">
      <c r="B223" s="331"/>
      <c r="C223" s="15"/>
      <c r="D223" s="332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</row>
    <row r="224">
      <c r="B224" s="331"/>
      <c r="C224" s="15"/>
      <c r="D224" s="332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</row>
    <row r="225">
      <c r="B225" s="331"/>
      <c r="C225" s="15"/>
      <c r="D225" s="332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</row>
    <row r="226">
      <c r="B226" s="331"/>
      <c r="C226" s="15"/>
      <c r="D226" s="332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</row>
    <row r="227">
      <c r="B227" s="331"/>
      <c r="C227" s="15"/>
      <c r="D227" s="332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</row>
    <row r="228">
      <c r="B228" s="331"/>
      <c r="C228" s="15"/>
      <c r="D228" s="332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</row>
    <row r="229">
      <c r="B229" s="331"/>
      <c r="C229" s="15"/>
      <c r="D229" s="332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</row>
    <row r="230">
      <c r="B230" s="331"/>
      <c r="C230" s="15"/>
      <c r="D230" s="332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</row>
    <row r="231">
      <c r="B231" s="331"/>
      <c r="C231" s="15"/>
      <c r="D231" s="332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</row>
    <row r="232">
      <c r="B232" s="331"/>
      <c r="C232" s="15"/>
      <c r="D232" s="332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</row>
    <row r="233">
      <c r="B233" s="331"/>
      <c r="C233" s="15"/>
      <c r="D233" s="332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</row>
    <row r="234">
      <c r="B234" s="331"/>
      <c r="C234" s="15"/>
      <c r="D234" s="332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</row>
    <row r="235">
      <c r="B235" s="331"/>
      <c r="C235" s="15"/>
      <c r="D235" s="332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</row>
    <row r="236">
      <c r="B236" s="331"/>
      <c r="C236" s="15"/>
      <c r="D236" s="332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</row>
    <row r="237">
      <c r="B237" s="331"/>
      <c r="C237" s="15"/>
      <c r="D237" s="332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</row>
    <row r="238">
      <c r="B238" s="331"/>
      <c r="C238" s="15"/>
      <c r="D238" s="332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</row>
    <row r="239">
      <c r="B239" s="331"/>
      <c r="C239" s="15"/>
      <c r="D239" s="332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</row>
    <row r="240">
      <c r="B240" s="331"/>
      <c r="C240" s="15"/>
      <c r="D240" s="332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</row>
    <row r="241">
      <c r="B241" s="331"/>
      <c r="C241" s="15"/>
      <c r="D241" s="332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</row>
    <row r="242">
      <c r="B242" s="331"/>
      <c r="C242" s="15"/>
      <c r="D242" s="332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</row>
    <row r="243">
      <c r="B243" s="331"/>
      <c r="C243" s="15"/>
      <c r="D243" s="332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</row>
    <row r="244">
      <c r="B244" s="331"/>
      <c r="C244" s="15"/>
      <c r="D244" s="332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</row>
    <row r="245">
      <c r="B245" s="331"/>
      <c r="C245" s="15"/>
      <c r="D245" s="332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</row>
    <row r="246">
      <c r="B246" s="331"/>
      <c r="C246" s="15"/>
      <c r="D246" s="332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</row>
    <row r="247">
      <c r="B247" s="331"/>
      <c r="C247" s="15"/>
      <c r="D247" s="332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</row>
    <row r="248">
      <c r="B248" s="331"/>
      <c r="C248" s="15"/>
      <c r="D248" s="332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</row>
    <row r="249">
      <c r="B249" s="331"/>
      <c r="C249" s="15"/>
      <c r="D249" s="332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</row>
    <row r="250">
      <c r="B250" s="331"/>
      <c r="C250" s="15"/>
      <c r="D250" s="332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</row>
    <row r="251">
      <c r="B251" s="331"/>
      <c r="C251" s="15"/>
      <c r="D251" s="332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</row>
    <row r="252">
      <c r="B252" s="331"/>
      <c r="C252" s="15"/>
      <c r="D252" s="332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</row>
    <row r="253">
      <c r="B253" s="331"/>
      <c r="C253" s="15"/>
      <c r="D253" s="332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</row>
    <row r="254">
      <c r="B254" s="331"/>
      <c r="C254" s="15"/>
      <c r="D254" s="332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</row>
    <row r="255">
      <c r="B255" s="331"/>
      <c r="C255" s="15"/>
      <c r="D255" s="332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</row>
    <row r="256">
      <c r="B256" s="331"/>
      <c r="C256" s="15"/>
      <c r="D256" s="332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</row>
    <row r="257">
      <c r="B257" s="331"/>
      <c r="C257" s="15"/>
      <c r="D257" s="332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</row>
    <row r="258">
      <c r="B258" s="331"/>
      <c r="C258" s="15"/>
      <c r="D258" s="332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</row>
    <row r="259">
      <c r="B259" s="331"/>
      <c r="C259" s="15"/>
      <c r="D259" s="332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</row>
    <row r="260">
      <c r="B260" s="331"/>
      <c r="C260" s="15"/>
      <c r="D260" s="332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</row>
    <row r="261">
      <c r="B261" s="331"/>
      <c r="C261" s="15"/>
      <c r="D261" s="332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</row>
    <row r="262">
      <c r="B262" s="331"/>
      <c r="C262" s="15"/>
      <c r="D262" s="332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</row>
    <row r="263">
      <c r="B263" s="331"/>
      <c r="C263" s="15"/>
      <c r="D263" s="332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</row>
    <row r="264">
      <c r="B264" s="331"/>
      <c r="C264" s="15"/>
      <c r="D264" s="332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</row>
    <row r="265">
      <c r="B265" s="331"/>
      <c r="C265" s="15"/>
      <c r="D265" s="332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</row>
    <row r="266">
      <c r="B266" s="331"/>
      <c r="C266" s="15"/>
      <c r="D266" s="332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</row>
    <row r="267">
      <c r="B267" s="331"/>
      <c r="C267" s="15"/>
      <c r="D267" s="332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</row>
    <row r="268">
      <c r="B268" s="331"/>
      <c r="C268" s="15"/>
      <c r="D268" s="332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</row>
    <row r="269">
      <c r="B269" s="331"/>
      <c r="C269" s="15"/>
      <c r="D269" s="332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</row>
    <row r="270">
      <c r="B270" s="331"/>
      <c r="C270" s="15"/>
      <c r="D270" s="332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</row>
    <row r="271">
      <c r="B271" s="331"/>
      <c r="C271" s="15"/>
      <c r="D271" s="332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</row>
    <row r="272">
      <c r="B272" s="331"/>
      <c r="C272" s="15"/>
      <c r="D272" s="332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</row>
    <row r="273">
      <c r="B273" s="331"/>
      <c r="C273" s="15"/>
      <c r="D273" s="332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</row>
    <row r="274">
      <c r="B274" s="331"/>
      <c r="C274" s="15"/>
      <c r="D274" s="332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</row>
    <row r="275">
      <c r="B275" s="331"/>
      <c r="C275" s="15"/>
      <c r="D275" s="332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</row>
    <row r="276">
      <c r="B276" s="331"/>
      <c r="C276" s="15"/>
      <c r="D276" s="332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</row>
    <row r="277">
      <c r="B277" s="331"/>
      <c r="C277" s="15"/>
      <c r="D277" s="332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</row>
    <row r="278">
      <c r="B278" s="331"/>
      <c r="C278" s="15"/>
      <c r="D278" s="332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</row>
    <row r="279">
      <c r="B279" s="331"/>
      <c r="C279" s="15"/>
      <c r="D279" s="332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</row>
    <row r="280">
      <c r="B280" s="331"/>
      <c r="C280" s="15"/>
      <c r="D280" s="332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</row>
    <row r="281">
      <c r="B281" s="331"/>
      <c r="C281" s="15"/>
      <c r="D281" s="332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</row>
    <row r="282">
      <c r="B282" s="331"/>
      <c r="C282" s="15"/>
      <c r="D282" s="332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</row>
    <row r="283">
      <c r="B283" s="331"/>
      <c r="C283" s="15"/>
      <c r="D283" s="332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</row>
    <row r="284">
      <c r="B284" s="331"/>
      <c r="C284" s="15"/>
      <c r="D284" s="332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</row>
    <row r="285">
      <c r="B285" s="331"/>
      <c r="C285" s="15"/>
      <c r="D285" s="332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</row>
    <row r="286">
      <c r="B286" s="331"/>
      <c r="C286" s="15"/>
      <c r="D286" s="332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</row>
    <row r="287">
      <c r="B287" s="331"/>
      <c r="C287" s="15"/>
      <c r="D287" s="332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</row>
    <row r="288">
      <c r="B288" s="331"/>
      <c r="C288" s="15"/>
      <c r="D288" s="332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</row>
    <row r="289">
      <c r="B289" s="331"/>
      <c r="C289" s="15"/>
      <c r="D289" s="332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</row>
    <row r="290">
      <c r="B290" s="331"/>
      <c r="C290" s="15"/>
      <c r="D290" s="332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</row>
    <row r="291">
      <c r="B291" s="331"/>
      <c r="C291" s="15"/>
      <c r="D291" s="332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</row>
    <row r="292">
      <c r="B292" s="331"/>
      <c r="C292" s="15"/>
      <c r="D292" s="332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</row>
    <row r="293">
      <c r="B293" s="331"/>
      <c r="C293" s="15"/>
      <c r="D293" s="332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</row>
    <row r="294">
      <c r="B294" s="331"/>
      <c r="C294" s="15"/>
      <c r="D294" s="332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</row>
    <row r="295">
      <c r="B295" s="331"/>
      <c r="C295" s="15"/>
      <c r="D295" s="332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</row>
    <row r="296">
      <c r="B296" s="331"/>
      <c r="C296" s="15"/>
      <c r="D296" s="332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</row>
    <row r="297">
      <c r="B297" s="331"/>
      <c r="C297" s="15"/>
      <c r="D297" s="332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</row>
    <row r="298">
      <c r="B298" s="331"/>
      <c r="C298" s="15"/>
      <c r="D298" s="332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</row>
    <row r="299">
      <c r="B299" s="331"/>
      <c r="C299" s="15"/>
      <c r="D299" s="332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</row>
    <row r="300">
      <c r="B300" s="331"/>
      <c r="C300" s="15"/>
      <c r="D300" s="332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</row>
    <row r="301">
      <c r="B301" s="331"/>
      <c r="C301" s="15"/>
      <c r="D301" s="332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</row>
    <row r="302">
      <c r="B302" s="331"/>
      <c r="C302" s="15"/>
      <c r="D302" s="332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</row>
    <row r="303">
      <c r="B303" s="331"/>
      <c r="C303" s="15"/>
      <c r="D303" s="332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</row>
    <row r="304">
      <c r="B304" s="331"/>
      <c r="C304" s="15"/>
      <c r="D304" s="332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</row>
    <row r="305">
      <c r="B305" s="331"/>
      <c r="C305" s="15"/>
      <c r="D305" s="332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</row>
    <row r="306">
      <c r="B306" s="331"/>
      <c r="C306" s="15"/>
      <c r="D306" s="332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</row>
    <row r="307">
      <c r="B307" s="331"/>
      <c r="C307" s="15"/>
      <c r="D307" s="332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</row>
    <row r="308">
      <c r="B308" s="331"/>
      <c r="C308" s="15"/>
      <c r="D308" s="332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</row>
    <row r="309">
      <c r="B309" s="331"/>
      <c r="C309" s="15"/>
      <c r="D309" s="332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</row>
    <row r="310">
      <c r="B310" s="331"/>
      <c r="C310" s="15"/>
      <c r="D310" s="332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</row>
    <row r="311">
      <c r="B311" s="331"/>
      <c r="C311" s="15"/>
      <c r="D311" s="332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</row>
    <row r="312">
      <c r="B312" s="331"/>
      <c r="C312" s="15"/>
      <c r="D312" s="332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</row>
    <row r="313">
      <c r="B313" s="331"/>
      <c r="C313" s="15"/>
      <c r="D313" s="332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</row>
    <row r="314">
      <c r="B314" s="331"/>
      <c r="C314" s="15"/>
      <c r="D314" s="332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</row>
    <row r="315">
      <c r="B315" s="331"/>
      <c r="C315" s="15"/>
      <c r="D315" s="332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</row>
    <row r="316">
      <c r="B316" s="331"/>
      <c r="C316" s="15"/>
      <c r="D316" s="332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</row>
    <row r="317">
      <c r="B317" s="331"/>
      <c r="C317" s="15"/>
      <c r="D317" s="332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</row>
    <row r="318">
      <c r="B318" s="331"/>
      <c r="C318" s="15"/>
      <c r="D318" s="332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</row>
    <row r="319">
      <c r="B319" s="331"/>
      <c r="C319" s="15"/>
      <c r="D319" s="332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</row>
    <row r="320">
      <c r="B320" s="331"/>
      <c r="C320" s="15"/>
      <c r="D320" s="332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</row>
    <row r="321">
      <c r="B321" s="331"/>
      <c r="C321" s="15"/>
      <c r="D321" s="332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</row>
    <row r="322">
      <c r="B322" s="331"/>
      <c r="C322" s="15"/>
      <c r="D322" s="332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</row>
    <row r="323">
      <c r="B323" s="331"/>
      <c r="C323" s="15"/>
      <c r="D323" s="332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</row>
    <row r="324">
      <c r="B324" s="331"/>
      <c r="C324" s="15"/>
      <c r="D324" s="332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</row>
    <row r="325">
      <c r="B325" s="331"/>
      <c r="C325" s="15"/>
      <c r="D325" s="332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</row>
    <row r="326">
      <c r="B326" s="331"/>
      <c r="C326" s="15"/>
      <c r="D326" s="332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</row>
    <row r="327">
      <c r="B327" s="331"/>
      <c r="C327" s="15"/>
      <c r="D327" s="332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</row>
    <row r="328">
      <c r="B328" s="331"/>
      <c r="C328" s="15"/>
      <c r="D328" s="332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</row>
    <row r="329">
      <c r="B329" s="331"/>
      <c r="C329" s="15"/>
      <c r="D329" s="332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</row>
    <row r="330">
      <c r="B330" s="331"/>
      <c r="C330" s="15"/>
      <c r="D330" s="332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</row>
    <row r="331">
      <c r="B331" s="331"/>
      <c r="C331" s="15"/>
      <c r="D331" s="332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</row>
    <row r="332">
      <c r="B332" s="331"/>
      <c r="C332" s="15"/>
      <c r="D332" s="332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</row>
    <row r="333">
      <c r="B333" s="331"/>
      <c r="C333" s="15"/>
      <c r="D333" s="332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</row>
    <row r="334">
      <c r="B334" s="331"/>
      <c r="C334" s="15"/>
      <c r="D334" s="332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</row>
    <row r="335">
      <c r="B335" s="331"/>
      <c r="C335" s="15"/>
      <c r="D335" s="332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</row>
    <row r="336">
      <c r="B336" s="331"/>
      <c r="C336" s="15"/>
      <c r="D336" s="332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</row>
    <row r="337">
      <c r="B337" s="331"/>
      <c r="C337" s="15"/>
      <c r="D337" s="332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</row>
    <row r="338">
      <c r="B338" s="331"/>
      <c r="C338" s="15"/>
      <c r="D338" s="332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</row>
    <row r="339">
      <c r="B339" s="331"/>
      <c r="C339" s="15"/>
      <c r="D339" s="332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</row>
    <row r="340">
      <c r="B340" s="331"/>
      <c r="C340" s="15"/>
      <c r="D340" s="332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</row>
    <row r="341">
      <c r="B341" s="331"/>
      <c r="C341" s="15"/>
      <c r="D341" s="332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</row>
    <row r="342">
      <c r="B342" s="331"/>
      <c r="C342" s="15"/>
      <c r="D342" s="332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</row>
    <row r="343">
      <c r="B343" s="331"/>
      <c r="C343" s="15"/>
      <c r="D343" s="332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</row>
    <row r="344">
      <c r="B344" s="331"/>
      <c r="C344" s="15"/>
      <c r="D344" s="332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</row>
    <row r="345">
      <c r="B345" s="331"/>
      <c r="C345" s="15"/>
      <c r="D345" s="332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</row>
    <row r="346">
      <c r="B346" s="331"/>
      <c r="C346" s="15"/>
      <c r="D346" s="332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</row>
    <row r="347">
      <c r="B347" s="331"/>
      <c r="C347" s="15"/>
      <c r="D347" s="332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</row>
    <row r="348">
      <c r="B348" s="331"/>
      <c r="C348" s="15"/>
      <c r="D348" s="332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</row>
    <row r="349">
      <c r="B349" s="331"/>
      <c r="C349" s="15"/>
      <c r="D349" s="332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</row>
    <row r="350">
      <c r="B350" s="331"/>
      <c r="C350" s="15"/>
      <c r="D350" s="332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</row>
    <row r="351">
      <c r="B351" s="331"/>
      <c r="C351" s="15"/>
      <c r="D351" s="332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</row>
    <row r="352">
      <c r="B352" s="331"/>
      <c r="C352" s="15"/>
      <c r="D352" s="332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</row>
    <row r="353">
      <c r="B353" s="331"/>
      <c r="C353" s="15"/>
      <c r="D353" s="332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</row>
    <row r="354">
      <c r="B354" s="331"/>
      <c r="C354" s="15"/>
      <c r="D354" s="332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</row>
    <row r="355">
      <c r="B355" s="331"/>
      <c r="C355" s="15"/>
      <c r="D355" s="332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</row>
    <row r="356">
      <c r="B356" s="331"/>
      <c r="C356" s="15"/>
      <c r="D356" s="332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</row>
    <row r="357">
      <c r="B357" s="331"/>
      <c r="C357" s="15"/>
      <c r="D357" s="332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</row>
    <row r="358">
      <c r="B358" s="331"/>
      <c r="C358" s="15"/>
      <c r="D358" s="332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</row>
    <row r="359">
      <c r="B359" s="331"/>
      <c r="C359" s="15"/>
      <c r="D359" s="332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</row>
    <row r="360">
      <c r="B360" s="331"/>
      <c r="C360" s="15"/>
      <c r="D360" s="332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</row>
    <row r="361">
      <c r="B361" s="331"/>
      <c r="C361" s="15"/>
      <c r="D361" s="332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</row>
    <row r="362">
      <c r="B362" s="331"/>
      <c r="C362" s="15"/>
      <c r="D362" s="332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</row>
    <row r="363">
      <c r="B363" s="331"/>
      <c r="C363" s="15"/>
      <c r="D363" s="332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</row>
    <row r="364">
      <c r="B364" s="331"/>
      <c r="C364" s="15"/>
      <c r="D364" s="332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</row>
    <row r="365">
      <c r="B365" s="331"/>
      <c r="C365" s="15"/>
      <c r="D365" s="332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</row>
    <row r="366">
      <c r="B366" s="331"/>
      <c r="C366" s="15"/>
      <c r="D366" s="332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</row>
    <row r="367">
      <c r="B367" s="331"/>
      <c r="C367" s="15"/>
      <c r="D367" s="332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</row>
    <row r="368">
      <c r="B368" s="331"/>
      <c r="C368" s="15"/>
      <c r="D368" s="332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</row>
    <row r="369">
      <c r="B369" s="331"/>
      <c r="C369" s="15"/>
      <c r="D369" s="332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</row>
    <row r="370">
      <c r="B370" s="331"/>
      <c r="C370" s="15"/>
      <c r="D370" s="332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</row>
    <row r="371">
      <c r="B371" s="331"/>
      <c r="C371" s="15"/>
      <c r="D371" s="332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</row>
    <row r="372">
      <c r="B372" s="331"/>
      <c r="C372" s="15"/>
      <c r="D372" s="332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</row>
    <row r="373">
      <c r="B373" s="331"/>
      <c r="C373" s="15"/>
      <c r="D373" s="332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</row>
    <row r="374">
      <c r="B374" s="331"/>
      <c r="C374" s="15"/>
      <c r="D374" s="332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</row>
    <row r="375">
      <c r="B375" s="331"/>
      <c r="C375" s="15"/>
      <c r="D375" s="332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</row>
    <row r="376">
      <c r="B376" s="331"/>
      <c r="C376" s="15"/>
      <c r="D376" s="332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</row>
    <row r="377">
      <c r="B377" s="331"/>
      <c r="C377" s="15"/>
      <c r="D377" s="332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</row>
    <row r="378">
      <c r="B378" s="331"/>
      <c r="C378" s="15"/>
      <c r="D378" s="332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</row>
    <row r="379">
      <c r="B379" s="331"/>
      <c r="C379" s="15"/>
      <c r="D379" s="332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</row>
    <row r="380">
      <c r="B380" s="331"/>
      <c r="C380" s="15"/>
      <c r="D380" s="332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</row>
    <row r="381">
      <c r="B381" s="331"/>
      <c r="C381" s="15"/>
      <c r="D381" s="332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</row>
    <row r="382">
      <c r="B382" s="331"/>
      <c r="C382" s="15"/>
      <c r="D382" s="332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</row>
    <row r="383">
      <c r="B383" s="331"/>
      <c r="C383" s="15"/>
      <c r="D383" s="332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</row>
    <row r="384">
      <c r="B384" s="331"/>
      <c r="C384" s="15"/>
      <c r="D384" s="332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</row>
    <row r="385">
      <c r="B385" s="331"/>
      <c r="C385" s="15"/>
      <c r="D385" s="332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</row>
    <row r="386">
      <c r="B386" s="331"/>
      <c r="C386" s="15"/>
      <c r="D386" s="332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</row>
    <row r="387">
      <c r="B387" s="331"/>
      <c r="C387" s="15"/>
      <c r="D387" s="332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</row>
    <row r="388">
      <c r="B388" s="331"/>
      <c r="C388" s="15"/>
      <c r="D388" s="332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</row>
    <row r="389">
      <c r="B389" s="331"/>
      <c r="C389" s="15"/>
      <c r="D389" s="332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</row>
    <row r="390">
      <c r="B390" s="331"/>
      <c r="C390" s="15"/>
      <c r="D390" s="332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</row>
    <row r="391">
      <c r="B391" s="331"/>
      <c r="C391" s="15"/>
      <c r="D391" s="332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</row>
    <row r="392">
      <c r="B392" s="331"/>
      <c r="C392" s="15"/>
      <c r="D392" s="332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</row>
    <row r="393">
      <c r="B393" s="331"/>
      <c r="C393" s="15"/>
      <c r="D393" s="332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</row>
    <row r="394">
      <c r="B394" s="331"/>
      <c r="C394" s="15"/>
      <c r="D394" s="332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</row>
    <row r="395">
      <c r="B395" s="331"/>
      <c r="C395" s="15"/>
      <c r="D395" s="332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</row>
    <row r="396">
      <c r="B396" s="331"/>
      <c r="C396" s="15"/>
      <c r="D396" s="332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</row>
    <row r="397">
      <c r="B397" s="331"/>
      <c r="C397" s="15"/>
      <c r="D397" s="332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</row>
    <row r="398">
      <c r="B398" s="331"/>
      <c r="C398" s="15"/>
      <c r="D398" s="332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</row>
    <row r="399">
      <c r="B399" s="331"/>
      <c r="C399" s="15"/>
      <c r="D399" s="332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</row>
    <row r="400">
      <c r="B400" s="331"/>
      <c r="C400" s="15"/>
      <c r="D400" s="332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</row>
    <row r="401">
      <c r="B401" s="331"/>
      <c r="C401" s="15"/>
      <c r="D401" s="332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</row>
    <row r="402">
      <c r="B402" s="331"/>
      <c r="C402" s="15"/>
      <c r="D402" s="332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</row>
    <row r="403">
      <c r="B403" s="331"/>
      <c r="C403" s="15"/>
      <c r="D403" s="332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</row>
    <row r="404">
      <c r="B404" s="331"/>
      <c r="C404" s="15"/>
      <c r="D404" s="332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</row>
    <row r="405">
      <c r="B405" s="331"/>
      <c r="C405" s="15"/>
      <c r="D405" s="332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</row>
    <row r="406">
      <c r="B406" s="331"/>
      <c r="C406" s="15"/>
      <c r="D406" s="332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</row>
    <row r="407">
      <c r="B407" s="331"/>
      <c r="C407" s="15"/>
      <c r="D407" s="332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</row>
    <row r="408">
      <c r="B408" s="331"/>
      <c r="C408" s="15"/>
      <c r="D408" s="332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</row>
    <row r="409">
      <c r="B409" s="331"/>
      <c r="C409" s="15"/>
      <c r="D409" s="332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</row>
    <row r="410">
      <c r="B410" s="331"/>
      <c r="C410" s="15"/>
      <c r="D410" s="332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</row>
    <row r="411">
      <c r="B411" s="331"/>
      <c r="C411" s="15"/>
      <c r="D411" s="332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</row>
    <row r="412">
      <c r="B412" s="331"/>
      <c r="C412" s="15"/>
      <c r="D412" s="332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</row>
    <row r="413">
      <c r="B413" s="331"/>
      <c r="C413" s="15"/>
      <c r="D413" s="332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</row>
    <row r="414">
      <c r="B414" s="331"/>
      <c r="C414" s="15"/>
      <c r="D414" s="332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</row>
    <row r="415">
      <c r="B415" s="331"/>
      <c r="C415" s="15"/>
      <c r="D415" s="332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</row>
    <row r="416">
      <c r="B416" s="331"/>
      <c r="C416" s="15"/>
      <c r="D416" s="332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</row>
    <row r="417">
      <c r="B417" s="331"/>
      <c r="C417" s="15"/>
      <c r="D417" s="332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</row>
    <row r="418">
      <c r="B418" s="331"/>
      <c r="C418" s="15"/>
      <c r="D418" s="332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</row>
    <row r="419">
      <c r="B419" s="331"/>
      <c r="C419" s="15"/>
      <c r="D419" s="332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</row>
    <row r="420">
      <c r="B420" s="331"/>
      <c r="C420" s="15"/>
      <c r="D420" s="332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</row>
    <row r="421">
      <c r="B421" s="331"/>
      <c r="C421" s="15"/>
      <c r="D421" s="332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</row>
    <row r="422">
      <c r="B422" s="331"/>
      <c r="C422" s="15"/>
      <c r="D422" s="332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</row>
    <row r="423">
      <c r="B423" s="331"/>
      <c r="C423" s="15"/>
      <c r="D423" s="332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</row>
    <row r="424">
      <c r="B424" s="331"/>
      <c r="C424" s="15"/>
      <c r="D424" s="332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</row>
    <row r="425">
      <c r="B425" s="331"/>
      <c r="C425" s="15"/>
      <c r="D425" s="332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</row>
    <row r="426">
      <c r="B426" s="331"/>
      <c r="C426" s="15"/>
      <c r="D426" s="332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</row>
    <row r="427">
      <c r="B427" s="331"/>
      <c r="C427" s="15"/>
      <c r="D427" s="332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</row>
    <row r="428">
      <c r="B428" s="331"/>
      <c r="C428" s="15"/>
      <c r="D428" s="332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</row>
    <row r="429">
      <c r="B429" s="331"/>
      <c r="C429" s="15"/>
      <c r="D429" s="332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</row>
    <row r="430">
      <c r="B430" s="331"/>
      <c r="C430" s="15"/>
      <c r="D430" s="332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</row>
    <row r="431">
      <c r="B431" s="331"/>
      <c r="C431" s="15"/>
      <c r="D431" s="332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</row>
    <row r="432">
      <c r="B432" s="331"/>
      <c r="C432" s="15"/>
      <c r="D432" s="332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</row>
    <row r="433">
      <c r="B433" s="331"/>
      <c r="C433" s="15"/>
      <c r="D433" s="332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</row>
    <row r="434">
      <c r="B434" s="331"/>
      <c r="C434" s="15"/>
      <c r="D434" s="332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</row>
    <row r="435">
      <c r="B435" s="331"/>
      <c r="C435" s="15"/>
      <c r="D435" s="332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</row>
    <row r="436">
      <c r="B436" s="331"/>
      <c r="C436" s="15"/>
      <c r="D436" s="332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</row>
    <row r="437">
      <c r="B437" s="331"/>
      <c r="C437" s="15"/>
      <c r="D437" s="332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</row>
    <row r="438">
      <c r="B438" s="331"/>
      <c r="C438" s="15"/>
      <c r="D438" s="332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</row>
    <row r="439">
      <c r="B439" s="331"/>
      <c r="C439" s="15"/>
      <c r="D439" s="332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</row>
    <row r="440">
      <c r="B440" s="331"/>
      <c r="C440" s="15"/>
      <c r="D440" s="332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</row>
    <row r="441">
      <c r="B441" s="331"/>
      <c r="C441" s="15"/>
      <c r="D441" s="332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</row>
    <row r="442">
      <c r="B442" s="331"/>
      <c r="C442" s="15"/>
      <c r="D442" s="332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</row>
    <row r="443">
      <c r="B443" s="331"/>
      <c r="C443" s="15"/>
      <c r="D443" s="332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</row>
    <row r="444">
      <c r="B444" s="331"/>
      <c r="C444" s="15"/>
      <c r="D444" s="332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</row>
    <row r="445">
      <c r="B445" s="331"/>
      <c r="C445" s="15"/>
      <c r="D445" s="332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</row>
    <row r="446">
      <c r="B446" s="331"/>
      <c r="C446" s="15"/>
      <c r="D446" s="332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</row>
    <row r="447">
      <c r="B447" s="331"/>
      <c r="C447" s="15"/>
      <c r="D447" s="332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</row>
    <row r="448">
      <c r="B448" s="331"/>
      <c r="C448" s="15"/>
      <c r="D448" s="332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</row>
    <row r="449">
      <c r="B449" s="331"/>
      <c r="C449" s="15"/>
      <c r="D449" s="332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</row>
    <row r="450">
      <c r="B450" s="331"/>
      <c r="C450" s="15"/>
      <c r="D450" s="332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</row>
    <row r="451">
      <c r="B451" s="331"/>
      <c r="C451" s="15"/>
      <c r="D451" s="332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</row>
    <row r="452">
      <c r="B452" s="331"/>
      <c r="C452" s="15"/>
      <c r="D452" s="332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</row>
    <row r="453">
      <c r="B453" s="331"/>
      <c r="C453" s="15"/>
      <c r="D453" s="332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</row>
    <row r="454">
      <c r="B454" s="331"/>
      <c r="C454" s="15"/>
      <c r="D454" s="332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</row>
    <row r="455">
      <c r="B455" s="331"/>
      <c r="C455" s="15"/>
      <c r="D455" s="332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</row>
    <row r="456">
      <c r="B456" s="331"/>
      <c r="C456" s="15"/>
      <c r="D456" s="332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</row>
    <row r="457">
      <c r="B457" s="331"/>
      <c r="C457" s="15"/>
      <c r="D457" s="332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</row>
    <row r="458">
      <c r="B458" s="331"/>
      <c r="C458" s="15"/>
      <c r="D458" s="332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</row>
    <row r="459">
      <c r="B459" s="331"/>
      <c r="C459" s="15"/>
      <c r="D459" s="332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</row>
    <row r="460">
      <c r="B460" s="331"/>
      <c r="C460" s="15"/>
      <c r="D460" s="332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</row>
    <row r="461">
      <c r="B461" s="331"/>
      <c r="C461" s="15"/>
      <c r="D461" s="332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</row>
    <row r="462">
      <c r="B462" s="331"/>
      <c r="C462" s="15"/>
      <c r="D462" s="332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</row>
    <row r="463">
      <c r="B463" s="331"/>
      <c r="C463" s="15"/>
      <c r="D463" s="332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</row>
    <row r="464">
      <c r="B464" s="331"/>
      <c r="C464" s="15"/>
      <c r="D464" s="332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</row>
    <row r="465">
      <c r="B465" s="331"/>
      <c r="C465" s="15"/>
      <c r="D465" s="332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</row>
    <row r="466">
      <c r="B466" s="331"/>
      <c r="C466" s="15"/>
      <c r="D466" s="332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</row>
    <row r="467">
      <c r="B467" s="331"/>
      <c r="C467" s="15"/>
      <c r="D467" s="332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</row>
    <row r="468">
      <c r="B468" s="331"/>
      <c r="C468" s="15"/>
      <c r="D468" s="332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</row>
    <row r="469">
      <c r="B469" s="331"/>
      <c r="C469" s="15"/>
      <c r="D469" s="332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</row>
    <row r="470">
      <c r="B470" s="331"/>
      <c r="C470" s="15"/>
      <c r="D470" s="332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</row>
    <row r="471">
      <c r="B471" s="331"/>
      <c r="C471" s="15"/>
      <c r="D471" s="332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</row>
    <row r="472">
      <c r="B472" s="331"/>
      <c r="C472" s="15"/>
      <c r="D472" s="332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</row>
    <row r="473">
      <c r="B473" s="331"/>
      <c r="C473" s="15"/>
      <c r="D473" s="332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</row>
    <row r="474">
      <c r="B474" s="331"/>
      <c r="C474" s="15"/>
      <c r="D474" s="332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</row>
    <row r="475">
      <c r="B475" s="331"/>
      <c r="C475" s="15"/>
      <c r="D475" s="332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</row>
    <row r="476">
      <c r="B476" s="331"/>
      <c r="C476" s="15"/>
      <c r="D476" s="332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</row>
    <row r="477">
      <c r="B477" s="331"/>
      <c r="C477" s="15"/>
      <c r="D477" s="332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</row>
    <row r="478">
      <c r="B478" s="331"/>
      <c r="C478" s="15"/>
      <c r="D478" s="332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</row>
    <row r="479">
      <c r="B479" s="331"/>
      <c r="C479" s="15"/>
      <c r="D479" s="332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</row>
    <row r="480">
      <c r="B480" s="331"/>
      <c r="C480" s="15"/>
      <c r="D480" s="332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</row>
    <row r="481">
      <c r="B481" s="331"/>
      <c r="C481" s="15"/>
      <c r="D481" s="332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</row>
    <row r="482">
      <c r="B482" s="331"/>
      <c r="C482" s="15"/>
      <c r="D482" s="332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</row>
    <row r="483">
      <c r="B483" s="331"/>
      <c r="C483" s="15"/>
      <c r="D483" s="332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</row>
    <row r="484">
      <c r="B484" s="331"/>
      <c r="C484" s="15"/>
      <c r="D484" s="332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</row>
    <row r="485">
      <c r="B485" s="331"/>
      <c r="C485" s="15"/>
      <c r="D485" s="332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</row>
    <row r="486">
      <c r="B486" s="331"/>
      <c r="C486" s="15"/>
      <c r="D486" s="332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</row>
    <row r="487">
      <c r="B487" s="331"/>
      <c r="C487" s="15"/>
      <c r="D487" s="332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</row>
    <row r="488">
      <c r="B488" s="331"/>
      <c r="C488" s="15"/>
      <c r="D488" s="332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</row>
    <row r="489">
      <c r="B489" s="331"/>
      <c r="C489" s="15"/>
      <c r="D489" s="332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</row>
    <row r="490">
      <c r="B490" s="331"/>
      <c r="C490" s="15"/>
      <c r="D490" s="332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</row>
    <row r="491">
      <c r="B491" s="331"/>
      <c r="C491" s="15"/>
      <c r="D491" s="332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</row>
    <row r="492">
      <c r="B492" s="331"/>
      <c r="C492" s="15"/>
      <c r="D492" s="332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</row>
    <row r="493">
      <c r="B493" s="331"/>
      <c r="C493" s="15"/>
      <c r="D493" s="332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</row>
    <row r="494">
      <c r="B494" s="331"/>
      <c r="C494" s="15"/>
      <c r="D494" s="332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</row>
    <row r="495">
      <c r="B495" s="331"/>
      <c r="C495" s="15"/>
      <c r="D495" s="332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</row>
    <row r="496">
      <c r="B496" s="331"/>
      <c r="C496" s="15"/>
      <c r="D496" s="332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</row>
    <row r="497">
      <c r="B497" s="331"/>
      <c r="C497" s="15"/>
      <c r="D497" s="332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</row>
    <row r="498">
      <c r="B498" s="331"/>
      <c r="C498" s="15"/>
      <c r="D498" s="332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</row>
    <row r="499">
      <c r="B499" s="331"/>
      <c r="C499" s="15"/>
      <c r="D499" s="332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</row>
    <row r="500">
      <c r="B500" s="331"/>
      <c r="C500" s="15"/>
      <c r="D500" s="332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</row>
    <row r="501">
      <c r="B501" s="331"/>
      <c r="C501" s="15"/>
      <c r="D501" s="332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</row>
    <row r="502">
      <c r="B502" s="331"/>
      <c r="C502" s="15"/>
      <c r="D502" s="332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</row>
    <row r="503">
      <c r="B503" s="331"/>
      <c r="C503" s="15"/>
      <c r="D503" s="332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</row>
    <row r="504">
      <c r="B504" s="331"/>
      <c r="C504" s="15"/>
      <c r="D504" s="332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</row>
    <row r="505">
      <c r="B505" s="331"/>
      <c r="C505" s="15"/>
      <c r="D505" s="332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</row>
    <row r="506">
      <c r="B506" s="331"/>
      <c r="C506" s="15"/>
      <c r="D506" s="332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</row>
    <row r="507">
      <c r="B507" s="331"/>
      <c r="C507" s="15"/>
      <c r="D507" s="332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</row>
    <row r="508">
      <c r="B508" s="331"/>
      <c r="C508" s="15"/>
      <c r="D508" s="332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</row>
    <row r="509">
      <c r="B509" s="331"/>
      <c r="C509" s="15"/>
      <c r="D509" s="332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</row>
    <row r="510">
      <c r="B510" s="331"/>
      <c r="C510" s="15"/>
      <c r="D510" s="332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</row>
    <row r="511">
      <c r="B511" s="331"/>
      <c r="C511" s="15"/>
      <c r="D511" s="332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</row>
    <row r="512">
      <c r="B512" s="331"/>
      <c r="C512" s="15"/>
      <c r="D512" s="332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</row>
    <row r="513">
      <c r="B513" s="331"/>
      <c r="C513" s="15"/>
      <c r="D513" s="332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</row>
    <row r="514">
      <c r="B514" s="331"/>
      <c r="C514" s="15"/>
      <c r="D514" s="332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</row>
    <row r="515">
      <c r="B515" s="331"/>
      <c r="C515" s="15"/>
      <c r="D515" s="332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</row>
    <row r="516">
      <c r="B516" s="331"/>
      <c r="C516" s="15"/>
      <c r="D516" s="332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</row>
    <row r="517">
      <c r="B517" s="331"/>
      <c r="C517" s="15"/>
      <c r="D517" s="332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</row>
    <row r="518">
      <c r="B518" s="331"/>
      <c r="C518" s="15"/>
      <c r="D518" s="332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</row>
    <row r="519">
      <c r="B519" s="331"/>
      <c r="C519" s="15"/>
      <c r="D519" s="332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</row>
    <row r="520">
      <c r="B520" s="331"/>
      <c r="C520" s="15"/>
      <c r="D520" s="332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</row>
    <row r="521">
      <c r="B521" s="331"/>
      <c r="C521" s="15"/>
      <c r="D521" s="332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</row>
    <row r="522">
      <c r="B522" s="331"/>
      <c r="C522" s="15"/>
      <c r="D522" s="332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</row>
    <row r="523">
      <c r="B523" s="331"/>
      <c r="C523" s="15"/>
      <c r="D523" s="332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</row>
    <row r="524">
      <c r="B524" s="331"/>
      <c r="C524" s="15"/>
      <c r="D524" s="332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</row>
    <row r="525">
      <c r="B525" s="331"/>
      <c r="C525" s="15"/>
      <c r="D525" s="332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</row>
    <row r="526">
      <c r="B526" s="331"/>
      <c r="C526" s="15"/>
      <c r="D526" s="332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</row>
    <row r="527">
      <c r="B527" s="331"/>
      <c r="C527" s="15"/>
      <c r="D527" s="332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</row>
    <row r="528">
      <c r="B528" s="331"/>
      <c r="C528" s="15"/>
      <c r="D528" s="332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</row>
    <row r="529">
      <c r="B529" s="331"/>
      <c r="C529" s="15"/>
      <c r="D529" s="332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</row>
    <row r="530">
      <c r="B530" s="331"/>
      <c r="C530" s="15"/>
      <c r="D530" s="332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</row>
    <row r="531">
      <c r="B531" s="331"/>
      <c r="C531" s="15"/>
      <c r="D531" s="332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</row>
    <row r="532">
      <c r="B532" s="331"/>
      <c r="C532" s="15"/>
      <c r="D532" s="332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</row>
    <row r="533">
      <c r="B533" s="331"/>
      <c r="C533" s="15"/>
      <c r="D533" s="332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</row>
    <row r="534">
      <c r="B534" s="331"/>
      <c r="C534" s="15"/>
      <c r="D534" s="332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</row>
    <row r="535">
      <c r="B535" s="331"/>
      <c r="C535" s="15"/>
      <c r="D535" s="332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</row>
    <row r="536">
      <c r="B536" s="331"/>
      <c r="C536" s="15"/>
      <c r="D536" s="332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</row>
    <row r="537">
      <c r="B537" s="331"/>
      <c r="C537" s="15"/>
      <c r="D537" s="332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</row>
    <row r="538">
      <c r="B538" s="331"/>
      <c r="C538" s="15"/>
      <c r="D538" s="332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</row>
    <row r="539">
      <c r="B539" s="331"/>
      <c r="C539" s="15"/>
      <c r="D539" s="332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</row>
    <row r="540">
      <c r="B540" s="331"/>
      <c r="C540" s="15"/>
      <c r="D540" s="332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</row>
    <row r="541">
      <c r="B541" s="331"/>
      <c r="C541" s="15"/>
      <c r="D541" s="332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</row>
    <row r="542">
      <c r="B542" s="331"/>
      <c r="C542" s="15"/>
      <c r="D542" s="332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</row>
    <row r="543">
      <c r="B543" s="331"/>
      <c r="C543" s="15"/>
      <c r="D543" s="332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</row>
    <row r="544">
      <c r="B544" s="331"/>
      <c r="C544" s="15"/>
      <c r="D544" s="332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</row>
    <row r="545">
      <c r="B545" s="331"/>
      <c r="C545" s="15"/>
      <c r="D545" s="332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</row>
    <row r="546">
      <c r="B546" s="331"/>
      <c r="C546" s="15"/>
      <c r="D546" s="332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</row>
    <row r="547">
      <c r="B547" s="331"/>
      <c r="C547" s="15"/>
      <c r="D547" s="332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</row>
    <row r="548">
      <c r="B548" s="331"/>
      <c r="C548" s="15"/>
      <c r="D548" s="332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</row>
    <row r="549">
      <c r="B549" s="331"/>
      <c r="C549" s="15"/>
      <c r="D549" s="332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</row>
    <row r="550">
      <c r="B550" s="331"/>
      <c r="C550" s="15"/>
      <c r="D550" s="332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</row>
    <row r="551">
      <c r="B551" s="331"/>
      <c r="C551" s="15"/>
      <c r="D551" s="332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</row>
    <row r="552">
      <c r="B552" s="331"/>
      <c r="C552" s="15"/>
      <c r="D552" s="332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</row>
    <row r="553">
      <c r="B553" s="331"/>
      <c r="C553" s="15"/>
      <c r="D553" s="332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</row>
    <row r="554">
      <c r="B554" s="331"/>
      <c r="C554" s="15"/>
      <c r="D554" s="332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</row>
    <row r="555">
      <c r="B555" s="331"/>
      <c r="C555" s="15"/>
      <c r="D555" s="332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</row>
    <row r="556">
      <c r="B556" s="331"/>
      <c r="C556" s="15"/>
      <c r="D556" s="332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</row>
    <row r="557">
      <c r="B557" s="331"/>
      <c r="C557" s="15"/>
      <c r="D557" s="332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</row>
    <row r="558">
      <c r="B558" s="331"/>
      <c r="C558" s="15"/>
      <c r="D558" s="332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</row>
    <row r="559">
      <c r="B559" s="331"/>
      <c r="C559" s="15"/>
      <c r="D559" s="332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</row>
    <row r="560">
      <c r="B560" s="331"/>
      <c r="C560" s="15"/>
      <c r="D560" s="332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</row>
    <row r="561">
      <c r="B561" s="331"/>
      <c r="C561" s="15"/>
      <c r="D561" s="332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</row>
    <row r="562">
      <c r="B562" s="331"/>
      <c r="C562" s="15"/>
      <c r="D562" s="332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</row>
    <row r="563">
      <c r="B563" s="331"/>
      <c r="C563" s="15"/>
      <c r="D563" s="332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</row>
    <row r="564">
      <c r="B564" s="331"/>
      <c r="C564" s="15"/>
      <c r="D564" s="332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</row>
  </sheetData>
  <mergeCells count="26">
    <mergeCell ref="B2:B5"/>
    <mergeCell ref="C5:O5"/>
    <mergeCell ref="B6:B9"/>
    <mergeCell ref="C9:O9"/>
    <mergeCell ref="B10:B13"/>
    <mergeCell ref="C13:O13"/>
    <mergeCell ref="C17:O17"/>
    <mergeCell ref="B42:B45"/>
    <mergeCell ref="B46:B49"/>
    <mergeCell ref="B50:B53"/>
    <mergeCell ref="B14:B17"/>
    <mergeCell ref="B18:B21"/>
    <mergeCell ref="B22:B25"/>
    <mergeCell ref="B26:B28"/>
    <mergeCell ref="B30:B33"/>
    <mergeCell ref="B34:B37"/>
    <mergeCell ref="B38:B41"/>
    <mergeCell ref="C49:O49"/>
    <mergeCell ref="C53:O53"/>
    <mergeCell ref="C21:O21"/>
    <mergeCell ref="C25:O25"/>
    <mergeCell ref="C29:O29"/>
    <mergeCell ref="C33:O33"/>
    <mergeCell ref="C37:O37"/>
    <mergeCell ref="C41:O41"/>
    <mergeCell ref="C45:O45"/>
  </mergeCells>
  <conditionalFormatting sqref="A114:A119">
    <cfRule type="colorScale" priority="1">
      <colorScale>
        <cfvo type="formula" val="0"/>
        <cfvo type="percent" val="50"/>
        <cfvo type="percent" val="100"/>
        <color rgb="FFFF0000"/>
        <color rgb="FFFFFF00"/>
        <color rgb="FF34A853"/>
      </colorScale>
    </cfRule>
  </conditionalFormatting>
  <conditionalFormatting sqref="B113:AH119">
    <cfRule type="notContainsBlanks" dxfId="5" priority="2">
      <formula>LEN(TRIM(B113))&gt;0</formula>
    </cfRule>
  </conditionalFormatting>
  <conditionalFormatting sqref="B113:AH119">
    <cfRule type="containsBlanks" dxfId="6" priority="3">
      <formula>LEN(TRIM(B113))=0</formula>
    </cfRule>
  </conditionalFormatting>
  <conditionalFormatting sqref="I88:W112 B89:H112 X111:AH112">
    <cfRule type="containsBlanks" dxfId="6" priority="4">
      <formula>LEN(TRIM(I88))=0</formula>
    </cfRule>
  </conditionalFormatting>
  <conditionalFormatting sqref="I88:W112 B89:H112 X111:AH112">
    <cfRule type="notContainsBlanks" dxfId="5" priority="5">
      <formula>LEN(TRIM(I88))&gt;0</formula>
    </cfRule>
  </conditionalFormatting>
  <conditionalFormatting sqref="I87:W88 B88:H88">
    <cfRule type="containsBlanks" dxfId="6" priority="6">
      <formula>LEN(TRIM(I87))=0</formula>
    </cfRule>
  </conditionalFormatting>
  <conditionalFormatting sqref="I87:W88 B88:H88">
    <cfRule type="notContainsBlanks" dxfId="5" priority="7">
      <formula>LEN(TRIM(I87))&gt;0</formula>
    </cfRule>
  </conditionalFormatting>
  <conditionalFormatting sqref="I86:W87 B87:H87">
    <cfRule type="containsBlanks" dxfId="6" priority="8">
      <formula>LEN(TRIM(I86))=0</formula>
    </cfRule>
  </conditionalFormatting>
  <conditionalFormatting sqref="I86:W87 B87:H87">
    <cfRule type="notContainsBlanks" dxfId="5" priority="9">
      <formula>LEN(TRIM(I86))&gt;0</formula>
    </cfRule>
  </conditionalFormatting>
  <conditionalFormatting sqref="I85:W86 B86:H86">
    <cfRule type="containsBlanks" dxfId="6" priority="10">
      <formula>LEN(TRIM(I85))=0</formula>
    </cfRule>
  </conditionalFormatting>
  <conditionalFormatting sqref="I85:W86 B86:H86">
    <cfRule type="notContainsBlanks" dxfId="5" priority="11">
      <formula>LEN(TRIM(I85))&gt;0</formula>
    </cfRule>
  </conditionalFormatting>
  <conditionalFormatting sqref="I83:W85 B84:H85 B132:W132">
    <cfRule type="containsBlanks" dxfId="6" priority="12">
      <formula>LEN(TRIM(I83))=0</formula>
    </cfRule>
  </conditionalFormatting>
  <conditionalFormatting sqref="I83:W85 B84:H85 B132:W132">
    <cfRule type="notContainsBlanks" dxfId="5" priority="13">
      <formula>LEN(TRIM(I83))&gt;0</formula>
    </cfRule>
  </conditionalFormatting>
  <conditionalFormatting sqref="I81:W83 B82:H83">
    <cfRule type="containsBlanks" dxfId="6" priority="14">
      <formula>LEN(TRIM(I81))=0</formula>
    </cfRule>
  </conditionalFormatting>
  <conditionalFormatting sqref="I81:W83 B82:H83">
    <cfRule type="notContainsBlanks" dxfId="5" priority="15">
      <formula>LEN(TRIM(I81))&gt;0</formula>
    </cfRule>
  </conditionalFormatting>
  <conditionalFormatting sqref="I79:W81 B80:H81">
    <cfRule type="notContainsBlanks" dxfId="5" priority="16">
      <formula>LEN(TRIM(I79))&gt;0</formula>
    </cfRule>
  </conditionalFormatting>
  <conditionalFormatting sqref="I79:W81 B80:H81">
    <cfRule type="containsBlanks" dxfId="6" priority="17">
      <formula>LEN(TRIM(I79))=0</formula>
    </cfRule>
  </conditionalFormatting>
  <conditionalFormatting sqref="B79:W79">
    <cfRule type="containsBlanks" dxfId="6" priority="18">
      <formula>LEN(TRIM(B79))=0</formula>
    </cfRule>
  </conditionalFormatting>
  <conditionalFormatting sqref="B79:W79">
    <cfRule type="notContainsBlanks" dxfId="5" priority="19">
      <formula>LEN(TRIM(B79))&gt;0</formula>
    </cfRule>
  </conditionalFormatting>
  <conditionalFormatting sqref="B78:AH78">
    <cfRule type="containsBlanks" dxfId="6" priority="20">
      <formula>LEN(TRIM(B78))=0</formula>
    </cfRule>
  </conditionalFormatting>
  <conditionalFormatting sqref="B78:AH78">
    <cfRule type="notContainsBlanks" dxfId="5" priority="21">
      <formula>LEN(TRIM(B78))&gt;0</formula>
    </cfRule>
  </conditionalFormatting>
  <conditionalFormatting sqref="B77:AH77">
    <cfRule type="containsBlanks" dxfId="6" priority="22">
      <formula>LEN(TRIM(B77))=0</formula>
    </cfRule>
  </conditionalFormatting>
  <conditionalFormatting sqref="B77:AH77">
    <cfRule type="notContainsBlanks" dxfId="5" priority="23">
      <formula>LEN(TRIM(B77))&gt;0</formula>
    </cfRule>
  </conditionalFormatting>
  <conditionalFormatting sqref="B76:AH76">
    <cfRule type="notContainsBlanks" dxfId="5" priority="24">
      <formula>LEN(TRIM(B76))&gt;0</formula>
    </cfRule>
  </conditionalFormatting>
  <conditionalFormatting sqref="B76:AH76">
    <cfRule type="containsBlanks" dxfId="6" priority="25">
      <formula>LEN(TRIM(B76))=0</formula>
    </cfRule>
  </conditionalFormatting>
  <conditionalFormatting sqref="B75:AH75">
    <cfRule type="notContainsBlanks" dxfId="5" priority="26">
      <formula>LEN(TRIM(B75))&gt;0</formula>
    </cfRule>
  </conditionalFormatting>
  <conditionalFormatting sqref="B75:AH75">
    <cfRule type="containsBlanks" dxfId="6" priority="27">
      <formula>LEN(TRIM(B75))=0</formula>
    </cfRule>
  </conditionalFormatting>
  <conditionalFormatting sqref="B64:AH74">
    <cfRule type="containsBlanks" dxfId="6" priority="28">
      <formula>LEN(TRIM(B64))=0</formula>
    </cfRule>
  </conditionalFormatting>
  <conditionalFormatting sqref="B64:AH74">
    <cfRule type="notContainsBlanks" dxfId="5" priority="29">
      <formula>LEN(TRIM(B64))&gt;0</formula>
    </cfRule>
  </conditionalFormatting>
  <conditionalFormatting sqref="B63:AH63">
    <cfRule type="containsBlanks" dxfId="6" priority="30">
      <formula>LEN(TRIM(B63))=0</formula>
    </cfRule>
  </conditionalFormatting>
  <conditionalFormatting sqref="B63:AH63">
    <cfRule type="notContainsBlanks" dxfId="5" priority="31">
      <formula>LEN(TRIM(B63))&gt;0</formula>
    </cfRule>
  </conditionalFormatting>
  <conditionalFormatting sqref="B62:AH62">
    <cfRule type="notContainsBlanks" dxfId="5" priority="32">
      <formula>LEN(TRIM(B62))&gt;0</formula>
    </cfRule>
  </conditionalFormatting>
  <conditionalFormatting sqref="B62:AH62">
    <cfRule type="containsBlanks" dxfId="6" priority="33">
      <formula>LEN(TRIM(B62))=0</formula>
    </cfRule>
  </conditionalFormatting>
  <conditionalFormatting sqref="B60:AH61">
    <cfRule type="notContainsBlanks" dxfId="5" priority="34">
      <formula>LEN(TRIM(B60))&gt;0</formula>
    </cfRule>
  </conditionalFormatting>
  <conditionalFormatting sqref="B60:AH61">
    <cfRule type="containsBlanks" dxfId="6" priority="35">
      <formula>LEN(TRIM(B60))=0</formula>
    </cfRule>
  </conditionalFormatting>
  <conditionalFormatting sqref="B59:AH59">
    <cfRule type="notContainsBlanks" dxfId="5" priority="36">
      <formula>LEN(TRIM(B59))&gt;0</formula>
    </cfRule>
  </conditionalFormatting>
  <conditionalFormatting sqref="B59:AH59">
    <cfRule type="containsBlanks" dxfId="6" priority="37">
      <formula>LEN(TRIM(B59))=0</formula>
    </cfRule>
  </conditionalFormatting>
  <conditionalFormatting sqref="B58:AH58">
    <cfRule type="containsBlanks" dxfId="6" priority="38">
      <formula>LEN(TRIM(B58))=0</formula>
    </cfRule>
  </conditionalFormatting>
  <conditionalFormatting sqref="B58:AH58">
    <cfRule type="notContainsBlanks" dxfId="5" priority="39">
      <formula>LEN(TRIM(B58))&gt;0</formula>
    </cfRule>
  </conditionalFormatting>
  <conditionalFormatting sqref="B57:AH57">
    <cfRule type="containsBlanks" dxfId="6" priority="40">
      <formula>LEN(TRIM(B57))=0</formula>
    </cfRule>
  </conditionalFormatting>
  <conditionalFormatting sqref="B57:AH57">
    <cfRule type="notContainsBlanks" dxfId="5" priority="41">
      <formula>LEN(TRIM(B57))&gt;0</formula>
    </cfRule>
  </conditionalFormatting>
  <conditionalFormatting sqref="B56:AH56">
    <cfRule type="containsBlanks" dxfId="6" priority="42">
      <formula>LEN(TRIM(B56))=0</formula>
    </cfRule>
  </conditionalFormatting>
  <conditionalFormatting sqref="B56:AH56">
    <cfRule type="notContainsBlanks" dxfId="5" priority="43">
      <formula>LEN(TRIM(B56))&gt;0</formula>
    </cfRule>
  </conditionalFormatting>
  <conditionalFormatting sqref="B55:AH55">
    <cfRule type="containsBlanks" dxfId="6" priority="44">
      <formula>LEN(TRIM(B55))=0</formula>
    </cfRule>
  </conditionalFormatting>
  <conditionalFormatting sqref="B55:AH55">
    <cfRule type="notContainsBlanks" dxfId="5" priority="45">
      <formula>LEN(TRIM(B55))&gt;0</formula>
    </cfRule>
  </conditionalFormatting>
  <conditionalFormatting sqref="B54:P54">
    <cfRule type="notContainsBlanks" dxfId="5" priority="46">
      <formula>LEN(TRIM(B54))&gt;0</formula>
    </cfRule>
  </conditionalFormatting>
  <conditionalFormatting sqref="B54:P54">
    <cfRule type="containsBlanks" dxfId="6" priority="47">
      <formula>LEN(TRIM(B54))=0</formula>
    </cfRule>
  </conditionalFormatting>
  <conditionalFormatting sqref="C50:O53">
    <cfRule type="containsBlanks" dxfId="9" priority="48">
      <formula>LEN(TRIM(C50))=0</formula>
    </cfRule>
  </conditionalFormatting>
  <conditionalFormatting sqref="C46:O49">
    <cfRule type="containsBlanks" dxfId="9" priority="49">
      <formula>LEN(TRIM(C46))=0</formula>
    </cfRule>
  </conditionalFormatting>
  <conditionalFormatting sqref="C42:O45">
    <cfRule type="containsBlanks" dxfId="9" priority="50">
      <formula>LEN(TRIM(C42))=0</formula>
    </cfRule>
  </conditionalFormatting>
  <conditionalFormatting sqref="C38:O41">
    <cfRule type="containsBlanks" dxfId="9" priority="51">
      <formula>LEN(TRIM(C38))=0</formula>
    </cfRule>
  </conditionalFormatting>
  <conditionalFormatting sqref="C34:O37">
    <cfRule type="containsBlanks" dxfId="9" priority="52">
      <formula>LEN(TRIM(C34))=0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8.0"/>
    <col customWidth="1" min="3" max="3" width="23.88"/>
    <col customWidth="1" min="4" max="4" width="33.0"/>
  </cols>
  <sheetData>
    <row r="1" ht="22.5" customHeight="1">
      <c r="A1" s="155" t="s">
        <v>236</v>
      </c>
      <c r="B1" s="155" t="s">
        <v>237</v>
      </c>
      <c r="C1" s="155" t="s">
        <v>238</v>
      </c>
      <c r="D1" s="155" t="s">
        <v>21</v>
      </c>
    </row>
    <row r="2" ht="22.5" customHeight="1">
      <c r="A2" s="156" t="s">
        <v>92</v>
      </c>
      <c r="B2" s="157">
        <f>SUM(JAN!B2:B65)</f>
        <v>9180</v>
      </c>
      <c r="C2" s="158">
        <f>SUM(JAN!C2:C65)</f>
        <v>0</v>
      </c>
      <c r="D2" s="159">
        <f t="shared" ref="D2:D13" si="1">B2-C2</f>
        <v>9180</v>
      </c>
    </row>
    <row r="3" ht="22.5" customHeight="1">
      <c r="A3" s="156" t="s">
        <v>93</v>
      </c>
      <c r="B3" s="157">
        <f>SUM(FEV!B3:B62)</f>
        <v>3007</v>
      </c>
      <c r="C3" s="158">
        <f>SUM(FEV!C3:C62)</f>
        <v>0</v>
      </c>
      <c r="D3" s="159">
        <f t="shared" si="1"/>
        <v>3007</v>
      </c>
    </row>
    <row r="4" ht="22.5" customHeight="1">
      <c r="A4" s="156" t="s">
        <v>94</v>
      </c>
      <c r="B4" s="157">
        <f>SUM(MAR!B3:B63)</f>
        <v>4080</v>
      </c>
      <c r="C4" s="158">
        <f>SUM(MAR!C3:C63)</f>
        <v>0</v>
      </c>
      <c r="D4" s="159">
        <f t="shared" si="1"/>
        <v>4080</v>
      </c>
    </row>
    <row r="5" ht="22.5" customHeight="1">
      <c r="A5" s="156" t="s">
        <v>95</v>
      </c>
      <c r="B5" s="157">
        <f>SUM(ABR!B3:B64)</f>
        <v>4206.5</v>
      </c>
      <c r="C5" s="158">
        <f>SUM(ABR!C3:C64)</f>
        <v>0</v>
      </c>
      <c r="D5" s="159">
        <f t="shared" si="1"/>
        <v>4206.5</v>
      </c>
    </row>
    <row r="6" ht="22.5" customHeight="1">
      <c r="A6" s="156" t="s">
        <v>242</v>
      </c>
      <c r="B6" s="157">
        <f>SUM(MAI!B3:B65)</f>
        <v>9702.5</v>
      </c>
      <c r="C6" s="158">
        <f>SUM(MAI!C3:C65)</f>
        <v>0</v>
      </c>
      <c r="D6" s="159">
        <f t="shared" si="1"/>
        <v>9702.5</v>
      </c>
    </row>
    <row r="7" ht="22.5" customHeight="1">
      <c r="A7" s="156" t="s">
        <v>97</v>
      </c>
      <c r="B7" s="157">
        <f>SUM(JUN!B3:B66)</f>
        <v>8412</v>
      </c>
      <c r="C7" s="158">
        <f>SUM(JUN!C3:C66)</f>
        <v>0</v>
      </c>
      <c r="D7" s="159">
        <f t="shared" si="1"/>
        <v>8412</v>
      </c>
    </row>
    <row r="8" ht="22.5" customHeight="1">
      <c r="A8" s="156" t="s">
        <v>249</v>
      </c>
      <c r="B8" s="157">
        <f>SUM(JUL!B3:B67)</f>
        <v>15122</v>
      </c>
      <c r="C8" s="158">
        <f>SUM(JUL!C3:C67)</f>
        <v>0</v>
      </c>
      <c r="D8" s="159">
        <f t="shared" si="1"/>
        <v>15122</v>
      </c>
    </row>
    <row r="9" ht="22.5" customHeight="1">
      <c r="A9" s="156" t="s">
        <v>99</v>
      </c>
      <c r="B9" s="157">
        <f>SUM(AGO!B4:B70)</f>
        <v>18186</v>
      </c>
      <c r="C9" s="158">
        <f>SUM(AGO!C4:C70)</f>
        <v>0</v>
      </c>
      <c r="D9" s="159">
        <f t="shared" si="1"/>
        <v>18186</v>
      </c>
    </row>
    <row r="10" ht="22.5" customHeight="1">
      <c r="A10" s="156" t="s">
        <v>100</v>
      </c>
      <c r="B10" s="157">
        <f>SUM(SET!B3:B72)</f>
        <v>20017</v>
      </c>
      <c r="C10" s="158">
        <f>SUM(SET!C3:C72)</f>
        <v>0</v>
      </c>
      <c r="D10" s="159">
        <f t="shared" si="1"/>
        <v>20017</v>
      </c>
    </row>
    <row r="11" ht="22.5" customHeight="1">
      <c r="A11" s="156" t="s">
        <v>103</v>
      </c>
      <c r="B11" s="157"/>
      <c r="C11" s="158"/>
      <c r="D11" s="159">
        <f t="shared" si="1"/>
        <v>0</v>
      </c>
    </row>
    <row r="12" ht="22.5" customHeight="1">
      <c r="A12" s="156" t="s">
        <v>266</v>
      </c>
      <c r="B12" s="157"/>
      <c r="C12" s="158"/>
      <c r="D12" s="159">
        <f t="shared" si="1"/>
        <v>0</v>
      </c>
    </row>
    <row r="13" ht="22.5" customHeight="1">
      <c r="A13" s="156" t="s">
        <v>109</v>
      </c>
      <c r="B13" s="157"/>
      <c r="C13" s="158"/>
      <c r="D13" s="159">
        <f t="shared" si="1"/>
        <v>0</v>
      </c>
    </row>
    <row r="14" ht="22.5" customHeight="1">
      <c r="A14" s="156" t="s">
        <v>270</v>
      </c>
      <c r="B14" s="192">
        <f>SUM(B2:B13)</f>
        <v>91913</v>
      </c>
      <c r="C14" s="194">
        <f>SUM(C1:C13)</f>
        <v>0</v>
      </c>
      <c r="D14" s="192">
        <f>SUM(D2:D13)</f>
        <v>91913</v>
      </c>
    </row>
  </sheetData>
  <dataValidations>
    <dataValidation type="custom" allowBlank="1" showDropDown="1" sqref="B2:D14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0.38"/>
    <col customWidth="1" min="3" max="3" width="8.88"/>
    <col customWidth="1" min="4" max="4" width="11.38"/>
    <col customWidth="1" min="5" max="5" width="64.63"/>
    <col customWidth="1" min="6" max="6" width="12.88"/>
    <col customWidth="1" min="7" max="7" width="17.75"/>
    <col customWidth="1" min="8" max="8" width="14.88"/>
    <col customWidth="1" min="9" max="9" width="21.13"/>
  </cols>
  <sheetData>
    <row r="1" ht="22.5" customHeight="1">
      <c r="A1" s="162"/>
      <c r="B1" s="162"/>
      <c r="C1" s="162"/>
      <c r="D1" s="162"/>
      <c r="E1" s="163" t="s">
        <v>246</v>
      </c>
    </row>
    <row r="2" ht="22.5" customHeight="1">
      <c r="A2" s="164" t="s">
        <v>248</v>
      </c>
      <c r="B2" s="165" t="s">
        <v>250</v>
      </c>
      <c r="C2" s="164" t="s">
        <v>253</v>
      </c>
      <c r="D2" s="164" t="s">
        <v>254</v>
      </c>
      <c r="E2" s="164" t="s">
        <v>255</v>
      </c>
      <c r="F2" s="167" t="s">
        <v>57</v>
      </c>
      <c r="G2" s="30" t="s">
        <v>17</v>
      </c>
      <c r="H2" s="31" t="s">
        <v>19</v>
      </c>
      <c r="I2" s="33" t="s">
        <v>21</v>
      </c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ht="22.5" customHeight="1">
      <c r="A3" s="171">
        <v>46146.0</v>
      </c>
      <c r="B3" s="173">
        <v>230.0</v>
      </c>
      <c r="C3" s="174"/>
      <c r="D3" s="175" t="s">
        <v>258</v>
      </c>
      <c r="E3" s="176" t="s">
        <v>259</v>
      </c>
      <c r="F3" s="177" t="s">
        <v>62</v>
      </c>
      <c r="G3" s="42">
        <f t="shared" ref="G3:H3" si="1">SUM(B2:B41)</f>
        <v>9702.5</v>
      </c>
      <c r="H3" s="49">
        <f t="shared" si="1"/>
        <v>0</v>
      </c>
      <c r="I3" s="53">
        <f>G3-H3</f>
        <v>9702.5</v>
      </c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22.5" customHeight="1">
      <c r="A4" s="171">
        <v>46147.0</v>
      </c>
      <c r="B4" s="173">
        <v>40.0</v>
      </c>
      <c r="C4" s="174"/>
      <c r="D4" s="175" t="s">
        <v>11</v>
      </c>
      <c r="E4" s="176" t="s">
        <v>267</v>
      </c>
      <c r="F4" s="177" t="s">
        <v>62</v>
      </c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ht="22.5" customHeight="1">
      <c r="A5" s="171">
        <v>46147.0</v>
      </c>
      <c r="B5" s="173">
        <v>300.0</v>
      </c>
      <c r="C5" s="174"/>
      <c r="D5" s="175" t="s">
        <v>11</v>
      </c>
      <c r="E5" s="191" t="s">
        <v>271</v>
      </c>
      <c r="F5" s="177" t="s">
        <v>15</v>
      </c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 ht="22.5" customHeight="1">
      <c r="A6" s="171">
        <v>46149.0</v>
      </c>
      <c r="B6" s="173">
        <v>350.0</v>
      </c>
      <c r="C6" s="174"/>
      <c r="D6" s="175" t="s">
        <v>11</v>
      </c>
      <c r="E6" s="191" t="s">
        <v>278</v>
      </c>
      <c r="F6" s="177" t="s">
        <v>15</v>
      </c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ht="22.5" customHeight="1">
      <c r="A7" s="171">
        <v>46149.0</v>
      </c>
      <c r="B7" s="173">
        <v>65.0</v>
      </c>
      <c r="C7" s="174"/>
      <c r="D7" s="175" t="s">
        <v>286</v>
      </c>
      <c r="E7" s="191" t="s">
        <v>288</v>
      </c>
      <c r="F7" s="177" t="s">
        <v>62</v>
      </c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22.5" customHeight="1">
      <c r="A8" s="171">
        <v>46150.0</v>
      </c>
      <c r="B8" s="173">
        <v>300.0</v>
      </c>
      <c r="C8" s="199"/>
      <c r="D8" s="175" t="s">
        <v>11</v>
      </c>
      <c r="E8" s="191" t="s">
        <v>293</v>
      </c>
      <c r="F8" s="177" t="s">
        <v>15</v>
      </c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ht="22.5" customHeight="1">
      <c r="A9" s="171">
        <v>46153.0</v>
      </c>
      <c r="B9" s="173">
        <v>332.5</v>
      </c>
      <c r="C9" s="174"/>
      <c r="D9" s="175" t="s">
        <v>51</v>
      </c>
      <c r="E9" s="200" t="s">
        <v>301</v>
      </c>
      <c r="F9" s="177" t="s">
        <v>15</v>
      </c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22.5" customHeight="1">
      <c r="A10" s="171">
        <v>46154.0</v>
      </c>
      <c r="B10" s="173">
        <v>230.0</v>
      </c>
      <c r="C10" s="174"/>
      <c r="D10" s="175" t="s">
        <v>60</v>
      </c>
      <c r="E10" s="200" t="s">
        <v>305</v>
      </c>
      <c r="F10" s="177" t="s">
        <v>15</v>
      </c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22.5" customHeight="1">
      <c r="A11" s="171">
        <v>46160.0</v>
      </c>
      <c r="B11" s="173">
        <v>280.0</v>
      </c>
      <c r="C11" s="174"/>
      <c r="D11" s="175" t="s">
        <v>307</v>
      </c>
      <c r="E11" s="191" t="s">
        <v>308</v>
      </c>
      <c r="F11" s="177" t="s">
        <v>15</v>
      </c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22.5" customHeight="1">
      <c r="A12" s="171">
        <v>46160.0</v>
      </c>
      <c r="B12" s="173">
        <v>180.0</v>
      </c>
      <c r="C12" s="199"/>
      <c r="D12" s="175" t="s">
        <v>307</v>
      </c>
      <c r="E12" s="191"/>
      <c r="F12" s="177" t="s">
        <v>15</v>
      </c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22.5" customHeight="1">
      <c r="A13" s="171">
        <v>46161.0</v>
      </c>
      <c r="B13" s="173">
        <v>330.0</v>
      </c>
      <c r="C13" s="174"/>
      <c r="D13" s="175" t="s">
        <v>11</v>
      </c>
      <c r="E13" s="191" t="s">
        <v>311</v>
      </c>
      <c r="F13" s="177" t="s">
        <v>15</v>
      </c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ht="22.5" customHeight="1">
      <c r="A14" s="171">
        <v>46161.0</v>
      </c>
      <c r="B14" s="173">
        <v>250.0</v>
      </c>
      <c r="C14" s="174"/>
      <c r="D14" s="175" t="s">
        <v>11</v>
      </c>
      <c r="E14" s="191" t="s">
        <v>314</v>
      </c>
      <c r="F14" s="177" t="s">
        <v>15</v>
      </c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22.5" customHeight="1">
      <c r="A15" s="171">
        <v>46163.0</v>
      </c>
      <c r="B15" s="173">
        <v>250.0</v>
      </c>
      <c r="C15" s="174"/>
      <c r="D15" s="175" t="s">
        <v>11</v>
      </c>
      <c r="E15" s="191" t="s">
        <v>316</v>
      </c>
      <c r="F15" s="177" t="s">
        <v>15</v>
      </c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 ht="22.5" customHeight="1">
      <c r="A16" s="171">
        <v>46163.0</v>
      </c>
      <c r="B16" s="173">
        <v>140.0</v>
      </c>
      <c r="C16" s="174"/>
      <c r="D16" s="175" t="s">
        <v>11</v>
      </c>
      <c r="E16" s="191" t="s">
        <v>317</v>
      </c>
      <c r="F16" s="177" t="s">
        <v>62</v>
      </c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ht="22.5" customHeight="1">
      <c r="A17" s="171">
        <v>46163.0</v>
      </c>
      <c r="B17" s="173">
        <v>3780.0</v>
      </c>
      <c r="C17" s="174"/>
      <c r="D17" s="175" t="s">
        <v>319</v>
      </c>
      <c r="E17" s="200" t="s">
        <v>320</v>
      </c>
      <c r="F17" s="177" t="s">
        <v>15</v>
      </c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 ht="22.5" customHeight="1">
      <c r="A18" s="171">
        <v>46163.0</v>
      </c>
      <c r="B18" s="173">
        <v>990.0</v>
      </c>
      <c r="C18" s="174"/>
      <c r="D18" s="175" t="s">
        <v>324</v>
      </c>
      <c r="E18" s="191" t="s">
        <v>326</v>
      </c>
      <c r="F18" s="177" t="s">
        <v>15</v>
      </c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 ht="22.5" customHeight="1">
      <c r="A19" s="171">
        <v>46163.0</v>
      </c>
      <c r="B19" s="173">
        <v>300.0</v>
      </c>
      <c r="C19" s="174"/>
      <c r="D19" s="175" t="s">
        <v>11</v>
      </c>
      <c r="E19" s="191" t="s">
        <v>332</v>
      </c>
      <c r="F19" s="177" t="s">
        <v>15</v>
      </c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 ht="22.5" customHeight="1">
      <c r="A20" s="171">
        <v>46164.0</v>
      </c>
      <c r="B20" s="173">
        <v>65.0</v>
      </c>
      <c r="C20" s="174"/>
      <c r="D20" s="175" t="s">
        <v>11</v>
      </c>
      <c r="E20" s="191" t="s">
        <v>340</v>
      </c>
      <c r="F20" s="213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</row>
    <row r="21" ht="22.5" customHeight="1">
      <c r="A21" s="171">
        <v>46170.0</v>
      </c>
      <c r="B21" s="173">
        <v>240.0</v>
      </c>
      <c r="C21" s="174"/>
      <c r="D21" s="175" t="s">
        <v>11</v>
      </c>
      <c r="E21" s="191" t="s">
        <v>345</v>
      </c>
      <c r="F21" s="177" t="s">
        <v>62</v>
      </c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ht="22.5" customHeight="1">
      <c r="A22" s="171">
        <v>46170.0</v>
      </c>
      <c r="B22" s="173">
        <v>250.0</v>
      </c>
      <c r="C22" s="174"/>
      <c r="D22" s="175" t="s">
        <v>11</v>
      </c>
      <c r="E22" s="191" t="s">
        <v>352</v>
      </c>
      <c r="F22" s="177" t="s">
        <v>15</v>
      </c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 ht="22.5" customHeight="1">
      <c r="A23" s="171">
        <v>46171.0</v>
      </c>
      <c r="B23" s="173">
        <v>250.0</v>
      </c>
      <c r="C23" s="174"/>
      <c r="D23" s="175" t="s">
        <v>60</v>
      </c>
      <c r="E23" s="200" t="s">
        <v>359</v>
      </c>
      <c r="F23" s="177" t="s">
        <v>15</v>
      </c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</row>
    <row r="24" ht="22.5" customHeight="1">
      <c r="A24" s="171">
        <v>46154.0</v>
      </c>
      <c r="B24" s="173">
        <v>250.0</v>
      </c>
      <c r="C24" s="199"/>
      <c r="D24" s="175" t="s">
        <v>11</v>
      </c>
      <c r="E24" s="176" t="s">
        <v>376</v>
      </c>
      <c r="F24" s="213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22.5" customHeight="1">
      <c r="A25" s="171">
        <v>46165.0</v>
      </c>
      <c r="B25" s="173">
        <v>300.0</v>
      </c>
      <c r="C25" s="174"/>
      <c r="D25" s="175" t="s">
        <v>11</v>
      </c>
      <c r="E25" s="191" t="s">
        <v>380</v>
      </c>
      <c r="F25" s="177" t="s">
        <v>15</v>
      </c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ht="22.5" customHeight="1">
      <c r="A26" s="171"/>
      <c r="B26" s="173"/>
      <c r="C26" s="174"/>
      <c r="D26" s="175"/>
      <c r="E26" s="191"/>
      <c r="F26" s="213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22.5" customHeight="1">
      <c r="A27" s="171"/>
      <c r="B27" s="173"/>
      <c r="C27" s="174"/>
      <c r="D27" s="175"/>
      <c r="E27" s="191"/>
      <c r="F27" s="213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22.5" customHeight="1">
      <c r="A28" s="171"/>
      <c r="B28" s="173"/>
      <c r="C28" s="174"/>
      <c r="D28" s="175"/>
      <c r="E28" s="191"/>
      <c r="F28" s="213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 ht="22.5" customHeight="1">
      <c r="A29" s="171"/>
      <c r="B29" s="173"/>
      <c r="C29" s="174"/>
      <c r="D29" s="175"/>
      <c r="E29" s="191"/>
      <c r="F29" s="213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22.5" customHeight="1">
      <c r="A30" s="233"/>
      <c r="B30" s="234"/>
      <c r="C30" s="199"/>
      <c r="D30" s="235"/>
      <c r="E30" s="191"/>
      <c r="F30" s="213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>
      <c r="A31" s="237"/>
      <c r="B31" s="238"/>
      <c r="C31" s="239"/>
      <c r="D31" s="240"/>
      <c r="E31" s="12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>
      <c r="A32" s="242"/>
      <c r="B32" s="243"/>
      <c r="C32" s="244"/>
      <c r="D32" s="245"/>
      <c r="E32" s="12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>
      <c r="A33" s="237"/>
      <c r="B33" s="238"/>
      <c r="C33" s="239"/>
      <c r="D33" s="240"/>
      <c r="E33" s="12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>
      <c r="A34" s="237"/>
      <c r="B34" s="238"/>
      <c r="C34" s="239"/>
      <c r="D34" s="240"/>
      <c r="E34" s="12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>
      <c r="A35" s="237"/>
      <c r="B35" s="238"/>
      <c r="C35" s="239"/>
      <c r="D35" s="240"/>
      <c r="E35" s="12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>
      <c r="A36" s="237"/>
      <c r="B36" s="238"/>
      <c r="C36" s="239"/>
      <c r="D36" s="240"/>
      <c r="E36" s="12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>
      <c r="A37" s="237"/>
      <c r="B37" s="238"/>
      <c r="C37" s="239"/>
      <c r="D37" s="240"/>
      <c r="E37" s="12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>
      <c r="A38" s="237"/>
      <c r="B38" s="238"/>
      <c r="C38" s="239"/>
      <c r="D38" s="240"/>
      <c r="E38" s="12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>
      <c r="A39" s="237"/>
      <c r="B39" s="238"/>
      <c r="C39" s="239"/>
      <c r="D39" s="240"/>
      <c r="E39" s="12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>
      <c r="A40" s="242"/>
      <c r="B40" s="243"/>
      <c r="C40" s="244"/>
      <c r="D40" s="245"/>
      <c r="E40" s="12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>
      <c r="A41" s="237"/>
      <c r="B41" s="238"/>
      <c r="C41" s="239"/>
      <c r="D41" s="240"/>
      <c r="E41" s="12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>
      <c r="A42" s="237"/>
      <c r="B42" s="238"/>
      <c r="C42" s="239"/>
      <c r="D42" s="240"/>
      <c r="E42" s="12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>
      <c r="A43" s="237"/>
      <c r="B43" s="238"/>
      <c r="C43" s="239"/>
      <c r="D43" s="240"/>
      <c r="E43" s="12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>
      <c r="A44" s="237"/>
      <c r="B44" s="238"/>
      <c r="C44" s="239"/>
      <c r="D44" s="240"/>
      <c r="E44" s="12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>
      <c r="A45" s="237"/>
      <c r="B45" s="238"/>
      <c r="C45" s="239"/>
      <c r="D45" s="240"/>
      <c r="E45" s="12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>
      <c r="A46" s="237"/>
      <c r="B46" s="238"/>
      <c r="C46" s="247"/>
      <c r="D46" s="240"/>
      <c r="E46" s="12"/>
    </row>
    <row r="47">
      <c r="A47" s="237"/>
      <c r="B47" s="238"/>
      <c r="C47" s="239"/>
      <c r="D47" s="240"/>
      <c r="E47" s="12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>
      <c r="A48" s="237"/>
      <c r="B48" s="238"/>
      <c r="C48" s="239"/>
      <c r="D48" s="240"/>
      <c r="E48" s="12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>
      <c r="A49" s="237"/>
      <c r="B49" s="238"/>
      <c r="C49" s="239"/>
      <c r="D49" s="249"/>
      <c r="E49" s="12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>
      <c r="A50" s="237"/>
      <c r="B50" s="238"/>
      <c r="C50" s="239"/>
      <c r="D50" s="240"/>
      <c r="E50" s="12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>
      <c r="A51" s="237"/>
      <c r="B51" s="238"/>
      <c r="C51" s="239"/>
      <c r="D51" s="249"/>
      <c r="E51" s="12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>
      <c r="A52" s="237"/>
      <c r="B52" s="238"/>
      <c r="C52" s="239"/>
      <c r="D52" s="240"/>
      <c r="E52" s="12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>
      <c r="A53" s="237"/>
      <c r="B53" s="238"/>
      <c r="C53" s="239"/>
      <c r="D53" s="240"/>
      <c r="E53" s="12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>
      <c r="A54" s="237"/>
      <c r="B54" s="238"/>
      <c r="C54" s="247"/>
      <c r="D54" s="249"/>
      <c r="E54" s="12"/>
    </row>
    <row r="55">
      <c r="A55" s="237"/>
      <c r="B55" s="238"/>
      <c r="C55" s="239"/>
      <c r="D55" s="249"/>
      <c r="E55" s="12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>
      <c r="A56" s="237"/>
      <c r="B56" s="238"/>
      <c r="C56" s="239"/>
      <c r="D56" s="249"/>
      <c r="E56" s="12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>
      <c r="A57" s="252"/>
      <c r="B57" s="254"/>
      <c r="C57" s="247"/>
      <c r="D57" s="162"/>
      <c r="E57" s="12"/>
    </row>
    <row r="58">
      <c r="A58" s="252"/>
      <c r="B58" s="254"/>
      <c r="C58" s="247"/>
      <c r="D58" s="162"/>
      <c r="E58" s="12"/>
    </row>
    <row r="59">
      <c r="A59" s="252"/>
      <c r="B59" s="254"/>
      <c r="C59" s="247"/>
      <c r="D59" s="162"/>
      <c r="E59" s="12"/>
    </row>
    <row r="60">
      <c r="A60" s="255"/>
      <c r="B60" s="256"/>
      <c r="C60" s="257"/>
    </row>
  </sheetData>
  <conditionalFormatting sqref="E25">
    <cfRule type="notContainsBlanks" dxfId="5" priority="1">
      <formula>LEN(TRIM(E25))&gt;0</formula>
    </cfRule>
  </conditionalFormatting>
  <conditionalFormatting sqref="E25">
    <cfRule type="containsBlanks" dxfId="6" priority="2">
      <formula>LEN(TRIM(E25))=0</formula>
    </cfRule>
  </conditionalFormatting>
  <conditionalFormatting sqref="E3:E59">
    <cfRule type="containsText" dxfId="8" priority="3" operator="containsText" text="CAMISETA">
      <formula>NOT(ISERROR(SEARCH(("CAMISETA"),(E3))))</formula>
    </cfRule>
  </conditionalFormatting>
  <conditionalFormatting sqref="E3:E59">
    <cfRule type="containsText" dxfId="7" priority="4" operator="containsText" text="MENSALIDADE">
      <formula>NOT(ISERROR(SEARCH(("MENSALIDADE"),(E3))))</formula>
    </cfRule>
  </conditionalFormatting>
  <conditionalFormatting sqref="E3:E59">
    <cfRule type="containsText" dxfId="8" priority="5" operator="containsText" text="UNIFORME">
      <formula>NOT(ISERROR(SEARCH(("UNIFORME"),(E3))))</formula>
    </cfRule>
  </conditionalFormatting>
  <conditionalFormatting sqref="E3:E59">
    <cfRule type="containsText" dxfId="8" priority="6" operator="containsText" text="CALÇÃO">
      <formula>NOT(ISERROR(SEARCH(("CALÇÃO"),(E3))))</formula>
    </cfRule>
  </conditionalFormatting>
  <conditionalFormatting sqref="E3:E59">
    <cfRule type="containsText" dxfId="8" priority="7" operator="containsText" text="CAMISA">
      <formula>NOT(ISERROR(SEARCH(("CAMISA"),(E3))))</formula>
    </cfRule>
  </conditionalFormatting>
  <conditionalFormatting sqref="E3:E59">
    <cfRule type="containsText" dxfId="8" priority="8" operator="containsText" text="MEIÃO">
      <formula>NOT(ISERROR(SEARCH(("MEIÃO"),(E3))))</formula>
    </cfRule>
  </conditionalFormatting>
  <dataValidations>
    <dataValidation type="list" allowBlank="1" sqref="F3:F30">
      <formula1>"MENSALIDADE,UNIFORME,OUTROS"</formula1>
    </dataValidation>
    <dataValidation type="custom" allowBlank="1" showDropDown="1" sqref="A3:A30">
      <formula1>OR(NOT(ISERROR(DATEVALUE(A3))), AND(ISNUMBER(A3), LEFT(CELL("format", A3))="D"))</formula1>
    </dataValidation>
    <dataValidation type="custom" allowBlank="1" showDropDown="1" sqref="B3:C30">
      <formula1>AND(ISNUMBER(B3),(NOT(OR(NOT(ISERROR(DATEVALUE(B3))), AND(ISNUMBER(B3), LEFT(CELL("format", B3))="D")))))</formula1>
    </dataValidation>
    <dataValidation allowBlank="1" showDropDown="1" sqref="E3:E30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0.75"/>
    <col customWidth="1" min="3" max="3" width="10.25"/>
    <col customWidth="1" min="4" max="4" width="15.63"/>
    <col customWidth="1" min="5" max="5" width="74.13"/>
    <col customWidth="1" min="6" max="6" width="17.63"/>
    <col customWidth="1" min="8" max="8" width="17.75"/>
    <col customWidth="1" min="9" max="9" width="14.88"/>
    <col customWidth="1" min="10" max="10" width="21.13"/>
  </cols>
  <sheetData>
    <row r="1">
      <c r="A1" s="203"/>
      <c r="B1" s="204"/>
      <c r="C1" s="205"/>
      <c r="D1" s="206"/>
      <c r="E1" s="206" t="s">
        <v>310</v>
      </c>
      <c r="F1" s="207"/>
      <c r="G1" s="208"/>
      <c r="H1" s="208"/>
      <c r="I1" s="208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</row>
    <row r="2" ht="22.5" customHeight="1">
      <c r="A2" s="164" t="s">
        <v>248</v>
      </c>
      <c r="B2" s="165" t="s">
        <v>250</v>
      </c>
      <c r="C2" s="164" t="s">
        <v>253</v>
      </c>
      <c r="D2" s="164" t="s">
        <v>254</v>
      </c>
      <c r="E2" s="164" t="s">
        <v>255</v>
      </c>
      <c r="F2" s="167" t="s">
        <v>5</v>
      </c>
      <c r="G2" s="210"/>
      <c r="H2" s="15"/>
      <c r="I2" s="15"/>
      <c r="J2" s="15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</row>
    <row r="3" ht="22.5" customHeight="1">
      <c r="A3" s="171">
        <v>46175.0</v>
      </c>
      <c r="B3" s="173">
        <v>350.0</v>
      </c>
      <c r="C3" s="174"/>
      <c r="D3" s="175" t="s">
        <v>11</v>
      </c>
      <c r="E3" s="211" t="s">
        <v>313</v>
      </c>
      <c r="F3" s="177" t="s">
        <v>15</v>
      </c>
      <c r="G3" s="210"/>
      <c r="H3" s="30" t="s">
        <v>17</v>
      </c>
      <c r="I3" s="31" t="s">
        <v>19</v>
      </c>
      <c r="J3" s="33" t="s">
        <v>21</v>
      </c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</row>
    <row r="4" ht="22.5" customHeight="1">
      <c r="A4" s="171">
        <v>46178.0</v>
      </c>
      <c r="B4" s="173">
        <v>220.0</v>
      </c>
      <c r="C4" s="174"/>
      <c r="D4" s="175" t="s">
        <v>60</v>
      </c>
      <c r="E4" s="191" t="s">
        <v>315</v>
      </c>
      <c r="F4" s="177" t="s">
        <v>15</v>
      </c>
      <c r="G4" s="210"/>
      <c r="H4" s="42">
        <f t="shared" ref="H4:I4" si="1">SUM(B3:B42)</f>
        <v>8412</v>
      </c>
      <c r="I4" s="49">
        <f t="shared" si="1"/>
        <v>0</v>
      </c>
      <c r="J4" s="53">
        <f>H4-I4</f>
        <v>8412</v>
      </c>
      <c r="L4" s="210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</row>
    <row r="5" ht="22.5" customHeight="1">
      <c r="A5" s="171">
        <v>46182.0</v>
      </c>
      <c r="B5" s="173">
        <v>180.0</v>
      </c>
      <c r="C5" s="174"/>
      <c r="D5" s="175" t="s">
        <v>11</v>
      </c>
      <c r="E5" s="176" t="s">
        <v>318</v>
      </c>
      <c r="F5" s="177" t="s">
        <v>15</v>
      </c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</row>
    <row r="6" ht="22.5" customHeight="1">
      <c r="A6" s="171">
        <v>46184.0</v>
      </c>
      <c r="B6" s="173">
        <v>330.0</v>
      </c>
      <c r="C6" s="174"/>
      <c r="D6" s="175" t="s">
        <v>11</v>
      </c>
      <c r="E6" s="191" t="s">
        <v>322</v>
      </c>
      <c r="F6" s="177" t="s">
        <v>15</v>
      </c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</row>
    <row r="7" ht="22.5" customHeight="1">
      <c r="A7" s="171">
        <v>46184.0</v>
      </c>
      <c r="B7" s="173">
        <v>200.0</v>
      </c>
      <c r="C7" s="174"/>
      <c r="D7" s="175" t="s">
        <v>11</v>
      </c>
      <c r="E7" s="191" t="s">
        <v>330</v>
      </c>
      <c r="F7" s="177" t="s">
        <v>15</v>
      </c>
      <c r="G7" s="210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</row>
    <row r="8" ht="22.5" customHeight="1">
      <c r="A8" s="171">
        <v>46184.0</v>
      </c>
      <c r="B8" s="173">
        <v>200.0</v>
      </c>
      <c r="C8" s="199"/>
      <c r="D8" s="175" t="s">
        <v>11</v>
      </c>
      <c r="E8" s="191" t="s">
        <v>343</v>
      </c>
      <c r="F8" s="177" t="s">
        <v>15</v>
      </c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 ht="22.5" customHeight="1">
      <c r="A9" s="171">
        <v>46188.0</v>
      </c>
      <c r="B9" s="173">
        <v>500.0</v>
      </c>
      <c r="C9" s="174"/>
      <c r="D9" s="175" t="s">
        <v>11</v>
      </c>
      <c r="E9" s="200" t="s">
        <v>355</v>
      </c>
      <c r="F9" s="177" t="s">
        <v>15</v>
      </c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0" ht="22.5" customHeight="1">
      <c r="A10" s="219">
        <v>46192.0</v>
      </c>
      <c r="B10" s="221">
        <v>280.0</v>
      </c>
      <c r="C10" s="174"/>
      <c r="D10" s="222" t="s">
        <v>11</v>
      </c>
      <c r="E10" s="223" t="s">
        <v>372</v>
      </c>
      <c r="F10" s="224" t="s">
        <v>15</v>
      </c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</row>
    <row r="11" ht="22.5" customHeight="1">
      <c r="A11" s="171">
        <v>46195.0</v>
      </c>
      <c r="B11" s="173">
        <v>280.0</v>
      </c>
      <c r="C11" s="174"/>
      <c r="D11" s="175" t="s">
        <v>307</v>
      </c>
      <c r="E11" s="191" t="s">
        <v>378</v>
      </c>
      <c r="F11" s="177" t="s">
        <v>15</v>
      </c>
      <c r="G11" s="210"/>
      <c r="H11" s="210"/>
      <c r="I11" s="210"/>
      <c r="J11" s="210"/>
      <c r="K11" s="210"/>
      <c r="L11" s="210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 ht="22.5" customHeight="1">
      <c r="A12" s="171">
        <v>46188.0</v>
      </c>
      <c r="B12" s="173">
        <v>332.0</v>
      </c>
      <c r="C12" s="199"/>
      <c r="D12" s="175" t="s">
        <v>60</v>
      </c>
      <c r="E12" s="191" t="s">
        <v>381</v>
      </c>
      <c r="F12" s="177" t="s">
        <v>15</v>
      </c>
      <c r="G12" s="210"/>
      <c r="H12" s="210"/>
      <c r="I12" s="210"/>
      <c r="J12" s="210"/>
      <c r="K12" s="210"/>
      <c r="L12" s="210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</row>
    <row r="13" ht="22.5" customHeight="1">
      <c r="A13" s="171">
        <v>46195.0</v>
      </c>
      <c r="B13" s="173">
        <v>350.0</v>
      </c>
      <c r="C13" s="174"/>
      <c r="D13" s="175" t="s">
        <v>11</v>
      </c>
      <c r="E13" s="223" t="s">
        <v>382</v>
      </c>
      <c r="F13" s="177" t="s">
        <v>15</v>
      </c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</row>
    <row r="14" ht="22.5" customHeight="1">
      <c r="A14" s="171">
        <v>46195.0</v>
      </c>
      <c r="B14" s="173">
        <v>300.0</v>
      </c>
      <c r="C14" s="174"/>
      <c r="D14" s="175" t="s">
        <v>11</v>
      </c>
      <c r="E14" s="191" t="s">
        <v>386</v>
      </c>
      <c r="F14" s="177" t="s">
        <v>15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</row>
    <row r="15" ht="22.5" customHeight="1">
      <c r="A15" s="171">
        <v>46195.0</v>
      </c>
      <c r="B15" s="173">
        <v>250.0</v>
      </c>
      <c r="C15" s="174"/>
      <c r="D15" s="175" t="s">
        <v>11</v>
      </c>
      <c r="E15" s="191" t="s">
        <v>396</v>
      </c>
      <c r="F15" s="177" t="s">
        <v>15</v>
      </c>
      <c r="G15" s="210"/>
      <c r="H15" s="210"/>
      <c r="I15" s="210"/>
      <c r="J15" s="210"/>
      <c r="K15" s="210"/>
      <c r="L15" s="210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</row>
    <row r="16" ht="22.5" customHeight="1">
      <c r="A16" s="171">
        <v>46195.0</v>
      </c>
      <c r="B16" s="173">
        <v>250.0</v>
      </c>
      <c r="C16" s="174"/>
      <c r="D16" s="175" t="s">
        <v>11</v>
      </c>
      <c r="E16" s="191" t="s">
        <v>407</v>
      </c>
      <c r="F16" s="177" t="s">
        <v>15</v>
      </c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</row>
    <row r="17" ht="22.5" customHeight="1">
      <c r="A17" s="171">
        <v>46195.0</v>
      </c>
      <c r="B17" s="173">
        <v>180.0</v>
      </c>
      <c r="C17" s="174"/>
      <c r="D17" s="175" t="s">
        <v>307</v>
      </c>
      <c r="E17" s="191" t="s">
        <v>421</v>
      </c>
      <c r="F17" s="177" t="s">
        <v>15</v>
      </c>
      <c r="G17" s="210"/>
      <c r="H17" s="210"/>
      <c r="I17" s="210"/>
      <c r="J17" s="210"/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</row>
    <row r="18" ht="22.5" customHeight="1">
      <c r="A18" s="171">
        <v>46188.0</v>
      </c>
      <c r="B18" s="173">
        <v>230.0</v>
      </c>
      <c r="C18" s="174"/>
      <c r="D18" s="175" t="s">
        <v>60</v>
      </c>
      <c r="E18" s="191" t="s">
        <v>436</v>
      </c>
      <c r="F18" s="177" t="s">
        <v>15</v>
      </c>
      <c r="G18" s="210"/>
      <c r="H18" s="210"/>
      <c r="I18" s="210"/>
      <c r="J18" s="210"/>
      <c r="K18" s="210"/>
      <c r="L18" s="210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</row>
    <row r="19" ht="22.5" customHeight="1">
      <c r="A19" s="171">
        <v>46192.0</v>
      </c>
      <c r="B19" s="173">
        <v>300.0</v>
      </c>
      <c r="C19" s="174"/>
      <c r="D19" s="175" t="s">
        <v>11</v>
      </c>
      <c r="E19" s="191" t="s">
        <v>446</v>
      </c>
      <c r="F19" s="177" t="s">
        <v>15</v>
      </c>
      <c r="G19" s="210"/>
      <c r="H19" s="210"/>
      <c r="I19" s="210"/>
      <c r="J19" s="210"/>
      <c r="K19" s="210"/>
      <c r="L19" s="210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</row>
    <row r="20" ht="22.5" customHeight="1">
      <c r="A20" s="171">
        <v>46196.0</v>
      </c>
      <c r="B20" s="173">
        <v>300.0</v>
      </c>
      <c r="C20" s="174"/>
      <c r="D20" s="175" t="s">
        <v>11</v>
      </c>
      <c r="E20" s="191" t="s">
        <v>458</v>
      </c>
      <c r="F20" s="177" t="s">
        <v>15</v>
      </c>
      <c r="G20" s="210"/>
      <c r="H20" s="210"/>
      <c r="I20" s="210"/>
      <c r="J20" s="210"/>
      <c r="K20" s="210"/>
      <c r="L20" s="210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</row>
    <row r="21" ht="22.5" customHeight="1">
      <c r="A21" s="171">
        <v>46196.0</v>
      </c>
      <c r="B21" s="173">
        <v>240.0</v>
      </c>
      <c r="C21" s="174"/>
      <c r="D21" s="175" t="s">
        <v>11</v>
      </c>
      <c r="E21" s="191" t="s">
        <v>461</v>
      </c>
      <c r="F21" s="177" t="s">
        <v>62</v>
      </c>
      <c r="G21" s="210"/>
      <c r="H21" s="210"/>
      <c r="I21" s="210"/>
      <c r="J21" s="210"/>
      <c r="K21" s="210"/>
      <c r="L21" s="210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</row>
    <row r="22" ht="22.5" customHeight="1">
      <c r="A22" s="171">
        <v>46189.0</v>
      </c>
      <c r="B22" s="173">
        <v>180.0</v>
      </c>
      <c r="C22" s="174"/>
      <c r="D22" s="175" t="s">
        <v>471</v>
      </c>
      <c r="E22" s="191" t="s">
        <v>472</v>
      </c>
      <c r="F22" s="177" t="s">
        <v>15</v>
      </c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</row>
    <row r="23" ht="22.5" customHeight="1">
      <c r="A23" s="219">
        <v>46196.0</v>
      </c>
      <c r="B23" s="221">
        <v>250.0</v>
      </c>
      <c r="C23" s="174"/>
      <c r="D23" s="222" t="s">
        <v>11</v>
      </c>
      <c r="E23" s="223" t="s">
        <v>482</v>
      </c>
      <c r="F23" s="224" t="s">
        <v>15</v>
      </c>
      <c r="G23" s="210"/>
      <c r="H23" s="210"/>
      <c r="I23" s="210"/>
      <c r="J23" s="210"/>
      <c r="K23" s="210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</row>
    <row r="24" ht="22.5" customHeight="1">
      <c r="A24" s="219">
        <v>46196.0</v>
      </c>
      <c r="B24" s="221">
        <v>350.0</v>
      </c>
      <c r="C24" s="199"/>
      <c r="D24" s="222" t="s">
        <v>11</v>
      </c>
      <c r="E24" s="223" t="s">
        <v>491</v>
      </c>
      <c r="F24" s="224" t="s">
        <v>15</v>
      </c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</row>
    <row r="25" ht="22.5" customHeight="1">
      <c r="A25" s="219">
        <v>46196.0</v>
      </c>
      <c r="B25" s="221">
        <v>237.5</v>
      </c>
      <c r="C25" s="174"/>
      <c r="D25" s="222" t="s">
        <v>11</v>
      </c>
      <c r="E25" s="223" t="s">
        <v>498</v>
      </c>
      <c r="F25" s="224" t="s">
        <v>15</v>
      </c>
      <c r="G25" s="210"/>
      <c r="H25" s="210"/>
      <c r="I25" s="210"/>
      <c r="J25" s="210"/>
      <c r="K25" s="210"/>
      <c r="L25" s="210"/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</row>
    <row r="26" ht="22.5" customHeight="1">
      <c r="A26" s="219">
        <v>46197.0</v>
      </c>
      <c r="B26" s="221">
        <v>210.0</v>
      </c>
      <c r="C26" s="174"/>
      <c r="D26" s="222" t="s">
        <v>11</v>
      </c>
      <c r="E26" s="223" t="s">
        <v>513</v>
      </c>
      <c r="F26" s="224" t="s">
        <v>62</v>
      </c>
      <c r="G26" s="210"/>
      <c r="H26" s="210"/>
      <c r="I26" s="210"/>
      <c r="J26" s="210"/>
      <c r="K26" s="210"/>
      <c r="L26" s="210"/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</row>
    <row r="27" ht="22.5" customHeight="1">
      <c r="A27" s="219">
        <v>46197.0</v>
      </c>
      <c r="B27" s="221">
        <v>237.5</v>
      </c>
      <c r="C27" s="174"/>
      <c r="D27" s="222" t="s">
        <v>11</v>
      </c>
      <c r="E27" s="223" t="s">
        <v>529</v>
      </c>
      <c r="F27" s="224" t="s">
        <v>15</v>
      </c>
    </row>
    <row r="28" ht="22.5" customHeight="1">
      <c r="A28" s="219">
        <v>46197.0</v>
      </c>
      <c r="B28" s="221">
        <v>250.0</v>
      </c>
      <c r="C28" s="174"/>
      <c r="D28" s="222" t="s">
        <v>11</v>
      </c>
      <c r="E28" s="223" t="s">
        <v>534</v>
      </c>
      <c r="F28" s="224" t="s">
        <v>15</v>
      </c>
    </row>
    <row r="29" ht="22.5" customHeight="1">
      <c r="A29" s="219">
        <v>46198.0</v>
      </c>
      <c r="B29" s="221">
        <v>25.0</v>
      </c>
      <c r="C29" s="199"/>
      <c r="D29" s="222" t="s">
        <v>11</v>
      </c>
      <c r="E29" s="223" t="s">
        <v>546</v>
      </c>
      <c r="F29" s="224" t="s">
        <v>550</v>
      </c>
    </row>
    <row r="30" ht="22.5" customHeight="1">
      <c r="A30" s="219">
        <v>46198.0</v>
      </c>
      <c r="B30" s="221">
        <v>25.0</v>
      </c>
      <c r="C30" s="199"/>
      <c r="D30" s="222" t="s">
        <v>11</v>
      </c>
      <c r="E30" s="223" t="s">
        <v>561</v>
      </c>
      <c r="F30" s="224" t="s">
        <v>550</v>
      </c>
    </row>
    <row r="31" ht="22.5" customHeight="1">
      <c r="A31" s="219">
        <v>46198.0</v>
      </c>
      <c r="B31" s="221">
        <v>25.0</v>
      </c>
      <c r="C31" s="199"/>
      <c r="D31" s="222" t="s">
        <v>11</v>
      </c>
      <c r="E31" s="223" t="s">
        <v>570</v>
      </c>
      <c r="F31" s="224" t="s">
        <v>550</v>
      </c>
    </row>
    <row r="32" ht="22.5" customHeight="1">
      <c r="A32" s="219">
        <v>46199.0</v>
      </c>
      <c r="B32" s="221">
        <v>350.0</v>
      </c>
      <c r="C32" s="199"/>
      <c r="D32" s="222" t="s">
        <v>11</v>
      </c>
      <c r="E32" s="223" t="s">
        <v>581</v>
      </c>
      <c r="F32" s="224" t="s">
        <v>15</v>
      </c>
    </row>
    <row r="33" ht="22.5" customHeight="1">
      <c r="A33" s="219">
        <v>46199.0</v>
      </c>
      <c r="B33" s="221"/>
      <c r="C33" s="174"/>
      <c r="D33" s="222" t="s">
        <v>11</v>
      </c>
      <c r="E33" s="223" t="s">
        <v>596</v>
      </c>
      <c r="F33" s="224" t="s">
        <v>15</v>
      </c>
    </row>
    <row r="34" ht="22.5" customHeight="1">
      <c r="A34" s="219">
        <v>46199.0</v>
      </c>
      <c r="B34" s="221">
        <v>250.0</v>
      </c>
      <c r="C34" s="199"/>
      <c r="D34" s="222" t="s">
        <v>11</v>
      </c>
      <c r="E34" s="223" t="s">
        <v>607</v>
      </c>
      <c r="F34" s="224" t="s">
        <v>15</v>
      </c>
    </row>
    <row r="35" ht="22.5" customHeight="1">
      <c r="A35" s="219">
        <v>46199.0</v>
      </c>
      <c r="B35" s="221">
        <v>250.0</v>
      </c>
      <c r="C35" s="174"/>
      <c r="D35" s="222" t="s">
        <v>11</v>
      </c>
      <c r="E35" s="223" t="s">
        <v>615</v>
      </c>
      <c r="F35" s="224" t="s">
        <v>15</v>
      </c>
    </row>
    <row r="36" ht="22.5" customHeight="1">
      <c r="A36" s="219">
        <v>46199.0</v>
      </c>
      <c r="B36" s="221">
        <v>250.0</v>
      </c>
      <c r="C36" s="199"/>
      <c r="D36" s="222" t="s">
        <v>11</v>
      </c>
      <c r="E36" s="223" t="s">
        <v>622</v>
      </c>
      <c r="F36" s="224" t="s">
        <v>15</v>
      </c>
    </row>
    <row r="37" ht="22.5" customHeight="1">
      <c r="A37" s="219">
        <v>46199.0</v>
      </c>
      <c r="B37" s="221">
        <v>250.0</v>
      </c>
      <c r="C37" s="174"/>
      <c r="D37" s="222" t="s">
        <v>11</v>
      </c>
      <c r="E37" s="223" t="s">
        <v>630</v>
      </c>
      <c r="F37" s="224" t="s">
        <v>15</v>
      </c>
    </row>
    <row r="38" ht="22.5" customHeight="1">
      <c r="A38" s="219"/>
      <c r="B38" s="221"/>
      <c r="C38" s="199"/>
      <c r="D38" s="222"/>
      <c r="E38" s="223"/>
      <c r="F38" s="224"/>
    </row>
    <row r="39" ht="22.5" customHeight="1">
      <c r="A39" s="219"/>
      <c r="B39" s="221"/>
      <c r="C39" s="199"/>
      <c r="D39" s="222"/>
      <c r="E39" s="223"/>
      <c r="F39" s="224"/>
    </row>
    <row r="40" ht="22.5" customHeight="1">
      <c r="A40" s="219"/>
      <c r="B40" s="221"/>
      <c r="C40" s="199"/>
      <c r="D40" s="222"/>
      <c r="E40" s="223"/>
      <c r="F40" s="224"/>
    </row>
    <row r="41" ht="22.5" customHeight="1">
      <c r="A41" s="219"/>
      <c r="B41" s="221"/>
      <c r="C41" s="199"/>
      <c r="D41" s="222"/>
      <c r="E41" s="223"/>
      <c r="F41" s="224"/>
    </row>
    <row r="42" ht="22.5" customHeight="1">
      <c r="A42" s="219"/>
      <c r="B42" s="221"/>
      <c r="C42" s="199"/>
      <c r="D42" s="222"/>
      <c r="E42" s="223"/>
      <c r="F42" s="224"/>
    </row>
    <row r="43" ht="22.5" customHeight="1">
      <c r="A43" s="219"/>
      <c r="B43" s="221"/>
      <c r="C43" s="199"/>
      <c r="D43" s="222"/>
      <c r="E43" s="223"/>
      <c r="F43" s="224"/>
    </row>
    <row r="44" ht="22.5" customHeight="1">
      <c r="A44" s="219"/>
      <c r="B44" s="221"/>
      <c r="C44" s="199"/>
      <c r="D44" s="222"/>
      <c r="E44" s="223"/>
      <c r="F44" s="224"/>
    </row>
    <row r="45" ht="22.5" customHeight="1">
      <c r="A45" s="219"/>
      <c r="B45" s="221"/>
      <c r="C45" s="199"/>
      <c r="D45" s="222"/>
      <c r="E45" s="223"/>
      <c r="F45" s="224"/>
    </row>
    <row r="46" ht="22.5" customHeight="1">
      <c r="A46" s="219"/>
      <c r="B46" s="221"/>
      <c r="C46" s="199"/>
      <c r="D46" s="222"/>
      <c r="E46" s="285"/>
      <c r="F46" s="224"/>
    </row>
    <row r="47" ht="22.5" customHeight="1">
      <c r="A47" s="219"/>
      <c r="B47" s="221"/>
      <c r="C47" s="199"/>
      <c r="D47" s="222"/>
      <c r="E47" s="223"/>
      <c r="F47" s="224"/>
    </row>
    <row r="48" ht="22.5" customHeight="1">
      <c r="A48" s="219"/>
      <c r="B48" s="221"/>
      <c r="C48" s="199"/>
      <c r="D48" s="222"/>
      <c r="E48" s="223"/>
      <c r="F48" s="289"/>
    </row>
    <row r="49" ht="22.5" customHeight="1">
      <c r="A49" s="219"/>
      <c r="B49" s="221"/>
      <c r="C49" s="199"/>
      <c r="D49" s="222"/>
      <c r="E49" s="223"/>
      <c r="F49" s="289"/>
    </row>
    <row r="50" ht="22.5" customHeight="1">
      <c r="A50" s="219"/>
      <c r="B50" s="221"/>
      <c r="C50" s="199"/>
      <c r="D50" s="222"/>
      <c r="E50" s="223"/>
      <c r="F50" s="289"/>
    </row>
    <row r="51" ht="22.5" customHeight="1">
      <c r="A51" s="219"/>
      <c r="B51" s="221"/>
      <c r="C51" s="199"/>
      <c r="D51" s="222"/>
      <c r="E51" s="223"/>
      <c r="F51" s="289"/>
    </row>
    <row r="52" ht="22.5" customHeight="1">
      <c r="A52" s="219"/>
      <c r="B52" s="221"/>
      <c r="C52" s="199"/>
      <c r="D52" s="222"/>
      <c r="E52" s="223"/>
      <c r="F52" s="289"/>
    </row>
    <row r="53" ht="22.5" customHeight="1">
      <c r="A53" s="219"/>
      <c r="B53" s="221"/>
      <c r="C53" s="199"/>
      <c r="D53" s="222"/>
      <c r="E53" s="223"/>
      <c r="F53" s="289"/>
    </row>
    <row r="54" ht="22.5" customHeight="1">
      <c r="A54" s="219"/>
      <c r="B54" s="221"/>
      <c r="C54" s="199"/>
      <c r="D54" s="222"/>
      <c r="E54" s="223"/>
      <c r="F54" s="289"/>
    </row>
    <row r="55" ht="22.5" customHeight="1">
      <c r="A55" s="219"/>
      <c r="B55" s="221"/>
      <c r="C55" s="199"/>
      <c r="D55" s="222"/>
      <c r="E55" s="223"/>
      <c r="F55" s="289"/>
    </row>
    <row r="56" ht="22.5" customHeight="1">
      <c r="A56" s="219"/>
      <c r="B56" s="221"/>
      <c r="C56" s="199"/>
      <c r="D56" s="222"/>
      <c r="E56" s="223"/>
      <c r="F56" s="289"/>
    </row>
    <row r="57" ht="22.5" customHeight="1">
      <c r="A57" s="219"/>
      <c r="B57" s="221"/>
      <c r="C57" s="199"/>
      <c r="D57" s="222"/>
      <c r="E57" s="223"/>
      <c r="F57" s="289"/>
    </row>
    <row r="58" ht="22.5" customHeight="1">
      <c r="A58" s="219"/>
      <c r="B58" s="221"/>
      <c r="C58" s="199"/>
      <c r="D58" s="222"/>
      <c r="E58" s="223"/>
      <c r="F58" s="289"/>
    </row>
    <row r="59" ht="22.5" customHeight="1">
      <c r="A59" s="219"/>
      <c r="B59" s="221"/>
      <c r="C59" s="199"/>
      <c r="D59" s="222"/>
      <c r="E59" s="223"/>
      <c r="F59" s="289"/>
    </row>
    <row r="60" ht="22.5" customHeight="1">
      <c r="A60" s="219"/>
      <c r="B60" s="221"/>
      <c r="C60" s="199"/>
      <c r="D60" s="222"/>
      <c r="E60" s="223"/>
      <c r="F60" s="289"/>
    </row>
    <row r="61" ht="22.5" customHeight="1">
      <c r="A61" s="219"/>
      <c r="B61" s="221"/>
      <c r="C61" s="199"/>
      <c r="D61" s="222"/>
      <c r="E61" s="223"/>
      <c r="F61" s="289"/>
    </row>
    <row r="62" ht="22.5" customHeight="1">
      <c r="A62" s="219"/>
      <c r="B62" s="221"/>
      <c r="C62" s="199"/>
      <c r="D62" s="222"/>
      <c r="E62" s="223"/>
      <c r="F62" s="289"/>
    </row>
    <row r="63" ht="22.5" customHeight="1">
      <c r="A63" s="219"/>
      <c r="B63" s="221"/>
      <c r="C63" s="199"/>
      <c r="D63" s="222"/>
      <c r="E63" s="223"/>
      <c r="F63" s="289"/>
    </row>
    <row r="64" ht="22.5" customHeight="1">
      <c r="A64" s="219"/>
      <c r="B64" s="221"/>
      <c r="C64" s="199"/>
      <c r="D64" s="222"/>
      <c r="E64" s="223"/>
      <c r="F64" s="289"/>
    </row>
    <row r="65">
      <c r="A65" s="210"/>
      <c r="B65" s="317"/>
      <c r="C65" s="318"/>
      <c r="D65" s="210"/>
      <c r="E65" s="210"/>
      <c r="F65" s="319"/>
    </row>
    <row r="66">
      <c r="A66" s="210"/>
      <c r="B66" s="317"/>
      <c r="C66" s="318"/>
      <c r="D66" s="210"/>
      <c r="E66" s="210"/>
      <c r="F66" s="319"/>
    </row>
    <row r="67">
      <c r="A67" s="210"/>
      <c r="B67" s="317"/>
      <c r="C67" s="318"/>
      <c r="D67" s="210"/>
      <c r="E67" s="210"/>
      <c r="F67" s="319"/>
    </row>
    <row r="68">
      <c r="A68" s="210"/>
      <c r="B68" s="317"/>
      <c r="C68" s="318"/>
      <c r="D68" s="210"/>
      <c r="E68" s="210"/>
      <c r="F68" s="319"/>
    </row>
    <row r="69">
      <c r="A69" s="210"/>
      <c r="B69" s="317"/>
      <c r="C69" s="318"/>
      <c r="D69" s="210"/>
      <c r="E69" s="210"/>
      <c r="F69" s="319"/>
    </row>
    <row r="70">
      <c r="A70" s="210"/>
      <c r="B70" s="317"/>
      <c r="C70" s="318"/>
      <c r="D70" s="210"/>
      <c r="E70" s="210"/>
      <c r="F70" s="319"/>
    </row>
    <row r="71">
      <c r="A71" s="210"/>
      <c r="B71" s="317"/>
      <c r="C71" s="318"/>
      <c r="D71" s="210"/>
      <c r="E71" s="210"/>
      <c r="F71" s="319"/>
    </row>
    <row r="72">
      <c r="A72" s="210"/>
      <c r="B72" s="317"/>
      <c r="C72" s="318"/>
      <c r="D72" s="210"/>
      <c r="E72" s="210"/>
      <c r="F72" s="319"/>
    </row>
    <row r="73">
      <c r="A73" s="210"/>
      <c r="B73" s="317"/>
      <c r="C73" s="318"/>
      <c r="D73" s="210"/>
      <c r="E73" s="210"/>
      <c r="F73" s="319"/>
    </row>
    <row r="74">
      <c r="A74" s="210"/>
      <c r="B74" s="317"/>
      <c r="C74" s="318"/>
      <c r="D74" s="210"/>
      <c r="E74" s="210"/>
      <c r="F74" s="319"/>
    </row>
    <row r="75">
      <c r="A75" s="210"/>
      <c r="B75" s="317"/>
      <c r="C75" s="318"/>
      <c r="D75" s="210"/>
      <c r="E75" s="210"/>
      <c r="F75" s="319"/>
    </row>
    <row r="76">
      <c r="A76" s="210"/>
      <c r="B76" s="317"/>
      <c r="C76" s="318"/>
      <c r="D76" s="210"/>
      <c r="E76" s="210"/>
      <c r="F76" s="319"/>
    </row>
    <row r="77">
      <c r="A77" s="210"/>
      <c r="B77" s="317"/>
      <c r="C77" s="318"/>
      <c r="D77" s="210"/>
      <c r="E77" s="210"/>
      <c r="F77" s="319"/>
    </row>
    <row r="78">
      <c r="A78" s="210"/>
      <c r="B78" s="317"/>
      <c r="C78" s="318"/>
      <c r="D78" s="210"/>
      <c r="E78" s="210"/>
      <c r="F78" s="319"/>
    </row>
    <row r="79">
      <c r="A79" s="210"/>
      <c r="B79" s="317"/>
      <c r="C79" s="318"/>
      <c r="D79" s="210"/>
      <c r="E79" s="210"/>
      <c r="F79" s="319"/>
    </row>
    <row r="80">
      <c r="A80" s="210"/>
      <c r="B80" s="317"/>
      <c r="C80" s="318"/>
      <c r="D80" s="210"/>
      <c r="E80" s="210"/>
      <c r="F80" s="319"/>
    </row>
    <row r="81">
      <c r="A81" s="210"/>
      <c r="B81" s="317"/>
      <c r="C81" s="318"/>
      <c r="D81" s="210"/>
      <c r="E81" s="210"/>
      <c r="F81" s="319"/>
    </row>
    <row r="82">
      <c r="A82" s="210"/>
      <c r="B82" s="317"/>
      <c r="C82" s="318"/>
      <c r="D82" s="210"/>
      <c r="E82" s="210"/>
      <c r="F82" s="319"/>
    </row>
    <row r="83">
      <c r="A83" s="210"/>
      <c r="B83" s="317"/>
      <c r="C83" s="318"/>
      <c r="D83" s="210"/>
      <c r="E83" s="210"/>
      <c r="F83" s="319"/>
    </row>
    <row r="84">
      <c r="A84" s="210"/>
      <c r="B84" s="317"/>
      <c r="C84" s="318"/>
      <c r="D84" s="210"/>
      <c r="E84" s="210"/>
      <c r="F84" s="319"/>
    </row>
    <row r="85">
      <c r="A85" s="210"/>
      <c r="B85" s="317"/>
      <c r="C85" s="318"/>
      <c r="D85" s="210"/>
      <c r="E85" s="210"/>
      <c r="F85" s="319"/>
    </row>
    <row r="86">
      <c r="A86" s="210"/>
      <c r="B86" s="317"/>
      <c r="C86" s="318"/>
      <c r="D86" s="210"/>
      <c r="E86" s="210"/>
      <c r="F86" s="319"/>
    </row>
    <row r="87">
      <c r="A87" s="210"/>
      <c r="B87" s="317"/>
      <c r="C87" s="318"/>
      <c r="D87" s="210"/>
      <c r="E87" s="210"/>
      <c r="F87" s="319"/>
    </row>
    <row r="88">
      <c r="A88" s="210"/>
      <c r="B88" s="317"/>
      <c r="C88" s="318"/>
      <c r="D88" s="210"/>
      <c r="E88" s="210"/>
      <c r="F88" s="319"/>
    </row>
    <row r="89">
      <c r="A89" s="210"/>
      <c r="B89" s="317"/>
      <c r="C89" s="318"/>
      <c r="D89" s="210"/>
      <c r="E89" s="210"/>
      <c r="F89" s="319"/>
    </row>
    <row r="90">
      <c r="A90" s="210"/>
      <c r="B90" s="317"/>
      <c r="C90" s="318"/>
      <c r="D90" s="210"/>
      <c r="E90" s="210"/>
      <c r="F90" s="319"/>
    </row>
    <row r="91">
      <c r="A91" s="210"/>
      <c r="B91" s="317"/>
      <c r="C91" s="318"/>
      <c r="D91" s="210"/>
      <c r="E91" s="210"/>
      <c r="F91" s="319"/>
    </row>
    <row r="92">
      <c r="A92" s="210"/>
      <c r="B92" s="317"/>
      <c r="C92" s="318"/>
      <c r="D92" s="210"/>
      <c r="E92" s="210"/>
      <c r="F92" s="319"/>
    </row>
    <row r="93">
      <c r="A93" s="210"/>
      <c r="B93" s="317"/>
      <c r="C93" s="318"/>
      <c r="D93" s="210"/>
      <c r="E93" s="210"/>
      <c r="F93" s="319"/>
    </row>
    <row r="94">
      <c r="A94" s="210"/>
      <c r="B94" s="317"/>
      <c r="C94" s="318"/>
      <c r="D94" s="210"/>
      <c r="E94" s="210"/>
      <c r="F94" s="319"/>
    </row>
    <row r="95">
      <c r="A95" s="210"/>
      <c r="B95" s="317"/>
      <c r="C95" s="318"/>
      <c r="D95" s="210"/>
      <c r="E95" s="210"/>
      <c r="F95" s="319"/>
    </row>
    <row r="96">
      <c r="A96" s="210"/>
      <c r="B96" s="317"/>
      <c r="C96" s="318"/>
      <c r="D96" s="210"/>
      <c r="E96" s="210"/>
      <c r="F96" s="319"/>
    </row>
    <row r="97">
      <c r="A97" s="210"/>
      <c r="B97" s="317"/>
      <c r="C97" s="318"/>
      <c r="D97" s="210"/>
      <c r="E97" s="210"/>
      <c r="F97" s="319"/>
    </row>
    <row r="98">
      <c r="A98" s="210"/>
      <c r="B98" s="317"/>
      <c r="C98" s="318"/>
      <c r="D98" s="210"/>
      <c r="E98" s="210"/>
      <c r="F98" s="319"/>
    </row>
    <row r="99">
      <c r="A99" s="210"/>
      <c r="B99" s="317"/>
      <c r="C99" s="318"/>
      <c r="D99" s="210"/>
      <c r="E99" s="210"/>
      <c r="F99" s="319"/>
    </row>
    <row r="100">
      <c r="A100" s="210"/>
      <c r="B100" s="317"/>
      <c r="C100" s="318"/>
      <c r="D100" s="210"/>
      <c r="E100" s="210"/>
      <c r="F100" s="319"/>
    </row>
    <row r="101">
      <c r="A101" s="210"/>
      <c r="B101" s="317"/>
      <c r="C101" s="318"/>
      <c r="D101" s="210"/>
      <c r="E101" s="210"/>
      <c r="F101" s="319"/>
    </row>
    <row r="102">
      <c r="A102" s="210"/>
      <c r="B102" s="317"/>
      <c r="C102" s="318"/>
      <c r="D102" s="210"/>
      <c r="E102" s="210"/>
      <c r="F102" s="319"/>
    </row>
    <row r="103">
      <c r="A103" s="210"/>
      <c r="B103" s="317"/>
      <c r="C103" s="318"/>
      <c r="D103" s="210"/>
      <c r="E103" s="210"/>
      <c r="F103" s="319"/>
    </row>
    <row r="104">
      <c r="A104" s="210"/>
      <c r="B104" s="317"/>
      <c r="C104" s="318"/>
      <c r="D104" s="210"/>
      <c r="E104" s="210"/>
      <c r="F104" s="319"/>
    </row>
    <row r="105">
      <c r="A105" s="210"/>
      <c r="B105" s="317"/>
      <c r="C105" s="318"/>
      <c r="D105" s="210"/>
      <c r="E105" s="210"/>
      <c r="F105" s="319"/>
    </row>
    <row r="106">
      <c r="A106" s="210"/>
      <c r="B106" s="317"/>
      <c r="C106" s="318"/>
      <c r="D106" s="210"/>
      <c r="E106" s="210"/>
      <c r="F106" s="319"/>
    </row>
    <row r="107">
      <c r="A107" s="210"/>
      <c r="B107" s="317"/>
      <c r="C107" s="318"/>
      <c r="D107" s="210"/>
      <c r="E107" s="210"/>
      <c r="F107" s="319"/>
    </row>
    <row r="108">
      <c r="A108" s="210"/>
      <c r="B108" s="317"/>
      <c r="C108" s="318"/>
      <c r="D108" s="210"/>
      <c r="E108" s="210"/>
      <c r="F108" s="319"/>
    </row>
    <row r="109">
      <c r="A109" s="210"/>
      <c r="B109" s="317"/>
      <c r="C109" s="318"/>
      <c r="D109" s="210"/>
      <c r="E109" s="210"/>
      <c r="F109" s="319"/>
    </row>
    <row r="110">
      <c r="A110" s="210"/>
      <c r="B110" s="317"/>
      <c r="C110" s="318"/>
      <c r="D110" s="210"/>
      <c r="E110" s="210"/>
      <c r="F110" s="319"/>
    </row>
    <row r="111">
      <c r="A111" s="210"/>
      <c r="B111" s="317"/>
      <c r="C111" s="318"/>
      <c r="D111" s="210"/>
      <c r="E111" s="210"/>
      <c r="F111" s="319"/>
    </row>
    <row r="112">
      <c r="A112" s="210"/>
      <c r="B112" s="317"/>
      <c r="C112" s="318"/>
      <c r="D112" s="210"/>
      <c r="E112" s="210"/>
      <c r="F112" s="319"/>
    </row>
    <row r="113">
      <c r="A113" s="210"/>
      <c r="B113" s="317"/>
      <c r="C113" s="318"/>
      <c r="D113" s="210"/>
      <c r="E113" s="210"/>
      <c r="F113" s="319"/>
    </row>
    <row r="114">
      <c r="A114" s="210"/>
      <c r="B114" s="317"/>
      <c r="C114" s="318"/>
      <c r="D114" s="210"/>
      <c r="E114" s="210"/>
      <c r="F114" s="319"/>
    </row>
    <row r="115">
      <c r="A115" s="210"/>
      <c r="B115" s="317"/>
      <c r="C115" s="318"/>
      <c r="D115" s="210"/>
      <c r="E115" s="210"/>
      <c r="F115" s="319"/>
    </row>
    <row r="116">
      <c r="A116" s="210"/>
      <c r="B116" s="317"/>
      <c r="C116" s="318"/>
      <c r="D116" s="210"/>
      <c r="E116" s="210"/>
      <c r="F116" s="319"/>
    </row>
    <row r="117">
      <c r="A117" s="210"/>
      <c r="B117" s="317"/>
      <c r="C117" s="318"/>
      <c r="D117" s="210"/>
      <c r="E117" s="210"/>
      <c r="F117" s="319"/>
    </row>
    <row r="118">
      <c r="A118" s="210"/>
      <c r="B118" s="317"/>
      <c r="C118" s="318"/>
      <c r="D118" s="210"/>
      <c r="E118" s="210"/>
      <c r="F118" s="319"/>
    </row>
    <row r="119">
      <c r="A119" s="210"/>
      <c r="B119" s="317"/>
      <c r="C119" s="318"/>
      <c r="D119" s="210"/>
      <c r="E119" s="210"/>
      <c r="F119" s="319"/>
    </row>
    <row r="120">
      <c r="A120" s="210"/>
      <c r="B120" s="317"/>
      <c r="C120" s="318"/>
      <c r="D120" s="210"/>
      <c r="E120" s="210"/>
      <c r="F120" s="319"/>
    </row>
    <row r="121">
      <c r="A121" s="210"/>
      <c r="B121" s="317"/>
      <c r="C121" s="318"/>
      <c r="D121" s="210"/>
      <c r="E121" s="210"/>
      <c r="F121" s="319"/>
    </row>
    <row r="122">
      <c r="A122" s="210"/>
      <c r="B122" s="317"/>
      <c r="C122" s="318"/>
      <c r="D122" s="210"/>
      <c r="E122" s="210"/>
      <c r="F122" s="319"/>
    </row>
    <row r="123">
      <c r="A123" s="210"/>
      <c r="B123" s="317"/>
      <c r="C123" s="318"/>
      <c r="D123" s="210"/>
      <c r="E123" s="210"/>
      <c r="F123" s="319"/>
    </row>
    <row r="124">
      <c r="A124" s="210"/>
      <c r="B124" s="317"/>
      <c r="C124" s="318"/>
      <c r="D124" s="210"/>
      <c r="E124" s="210"/>
      <c r="F124" s="319"/>
    </row>
    <row r="125">
      <c r="A125" s="210"/>
      <c r="B125" s="317"/>
      <c r="C125" s="318"/>
      <c r="D125" s="210"/>
      <c r="E125" s="210"/>
      <c r="F125" s="319"/>
    </row>
    <row r="126">
      <c r="A126" s="210"/>
      <c r="B126" s="317"/>
      <c r="C126" s="318"/>
      <c r="D126" s="210"/>
      <c r="E126" s="210"/>
      <c r="F126" s="319"/>
    </row>
    <row r="127">
      <c r="A127" s="210"/>
      <c r="B127" s="317"/>
      <c r="C127" s="318"/>
      <c r="D127" s="210"/>
      <c r="E127" s="210"/>
      <c r="F127" s="319"/>
    </row>
    <row r="128">
      <c r="A128" s="210"/>
      <c r="B128" s="317"/>
      <c r="C128" s="318"/>
      <c r="D128" s="210"/>
      <c r="E128" s="210"/>
      <c r="F128" s="319"/>
    </row>
    <row r="129">
      <c r="A129" s="210"/>
      <c r="B129" s="317"/>
      <c r="C129" s="318"/>
      <c r="D129" s="210"/>
      <c r="E129" s="210"/>
      <c r="F129" s="319"/>
    </row>
    <row r="130">
      <c r="A130" s="210"/>
      <c r="B130" s="317"/>
      <c r="C130" s="318"/>
      <c r="D130" s="210"/>
      <c r="E130" s="210"/>
      <c r="F130" s="319"/>
    </row>
    <row r="131">
      <c r="A131" s="210"/>
      <c r="B131" s="317"/>
      <c r="C131" s="318"/>
      <c r="D131" s="210"/>
      <c r="E131" s="210"/>
      <c r="F131" s="319"/>
    </row>
    <row r="132">
      <c r="A132" s="210"/>
      <c r="B132" s="317"/>
      <c r="C132" s="318"/>
      <c r="D132" s="210"/>
      <c r="E132" s="210"/>
      <c r="F132" s="319"/>
    </row>
    <row r="133">
      <c r="A133" s="210"/>
      <c r="B133" s="317"/>
      <c r="C133" s="318"/>
      <c r="D133" s="210"/>
      <c r="E133" s="210"/>
      <c r="F133" s="319"/>
    </row>
    <row r="134">
      <c r="A134" s="210"/>
      <c r="B134" s="317"/>
      <c r="C134" s="318"/>
      <c r="D134" s="210"/>
      <c r="E134" s="210"/>
      <c r="F134" s="319"/>
    </row>
    <row r="135">
      <c r="A135" s="210"/>
      <c r="B135" s="317"/>
      <c r="C135" s="318"/>
      <c r="D135" s="210"/>
      <c r="E135" s="210"/>
      <c r="F135" s="319"/>
    </row>
    <row r="136">
      <c r="A136" s="210"/>
      <c r="B136" s="317"/>
      <c r="C136" s="318"/>
      <c r="D136" s="210"/>
      <c r="E136" s="210"/>
      <c r="F136" s="319"/>
    </row>
    <row r="137">
      <c r="A137" s="210"/>
      <c r="B137" s="317"/>
      <c r="C137" s="318"/>
      <c r="D137" s="210"/>
      <c r="E137" s="210"/>
      <c r="F137" s="319"/>
    </row>
    <row r="138">
      <c r="A138" s="210"/>
      <c r="B138" s="317"/>
      <c r="C138" s="318"/>
      <c r="D138" s="210"/>
      <c r="E138" s="210"/>
      <c r="F138" s="319"/>
    </row>
    <row r="139">
      <c r="A139" s="210"/>
      <c r="B139" s="317"/>
      <c r="C139" s="318"/>
      <c r="D139" s="210"/>
      <c r="E139" s="210"/>
      <c r="F139" s="319"/>
    </row>
    <row r="140">
      <c r="A140" s="210"/>
      <c r="B140" s="317"/>
      <c r="C140" s="318"/>
      <c r="D140" s="210"/>
      <c r="E140" s="210"/>
      <c r="F140" s="319"/>
    </row>
    <row r="141">
      <c r="A141" s="210"/>
      <c r="B141" s="317"/>
      <c r="C141" s="318"/>
      <c r="D141" s="210"/>
      <c r="E141" s="210"/>
      <c r="F141" s="319"/>
    </row>
    <row r="142">
      <c r="A142" s="210"/>
      <c r="B142" s="317"/>
      <c r="C142" s="318"/>
      <c r="D142" s="210"/>
      <c r="E142" s="210"/>
      <c r="F142" s="319"/>
    </row>
    <row r="143">
      <c r="A143" s="210"/>
      <c r="B143" s="317"/>
      <c r="C143" s="318"/>
      <c r="D143" s="210"/>
      <c r="E143" s="210"/>
      <c r="F143" s="319"/>
    </row>
    <row r="144">
      <c r="A144" s="210"/>
      <c r="B144" s="317"/>
      <c r="C144" s="318"/>
      <c r="D144" s="210"/>
      <c r="E144" s="210"/>
      <c r="F144" s="319"/>
    </row>
    <row r="145">
      <c r="A145" s="210"/>
      <c r="B145" s="317"/>
      <c r="C145" s="318"/>
      <c r="D145" s="210"/>
      <c r="E145" s="210"/>
      <c r="F145" s="319"/>
    </row>
    <row r="146">
      <c r="A146" s="210"/>
      <c r="B146" s="317"/>
      <c r="C146" s="318"/>
      <c r="D146" s="210"/>
      <c r="E146" s="210"/>
      <c r="F146" s="319"/>
    </row>
    <row r="147">
      <c r="A147" s="210"/>
      <c r="B147" s="317"/>
      <c r="C147" s="318"/>
      <c r="D147" s="210"/>
      <c r="E147" s="210"/>
      <c r="F147" s="319"/>
    </row>
    <row r="148">
      <c r="A148" s="210"/>
      <c r="B148" s="317"/>
      <c r="C148" s="318"/>
      <c r="D148" s="210"/>
      <c r="E148" s="210"/>
      <c r="F148" s="319"/>
    </row>
    <row r="149">
      <c r="A149" s="210"/>
      <c r="B149" s="317"/>
      <c r="C149" s="318"/>
      <c r="D149" s="210"/>
      <c r="E149" s="210"/>
      <c r="F149" s="319"/>
    </row>
    <row r="150">
      <c r="A150" s="210"/>
      <c r="B150" s="317"/>
      <c r="C150" s="318"/>
      <c r="D150" s="210"/>
      <c r="E150" s="210"/>
      <c r="F150" s="319"/>
    </row>
    <row r="151">
      <c r="A151" s="210"/>
      <c r="B151" s="317"/>
      <c r="C151" s="318"/>
      <c r="D151" s="210"/>
      <c r="E151" s="210"/>
      <c r="F151" s="319"/>
    </row>
    <row r="152">
      <c r="A152" s="210"/>
      <c r="B152" s="317"/>
      <c r="C152" s="318"/>
      <c r="D152" s="210"/>
      <c r="E152" s="210"/>
      <c r="F152" s="319"/>
    </row>
    <row r="153">
      <c r="A153" s="210"/>
      <c r="B153" s="317"/>
      <c r="C153" s="318"/>
      <c r="D153" s="210"/>
      <c r="E153" s="210"/>
      <c r="F153" s="319"/>
    </row>
    <row r="154">
      <c r="A154" s="210"/>
      <c r="B154" s="317"/>
      <c r="C154" s="318"/>
      <c r="D154" s="210"/>
      <c r="E154" s="210"/>
      <c r="F154" s="319"/>
    </row>
    <row r="155">
      <c r="A155" s="210"/>
      <c r="B155" s="317"/>
      <c r="C155" s="318"/>
      <c r="D155" s="210"/>
      <c r="E155" s="210"/>
      <c r="F155" s="319"/>
    </row>
    <row r="156">
      <c r="A156" s="210"/>
      <c r="B156" s="317"/>
      <c r="C156" s="318"/>
      <c r="D156" s="210"/>
      <c r="E156" s="210"/>
      <c r="F156" s="319"/>
    </row>
    <row r="157">
      <c r="A157" s="210"/>
      <c r="B157" s="317"/>
      <c r="C157" s="318"/>
      <c r="D157" s="210"/>
      <c r="E157" s="210"/>
      <c r="F157" s="319"/>
    </row>
    <row r="158">
      <c r="A158" s="210"/>
      <c r="B158" s="317"/>
      <c r="C158" s="318"/>
      <c r="D158" s="210"/>
      <c r="E158" s="210"/>
      <c r="F158" s="319"/>
    </row>
    <row r="159">
      <c r="A159" s="210"/>
      <c r="B159" s="317"/>
      <c r="C159" s="318"/>
      <c r="D159" s="210"/>
      <c r="E159" s="210"/>
      <c r="F159" s="319"/>
    </row>
    <row r="160">
      <c r="A160" s="210"/>
      <c r="B160" s="317"/>
      <c r="C160" s="318"/>
      <c r="D160" s="210"/>
      <c r="E160" s="210"/>
      <c r="F160" s="319"/>
    </row>
    <row r="161">
      <c r="A161" s="210"/>
      <c r="B161" s="317"/>
      <c r="C161" s="318"/>
      <c r="D161" s="210"/>
      <c r="E161" s="210"/>
      <c r="F161" s="319"/>
    </row>
    <row r="162">
      <c r="A162" s="210"/>
      <c r="B162" s="317"/>
      <c r="C162" s="318"/>
      <c r="D162" s="210"/>
      <c r="E162" s="210"/>
      <c r="F162" s="319"/>
    </row>
    <row r="163">
      <c r="A163" s="210"/>
      <c r="B163" s="317"/>
      <c r="C163" s="318"/>
      <c r="D163" s="210"/>
      <c r="E163" s="210"/>
      <c r="F163" s="319"/>
    </row>
    <row r="164">
      <c r="A164" s="210"/>
      <c r="B164" s="317"/>
      <c r="C164" s="318"/>
      <c r="D164" s="210"/>
      <c r="E164" s="210"/>
      <c r="F164" s="319"/>
    </row>
    <row r="165">
      <c r="A165" s="210"/>
      <c r="B165" s="317"/>
      <c r="C165" s="318"/>
      <c r="D165" s="210"/>
      <c r="E165" s="210"/>
      <c r="F165" s="319"/>
    </row>
    <row r="166">
      <c r="A166" s="210"/>
      <c r="B166" s="317"/>
      <c r="C166" s="318"/>
      <c r="D166" s="210"/>
      <c r="E166" s="210"/>
      <c r="F166" s="319"/>
    </row>
    <row r="167">
      <c r="A167" s="210"/>
      <c r="B167" s="317"/>
      <c r="C167" s="318"/>
      <c r="D167" s="210"/>
      <c r="E167" s="210"/>
      <c r="F167" s="319"/>
    </row>
    <row r="168">
      <c r="A168" s="210"/>
      <c r="B168" s="317"/>
      <c r="C168" s="318"/>
      <c r="D168" s="210"/>
      <c r="E168" s="210"/>
      <c r="F168" s="319"/>
    </row>
    <row r="169">
      <c r="A169" s="210"/>
      <c r="B169" s="317"/>
      <c r="C169" s="318"/>
      <c r="D169" s="210"/>
      <c r="E169" s="210"/>
      <c r="F169" s="319"/>
    </row>
    <row r="170">
      <c r="A170" s="210"/>
      <c r="B170" s="317"/>
      <c r="C170" s="318"/>
      <c r="D170" s="210"/>
      <c r="E170" s="210"/>
      <c r="F170" s="319"/>
    </row>
    <row r="171">
      <c r="A171" s="210"/>
      <c r="B171" s="317"/>
      <c r="C171" s="318"/>
      <c r="D171" s="210"/>
      <c r="E171" s="210"/>
      <c r="F171" s="319"/>
    </row>
    <row r="172">
      <c r="A172" s="210"/>
      <c r="B172" s="317"/>
      <c r="C172" s="318"/>
      <c r="D172" s="210"/>
      <c r="E172" s="210"/>
      <c r="F172" s="319"/>
    </row>
    <row r="173">
      <c r="A173" s="210"/>
      <c r="B173" s="317"/>
      <c r="C173" s="318"/>
      <c r="D173" s="210"/>
      <c r="E173" s="210"/>
      <c r="F173" s="319"/>
    </row>
    <row r="174">
      <c r="A174" s="210"/>
      <c r="B174" s="317"/>
      <c r="C174" s="318"/>
      <c r="D174" s="210"/>
      <c r="E174" s="210"/>
      <c r="F174" s="319"/>
    </row>
    <row r="175">
      <c r="A175" s="210"/>
      <c r="B175" s="317"/>
      <c r="C175" s="318"/>
      <c r="D175" s="210"/>
      <c r="E175" s="210"/>
      <c r="F175" s="319"/>
    </row>
    <row r="176">
      <c r="A176" s="210"/>
      <c r="B176" s="317"/>
      <c r="C176" s="318"/>
      <c r="D176" s="210"/>
      <c r="E176" s="210"/>
      <c r="F176" s="319"/>
    </row>
    <row r="177">
      <c r="A177" s="210"/>
      <c r="B177" s="317"/>
      <c r="C177" s="318"/>
      <c r="D177" s="210"/>
      <c r="E177" s="210"/>
      <c r="F177" s="319"/>
    </row>
    <row r="178">
      <c r="A178" s="210"/>
      <c r="B178" s="317"/>
      <c r="C178" s="318"/>
      <c r="D178" s="210"/>
      <c r="E178" s="210"/>
      <c r="F178" s="319"/>
    </row>
    <row r="179">
      <c r="A179" s="210"/>
      <c r="B179" s="317"/>
      <c r="C179" s="318"/>
      <c r="D179" s="210"/>
      <c r="E179" s="210"/>
      <c r="F179" s="319"/>
    </row>
    <row r="180">
      <c r="A180" s="210"/>
      <c r="B180" s="317"/>
      <c r="C180" s="318"/>
      <c r="D180" s="210"/>
      <c r="E180" s="210"/>
      <c r="F180" s="319"/>
    </row>
    <row r="181">
      <c r="A181" s="210"/>
      <c r="B181" s="317"/>
      <c r="C181" s="318"/>
      <c r="D181" s="210"/>
      <c r="E181" s="210"/>
      <c r="F181" s="319"/>
    </row>
    <row r="182">
      <c r="A182" s="210"/>
      <c r="B182" s="317"/>
      <c r="C182" s="318"/>
      <c r="D182" s="210"/>
      <c r="E182" s="210"/>
      <c r="F182" s="319"/>
    </row>
    <row r="183">
      <c r="A183" s="210"/>
      <c r="B183" s="317"/>
      <c r="C183" s="318"/>
      <c r="D183" s="210"/>
      <c r="E183" s="210"/>
      <c r="F183" s="319"/>
    </row>
    <row r="184">
      <c r="A184" s="210"/>
      <c r="B184" s="317"/>
      <c r="C184" s="318"/>
      <c r="D184" s="210"/>
      <c r="E184" s="210"/>
      <c r="F184" s="319"/>
    </row>
    <row r="185">
      <c r="A185" s="210"/>
      <c r="B185" s="317"/>
      <c r="C185" s="318"/>
      <c r="D185" s="210"/>
      <c r="E185" s="210"/>
      <c r="F185" s="319"/>
    </row>
    <row r="186">
      <c r="A186" s="210"/>
      <c r="B186" s="317"/>
      <c r="C186" s="318"/>
      <c r="D186" s="210"/>
      <c r="E186" s="210"/>
      <c r="F186" s="319"/>
    </row>
    <row r="187">
      <c r="A187" s="210"/>
      <c r="B187" s="317"/>
      <c r="C187" s="318"/>
      <c r="D187" s="210"/>
      <c r="E187" s="210"/>
      <c r="F187" s="319"/>
    </row>
    <row r="188">
      <c r="A188" s="210"/>
      <c r="B188" s="317"/>
      <c r="C188" s="318"/>
      <c r="D188" s="210"/>
      <c r="E188" s="210"/>
      <c r="F188" s="319"/>
    </row>
    <row r="189">
      <c r="A189" s="210"/>
      <c r="B189" s="317"/>
      <c r="C189" s="318"/>
      <c r="D189" s="210"/>
      <c r="E189" s="210"/>
      <c r="F189" s="319"/>
    </row>
    <row r="190">
      <c r="A190" s="210"/>
      <c r="B190" s="317"/>
      <c r="C190" s="318"/>
      <c r="D190" s="210"/>
      <c r="E190" s="210"/>
      <c r="F190" s="319"/>
    </row>
    <row r="191">
      <c r="A191" s="210"/>
      <c r="B191" s="317"/>
      <c r="C191" s="318"/>
      <c r="D191" s="210"/>
      <c r="E191" s="210"/>
      <c r="F191" s="319"/>
    </row>
    <row r="192">
      <c r="A192" s="210"/>
      <c r="B192" s="317"/>
      <c r="C192" s="318"/>
      <c r="D192" s="210"/>
      <c r="E192" s="210"/>
      <c r="F192" s="319"/>
    </row>
    <row r="193">
      <c r="A193" s="210"/>
      <c r="B193" s="317"/>
      <c r="C193" s="318"/>
      <c r="D193" s="210"/>
      <c r="E193" s="210"/>
      <c r="F193" s="319"/>
    </row>
    <row r="194">
      <c r="A194" s="210"/>
      <c r="B194" s="317"/>
      <c r="C194" s="318"/>
      <c r="D194" s="210"/>
      <c r="E194" s="210"/>
      <c r="F194" s="319"/>
    </row>
    <row r="195">
      <c r="A195" s="210"/>
      <c r="B195" s="317"/>
      <c r="C195" s="318"/>
      <c r="D195" s="210"/>
      <c r="E195" s="210"/>
      <c r="F195" s="319"/>
    </row>
    <row r="196">
      <c r="A196" s="210"/>
      <c r="B196" s="317"/>
      <c r="C196" s="318"/>
      <c r="D196" s="210"/>
      <c r="E196" s="210"/>
      <c r="F196" s="319"/>
    </row>
    <row r="197">
      <c r="A197" s="210"/>
      <c r="B197" s="317"/>
      <c r="C197" s="318"/>
      <c r="D197" s="210"/>
      <c r="E197" s="210"/>
      <c r="F197" s="319"/>
    </row>
    <row r="198">
      <c r="A198" s="210"/>
      <c r="B198" s="317"/>
      <c r="C198" s="318"/>
      <c r="D198" s="210"/>
      <c r="E198" s="210"/>
      <c r="F198" s="319"/>
    </row>
    <row r="199">
      <c r="A199" s="210"/>
      <c r="B199" s="317"/>
      <c r="C199" s="318"/>
      <c r="D199" s="210"/>
      <c r="E199" s="210"/>
      <c r="F199" s="319"/>
    </row>
    <row r="200">
      <c r="A200" s="210"/>
      <c r="B200" s="317"/>
      <c r="C200" s="318"/>
      <c r="D200" s="210"/>
      <c r="E200" s="210"/>
      <c r="F200" s="319"/>
    </row>
    <row r="201">
      <c r="A201" s="210"/>
      <c r="B201" s="317"/>
      <c r="C201" s="318"/>
      <c r="D201" s="210"/>
      <c r="E201" s="210"/>
      <c r="F201" s="319"/>
    </row>
    <row r="202">
      <c r="A202" s="210"/>
      <c r="B202" s="317"/>
      <c r="C202" s="318"/>
      <c r="D202" s="210"/>
      <c r="E202" s="210"/>
      <c r="F202" s="319"/>
    </row>
    <row r="203">
      <c r="A203" s="210"/>
      <c r="B203" s="317"/>
      <c r="C203" s="318"/>
      <c r="D203" s="210"/>
      <c r="E203" s="210"/>
      <c r="F203" s="319"/>
    </row>
    <row r="204">
      <c r="A204" s="210"/>
      <c r="B204" s="317"/>
      <c r="C204" s="318"/>
      <c r="D204" s="210"/>
      <c r="E204" s="210"/>
      <c r="F204" s="319"/>
    </row>
    <row r="205">
      <c r="A205" s="210"/>
      <c r="B205" s="317"/>
      <c r="C205" s="318"/>
      <c r="D205" s="210"/>
      <c r="E205" s="210"/>
      <c r="F205" s="319"/>
    </row>
    <row r="206">
      <c r="A206" s="210"/>
      <c r="B206" s="317"/>
      <c r="C206" s="318"/>
      <c r="D206" s="210"/>
      <c r="E206" s="210"/>
      <c r="F206" s="319"/>
    </row>
    <row r="207">
      <c r="A207" s="210"/>
      <c r="B207" s="317"/>
      <c r="C207" s="318"/>
      <c r="D207" s="210"/>
      <c r="E207" s="210"/>
      <c r="F207" s="319"/>
    </row>
    <row r="208">
      <c r="A208" s="210"/>
      <c r="B208" s="317"/>
      <c r="C208" s="318"/>
      <c r="D208" s="210"/>
      <c r="E208" s="210"/>
      <c r="F208" s="319"/>
    </row>
    <row r="209">
      <c r="A209" s="210"/>
      <c r="B209" s="317"/>
      <c r="C209" s="318"/>
      <c r="D209" s="210"/>
      <c r="E209" s="210"/>
      <c r="F209" s="319"/>
    </row>
    <row r="210">
      <c r="A210" s="210"/>
      <c r="B210" s="317"/>
      <c r="C210" s="318"/>
      <c r="D210" s="210"/>
      <c r="E210" s="210"/>
      <c r="F210" s="319"/>
    </row>
    <row r="211">
      <c r="A211" s="210"/>
      <c r="B211" s="317"/>
      <c r="C211" s="318"/>
      <c r="D211" s="210"/>
      <c r="E211" s="210"/>
      <c r="F211" s="319"/>
    </row>
    <row r="212">
      <c r="A212" s="210"/>
      <c r="B212" s="317"/>
      <c r="C212" s="318"/>
      <c r="D212" s="210"/>
      <c r="E212" s="210"/>
      <c r="F212" s="319"/>
    </row>
    <row r="213">
      <c r="A213" s="210"/>
      <c r="B213" s="317"/>
      <c r="C213" s="318"/>
      <c r="D213" s="210"/>
      <c r="E213" s="210"/>
      <c r="F213" s="319"/>
    </row>
    <row r="214">
      <c r="A214" s="210"/>
      <c r="B214" s="317"/>
      <c r="C214" s="318"/>
      <c r="D214" s="210"/>
      <c r="E214" s="210"/>
      <c r="F214" s="319"/>
    </row>
    <row r="215">
      <c r="A215" s="210"/>
      <c r="B215" s="317"/>
      <c r="C215" s="318"/>
      <c r="D215" s="210"/>
      <c r="E215" s="210"/>
      <c r="F215" s="319"/>
    </row>
    <row r="216">
      <c r="A216" s="210"/>
      <c r="B216" s="317"/>
      <c r="C216" s="318"/>
      <c r="D216" s="210"/>
      <c r="E216" s="210"/>
      <c r="F216" s="319"/>
    </row>
    <row r="217">
      <c r="A217" s="210"/>
      <c r="B217" s="317"/>
      <c r="C217" s="318"/>
      <c r="D217" s="210"/>
      <c r="E217" s="210"/>
      <c r="F217" s="319"/>
    </row>
    <row r="218">
      <c r="A218" s="210"/>
      <c r="B218" s="317"/>
      <c r="C218" s="318"/>
      <c r="D218" s="210"/>
      <c r="E218" s="210"/>
      <c r="F218" s="319"/>
    </row>
    <row r="219">
      <c r="A219" s="210"/>
      <c r="B219" s="317"/>
      <c r="C219" s="318"/>
      <c r="D219" s="210"/>
      <c r="E219" s="210"/>
      <c r="F219" s="319"/>
    </row>
    <row r="220">
      <c r="A220" s="210"/>
      <c r="B220" s="317"/>
      <c r="C220" s="318"/>
      <c r="D220" s="210"/>
      <c r="E220" s="210"/>
      <c r="F220" s="319"/>
    </row>
    <row r="221">
      <c r="A221" s="210"/>
      <c r="B221" s="317"/>
      <c r="C221" s="318"/>
      <c r="D221" s="210"/>
      <c r="E221" s="210"/>
      <c r="F221" s="319"/>
    </row>
    <row r="222">
      <c r="A222" s="210"/>
      <c r="B222" s="317"/>
      <c r="C222" s="318"/>
      <c r="D222" s="210"/>
      <c r="E222" s="210"/>
      <c r="F222" s="319"/>
    </row>
    <row r="223">
      <c r="A223" s="210"/>
      <c r="B223" s="317"/>
      <c r="C223" s="318"/>
      <c r="D223" s="210"/>
      <c r="E223" s="210"/>
      <c r="F223" s="319"/>
    </row>
    <row r="224">
      <c r="A224" s="210"/>
      <c r="B224" s="317"/>
      <c r="C224" s="318"/>
      <c r="D224" s="210"/>
      <c r="E224" s="210"/>
      <c r="F224" s="319"/>
    </row>
    <row r="225">
      <c r="A225" s="210"/>
      <c r="B225" s="317"/>
      <c r="C225" s="318"/>
      <c r="D225" s="210"/>
      <c r="E225" s="210"/>
      <c r="F225" s="319"/>
    </row>
    <row r="226">
      <c r="A226" s="210"/>
      <c r="B226" s="317"/>
      <c r="C226" s="318"/>
      <c r="D226" s="210"/>
      <c r="E226" s="210"/>
      <c r="F226" s="319"/>
    </row>
    <row r="227">
      <c r="A227" s="210"/>
      <c r="B227" s="317"/>
      <c r="C227" s="318"/>
      <c r="D227" s="210"/>
      <c r="E227" s="210"/>
      <c r="F227" s="319"/>
    </row>
    <row r="228">
      <c r="A228" s="210"/>
      <c r="B228" s="317"/>
      <c r="C228" s="318"/>
      <c r="D228" s="210"/>
      <c r="E228" s="210"/>
      <c r="F228" s="319"/>
    </row>
    <row r="229">
      <c r="A229" s="210"/>
      <c r="B229" s="317"/>
      <c r="C229" s="318"/>
      <c r="D229" s="210"/>
      <c r="E229" s="210"/>
      <c r="F229" s="319"/>
    </row>
    <row r="230">
      <c r="A230" s="210"/>
      <c r="B230" s="317"/>
      <c r="C230" s="318"/>
      <c r="D230" s="210"/>
      <c r="E230" s="210"/>
      <c r="F230" s="319"/>
    </row>
    <row r="231">
      <c r="A231" s="210"/>
      <c r="B231" s="317"/>
      <c r="C231" s="318"/>
      <c r="D231" s="210"/>
      <c r="E231" s="210"/>
      <c r="F231" s="319"/>
    </row>
    <row r="232">
      <c r="A232" s="210"/>
      <c r="B232" s="317"/>
      <c r="C232" s="318"/>
      <c r="D232" s="210"/>
      <c r="E232" s="210"/>
      <c r="F232" s="319"/>
    </row>
    <row r="233">
      <c r="A233" s="210"/>
      <c r="B233" s="317"/>
      <c r="C233" s="318"/>
      <c r="D233" s="210"/>
      <c r="E233" s="210"/>
      <c r="F233" s="319"/>
    </row>
    <row r="234">
      <c r="A234" s="210"/>
      <c r="B234" s="317"/>
      <c r="C234" s="318"/>
      <c r="D234" s="210"/>
      <c r="E234" s="210"/>
      <c r="F234" s="319"/>
    </row>
    <row r="235">
      <c r="A235" s="210"/>
      <c r="B235" s="317"/>
      <c r="C235" s="318"/>
      <c r="D235" s="210"/>
      <c r="E235" s="210"/>
      <c r="F235" s="319"/>
    </row>
    <row r="236">
      <c r="A236" s="210"/>
      <c r="B236" s="317"/>
      <c r="C236" s="318"/>
      <c r="D236" s="210"/>
      <c r="E236" s="210"/>
      <c r="F236" s="319"/>
    </row>
    <row r="237">
      <c r="A237" s="210"/>
      <c r="B237" s="317"/>
      <c r="C237" s="318"/>
      <c r="D237" s="210"/>
      <c r="E237" s="210"/>
      <c r="F237" s="319"/>
    </row>
    <row r="238">
      <c r="A238" s="210"/>
      <c r="B238" s="317"/>
      <c r="C238" s="318"/>
      <c r="D238" s="210"/>
      <c r="E238" s="210"/>
      <c r="F238" s="319"/>
    </row>
    <row r="239">
      <c r="A239" s="210"/>
      <c r="B239" s="317"/>
      <c r="C239" s="318"/>
      <c r="D239" s="210"/>
      <c r="E239" s="210"/>
      <c r="F239" s="319"/>
    </row>
    <row r="240">
      <c r="A240" s="210"/>
      <c r="B240" s="317"/>
      <c r="C240" s="318"/>
      <c r="D240" s="210"/>
      <c r="E240" s="210"/>
      <c r="F240" s="319"/>
    </row>
    <row r="241">
      <c r="A241" s="210"/>
      <c r="B241" s="317"/>
      <c r="C241" s="318"/>
      <c r="D241" s="210"/>
      <c r="E241" s="210"/>
      <c r="F241" s="319"/>
    </row>
    <row r="242">
      <c r="A242" s="210"/>
      <c r="B242" s="317"/>
      <c r="C242" s="318"/>
      <c r="D242" s="210"/>
      <c r="E242" s="210"/>
      <c r="F242" s="319"/>
    </row>
    <row r="243">
      <c r="A243" s="210"/>
      <c r="B243" s="317"/>
      <c r="C243" s="318"/>
      <c r="D243" s="210"/>
      <c r="E243" s="210"/>
      <c r="F243" s="319"/>
    </row>
    <row r="244">
      <c r="A244" s="210"/>
      <c r="B244" s="317"/>
      <c r="C244" s="318"/>
      <c r="D244" s="210"/>
      <c r="E244" s="210"/>
      <c r="F244" s="319"/>
    </row>
    <row r="245">
      <c r="A245" s="210"/>
      <c r="B245" s="317"/>
      <c r="C245" s="318"/>
      <c r="D245" s="210"/>
      <c r="E245" s="210"/>
      <c r="F245" s="319"/>
    </row>
    <row r="246">
      <c r="A246" s="210"/>
      <c r="B246" s="317"/>
      <c r="C246" s="318"/>
      <c r="D246" s="210"/>
      <c r="E246" s="210"/>
      <c r="F246" s="319"/>
    </row>
    <row r="247">
      <c r="A247" s="210"/>
      <c r="B247" s="317"/>
      <c r="C247" s="318"/>
      <c r="D247" s="210"/>
      <c r="E247" s="210"/>
      <c r="F247" s="319"/>
    </row>
    <row r="248">
      <c r="A248" s="210"/>
      <c r="B248" s="317"/>
      <c r="C248" s="318"/>
      <c r="D248" s="210"/>
      <c r="E248" s="210"/>
      <c r="F248" s="319"/>
    </row>
    <row r="249">
      <c r="A249" s="210"/>
      <c r="B249" s="317"/>
      <c r="C249" s="318"/>
      <c r="D249" s="210"/>
      <c r="E249" s="210"/>
      <c r="F249" s="319"/>
    </row>
    <row r="250">
      <c r="A250" s="210"/>
      <c r="B250" s="317"/>
      <c r="C250" s="318"/>
      <c r="D250" s="210"/>
      <c r="E250" s="210"/>
      <c r="F250" s="319"/>
    </row>
    <row r="251">
      <c r="A251" s="210"/>
      <c r="B251" s="317"/>
      <c r="C251" s="318"/>
      <c r="D251" s="210"/>
      <c r="E251" s="210"/>
      <c r="F251" s="319"/>
    </row>
    <row r="252">
      <c r="A252" s="210"/>
      <c r="B252" s="317"/>
      <c r="C252" s="318"/>
      <c r="D252" s="210"/>
      <c r="E252" s="210"/>
      <c r="F252" s="319"/>
    </row>
    <row r="253">
      <c r="A253" s="210"/>
      <c r="B253" s="317"/>
      <c r="C253" s="318"/>
      <c r="D253" s="210"/>
      <c r="E253" s="210"/>
      <c r="F253" s="319"/>
    </row>
    <row r="254">
      <c r="A254" s="210"/>
      <c r="B254" s="317"/>
      <c r="C254" s="318"/>
      <c r="D254" s="210"/>
      <c r="E254" s="210"/>
      <c r="F254" s="319"/>
    </row>
    <row r="255">
      <c r="A255" s="210"/>
      <c r="B255" s="317"/>
      <c r="C255" s="318"/>
      <c r="D255" s="210"/>
      <c r="E255" s="210"/>
      <c r="F255" s="319"/>
    </row>
    <row r="256">
      <c r="A256" s="210"/>
      <c r="B256" s="317"/>
      <c r="C256" s="318"/>
      <c r="D256" s="210"/>
      <c r="E256" s="210"/>
      <c r="F256" s="319"/>
    </row>
    <row r="257">
      <c r="A257" s="210"/>
      <c r="B257" s="317"/>
      <c r="C257" s="318"/>
      <c r="D257" s="210"/>
      <c r="E257" s="210"/>
      <c r="F257" s="319"/>
    </row>
    <row r="258">
      <c r="A258" s="210"/>
      <c r="B258" s="317"/>
      <c r="C258" s="318"/>
      <c r="D258" s="210"/>
      <c r="E258" s="210"/>
      <c r="F258" s="319"/>
    </row>
    <row r="259">
      <c r="A259" s="210"/>
      <c r="B259" s="317"/>
      <c r="C259" s="318"/>
      <c r="D259" s="210"/>
      <c r="E259" s="210"/>
      <c r="F259" s="319"/>
    </row>
    <row r="260">
      <c r="A260" s="210"/>
      <c r="B260" s="317"/>
      <c r="C260" s="318"/>
      <c r="D260" s="210"/>
      <c r="E260" s="210"/>
      <c r="F260" s="319"/>
    </row>
    <row r="261">
      <c r="A261" s="210"/>
      <c r="B261" s="317"/>
      <c r="C261" s="318"/>
      <c r="D261" s="210"/>
      <c r="E261" s="210"/>
      <c r="F261" s="319"/>
    </row>
    <row r="262">
      <c r="A262" s="210"/>
      <c r="B262" s="317"/>
      <c r="C262" s="318"/>
      <c r="D262" s="210"/>
      <c r="E262" s="210"/>
      <c r="F262" s="319"/>
    </row>
    <row r="263">
      <c r="A263" s="210"/>
      <c r="B263" s="317"/>
      <c r="C263" s="318"/>
      <c r="D263" s="210"/>
      <c r="E263" s="210"/>
      <c r="F263" s="319"/>
    </row>
    <row r="264">
      <c r="A264" s="210"/>
      <c r="B264" s="317"/>
      <c r="C264" s="318"/>
      <c r="D264" s="210"/>
      <c r="E264" s="210"/>
      <c r="F264" s="319"/>
    </row>
    <row r="265">
      <c r="A265" s="210"/>
      <c r="B265" s="317"/>
      <c r="C265" s="318"/>
      <c r="D265" s="210"/>
      <c r="E265" s="210"/>
      <c r="F265" s="319"/>
    </row>
    <row r="266">
      <c r="A266" s="210"/>
      <c r="B266" s="317"/>
      <c r="C266" s="318"/>
      <c r="D266" s="210"/>
      <c r="E266" s="210"/>
      <c r="F266" s="319"/>
    </row>
    <row r="267">
      <c r="A267" s="210"/>
      <c r="B267" s="317"/>
      <c r="C267" s="318"/>
      <c r="D267" s="210"/>
      <c r="E267" s="210"/>
      <c r="F267" s="319"/>
    </row>
    <row r="268">
      <c r="A268" s="210"/>
      <c r="B268" s="317"/>
      <c r="C268" s="318"/>
      <c r="D268" s="210"/>
      <c r="E268" s="210"/>
      <c r="F268" s="319"/>
    </row>
    <row r="269">
      <c r="A269" s="210"/>
      <c r="B269" s="317"/>
      <c r="C269" s="318"/>
      <c r="D269" s="210"/>
      <c r="E269" s="210"/>
      <c r="F269" s="319"/>
    </row>
    <row r="270">
      <c r="A270" s="210"/>
      <c r="B270" s="317"/>
      <c r="C270" s="318"/>
      <c r="D270" s="210"/>
      <c r="E270" s="210"/>
      <c r="F270" s="319"/>
    </row>
    <row r="271">
      <c r="A271" s="210"/>
      <c r="B271" s="317"/>
      <c r="C271" s="318"/>
      <c r="D271" s="210"/>
      <c r="E271" s="210"/>
      <c r="F271" s="319"/>
    </row>
    <row r="272">
      <c r="A272" s="210"/>
      <c r="B272" s="317"/>
      <c r="C272" s="318"/>
      <c r="D272" s="210"/>
      <c r="E272" s="210"/>
      <c r="F272" s="319"/>
    </row>
    <row r="273">
      <c r="A273" s="210"/>
      <c r="B273" s="317"/>
      <c r="C273" s="318"/>
      <c r="D273" s="210"/>
      <c r="E273" s="210"/>
      <c r="F273" s="319"/>
    </row>
    <row r="274">
      <c r="A274" s="210"/>
      <c r="B274" s="317"/>
      <c r="C274" s="318"/>
      <c r="D274" s="210"/>
      <c r="E274" s="210"/>
      <c r="F274" s="319"/>
    </row>
    <row r="275">
      <c r="A275" s="210"/>
      <c r="B275" s="317"/>
      <c r="C275" s="318"/>
      <c r="D275" s="210"/>
      <c r="E275" s="210"/>
      <c r="F275" s="319"/>
    </row>
    <row r="276">
      <c r="A276" s="210"/>
      <c r="B276" s="317"/>
      <c r="C276" s="318"/>
      <c r="D276" s="210"/>
      <c r="E276" s="210"/>
      <c r="F276" s="319"/>
    </row>
    <row r="277">
      <c r="A277" s="210"/>
      <c r="B277" s="317"/>
      <c r="C277" s="318"/>
      <c r="D277" s="210"/>
      <c r="E277" s="210"/>
      <c r="F277" s="319"/>
    </row>
    <row r="278">
      <c r="A278" s="210"/>
      <c r="B278" s="317"/>
      <c r="C278" s="318"/>
      <c r="D278" s="210"/>
      <c r="E278" s="210"/>
      <c r="F278" s="319"/>
    </row>
    <row r="279">
      <c r="A279" s="210"/>
      <c r="B279" s="317"/>
      <c r="C279" s="318"/>
      <c r="D279" s="210"/>
      <c r="E279" s="210"/>
      <c r="F279" s="319"/>
    </row>
    <row r="280">
      <c r="A280" s="210"/>
      <c r="B280" s="317"/>
      <c r="C280" s="318"/>
      <c r="D280" s="210"/>
      <c r="E280" s="210"/>
      <c r="F280" s="319"/>
    </row>
    <row r="281">
      <c r="A281" s="210"/>
      <c r="B281" s="317"/>
      <c r="C281" s="318"/>
      <c r="D281" s="210"/>
      <c r="E281" s="210"/>
      <c r="F281" s="319"/>
    </row>
    <row r="282">
      <c r="A282" s="210"/>
      <c r="B282" s="317"/>
      <c r="C282" s="318"/>
      <c r="D282" s="210"/>
      <c r="E282" s="210"/>
      <c r="F282" s="319"/>
    </row>
    <row r="283">
      <c r="A283" s="210"/>
      <c r="B283" s="317"/>
      <c r="C283" s="318"/>
      <c r="D283" s="210"/>
      <c r="E283" s="210"/>
      <c r="F283" s="319"/>
    </row>
    <row r="284">
      <c r="A284" s="210"/>
      <c r="B284" s="317"/>
      <c r="C284" s="318"/>
      <c r="D284" s="210"/>
      <c r="E284" s="210"/>
      <c r="F284" s="319"/>
    </row>
    <row r="285">
      <c r="A285" s="210"/>
      <c r="B285" s="317"/>
      <c r="C285" s="318"/>
      <c r="D285" s="210"/>
      <c r="E285" s="210"/>
      <c r="F285" s="319"/>
    </row>
    <row r="286">
      <c r="A286" s="210"/>
      <c r="B286" s="317"/>
      <c r="C286" s="318"/>
      <c r="D286" s="210"/>
      <c r="E286" s="210"/>
      <c r="F286" s="319"/>
    </row>
    <row r="287">
      <c r="A287" s="210"/>
      <c r="B287" s="317"/>
      <c r="C287" s="318"/>
      <c r="D287" s="210"/>
      <c r="E287" s="210"/>
      <c r="F287" s="319"/>
    </row>
    <row r="288">
      <c r="A288" s="210"/>
      <c r="B288" s="317"/>
      <c r="C288" s="318"/>
      <c r="D288" s="210"/>
      <c r="E288" s="210"/>
      <c r="F288" s="319"/>
    </row>
    <row r="289">
      <c r="A289" s="210"/>
      <c r="B289" s="317"/>
      <c r="C289" s="318"/>
      <c r="D289" s="210"/>
      <c r="E289" s="210"/>
      <c r="F289" s="319"/>
    </row>
    <row r="290">
      <c r="A290" s="210"/>
      <c r="B290" s="317"/>
      <c r="C290" s="318"/>
      <c r="D290" s="210"/>
      <c r="E290" s="210"/>
      <c r="F290" s="319"/>
    </row>
    <row r="291">
      <c r="A291" s="210"/>
      <c r="B291" s="317"/>
      <c r="C291" s="318"/>
      <c r="D291" s="210"/>
      <c r="E291" s="210"/>
      <c r="F291" s="319"/>
    </row>
    <row r="292">
      <c r="A292" s="210"/>
      <c r="B292" s="317"/>
      <c r="C292" s="318"/>
      <c r="D292" s="210"/>
      <c r="E292" s="210"/>
      <c r="F292" s="319"/>
    </row>
    <row r="293">
      <c r="A293" s="210"/>
      <c r="B293" s="317"/>
      <c r="C293" s="318"/>
      <c r="D293" s="210"/>
      <c r="E293" s="210"/>
      <c r="F293" s="319"/>
    </row>
    <row r="294">
      <c r="A294" s="210"/>
      <c r="B294" s="317"/>
      <c r="C294" s="318"/>
      <c r="D294" s="210"/>
      <c r="E294" s="210"/>
      <c r="F294" s="319"/>
    </row>
    <row r="295">
      <c r="A295" s="210"/>
      <c r="B295" s="317"/>
      <c r="C295" s="318"/>
      <c r="D295" s="210"/>
      <c r="E295" s="210"/>
      <c r="F295" s="319"/>
    </row>
    <row r="296">
      <c r="A296" s="210"/>
      <c r="B296" s="317"/>
      <c r="C296" s="318"/>
      <c r="D296" s="210"/>
      <c r="E296" s="210"/>
      <c r="F296" s="319"/>
    </row>
    <row r="297">
      <c r="A297" s="210"/>
      <c r="B297" s="317"/>
      <c r="C297" s="318"/>
      <c r="D297" s="210"/>
      <c r="E297" s="210"/>
      <c r="F297" s="319"/>
    </row>
    <row r="298">
      <c r="A298" s="210"/>
      <c r="B298" s="317"/>
      <c r="C298" s="318"/>
      <c r="D298" s="210"/>
      <c r="E298" s="210"/>
      <c r="F298" s="319"/>
    </row>
    <row r="299">
      <c r="A299" s="210"/>
      <c r="B299" s="317"/>
      <c r="C299" s="318"/>
      <c r="D299" s="210"/>
      <c r="E299" s="210"/>
      <c r="F299" s="319"/>
    </row>
    <row r="300">
      <c r="A300" s="210"/>
      <c r="B300" s="317"/>
      <c r="C300" s="318"/>
      <c r="D300" s="210"/>
      <c r="E300" s="210"/>
      <c r="F300" s="319"/>
    </row>
    <row r="301">
      <c r="A301" s="210"/>
      <c r="B301" s="317"/>
      <c r="C301" s="318"/>
      <c r="D301" s="210"/>
      <c r="E301" s="210"/>
      <c r="F301" s="319"/>
    </row>
    <row r="302">
      <c r="A302" s="210"/>
      <c r="B302" s="317"/>
      <c r="C302" s="318"/>
      <c r="D302" s="210"/>
      <c r="E302" s="210"/>
      <c r="F302" s="319"/>
    </row>
    <row r="303">
      <c r="A303" s="210"/>
      <c r="B303" s="317"/>
      <c r="C303" s="318"/>
      <c r="D303" s="210"/>
      <c r="E303" s="210"/>
      <c r="F303" s="319"/>
    </row>
    <row r="304">
      <c r="A304" s="210"/>
      <c r="B304" s="317"/>
      <c r="C304" s="318"/>
      <c r="D304" s="210"/>
      <c r="E304" s="210"/>
      <c r="F304" s="319"/>
    </row>
    <row r="305">
      <c r="A305" s="210"/>
      <c r="B305" s="317"/>
      <c r="C305" s="318"/>
      <c r="D305" s="210"/>
      <c r="E305" s="210"/>
      <c r="F305" s="319"/>
    </row>
    <row r="306">
      <c r="A306" s="210"/>
      <c r="B306" s="317"/>
      <c r="C306" s="318"/>
      <c r="D306" s="210"/>
      <c r="E306" s="210"/>
      <c r="F306" s="319"/>
    </row>
    <row r="307">
      <c r="A307" s="210"/>
      <c r="B307" s="317"/>
      <c r="C307" s="318"/>
      <c r="D307" s="210"/>
      <c r="E307" s="210"/>
      <c r="F307" s="319"/>
    </row>
    <row r="308">
      <c r="A308" s="210"/>
      <c r="B308" s="317"/>
      <c r="C308" s="318"/>
      <c r="D308" s="210"/>
      <c r="E308" s="210"/>
      <c r="F308" s="319"/>
    </row>
    <row r="309">
      <c r="A309" s="210"/>
      <c r="B309" s="317"/>
      <c r="C309" s="318"/>
      <c r="D309" s="210"/>
      <c r="E309" s="210"/>
      <c r="F309" s="319"/>
    </row>
    <row r="310">
      <c r="A310" s="210"/>
      <c r="B310" s="317"/>
      <c r="C310" s="318"/>
      <c r="D310" s="210"/>
      <c r="E310" s="210"/>
      <c r="F310" s="319"/>
    </row>
    <row r="311">
      <c r="A311" s="210"/>
      <c r="B311" s="317"/>
      <c r="C311" s="318"/>
      <c r="D311" s="210"/>
      <c r="E311" s="210"/>
      <c r="F311" s="319"/>
    </row>
    <row r="312">
      <c r="A312" s="210"/>
      <c r="B312" s="317"/>
      <c r="C312" s="318"/>
      <c r="D312" s="210"/>
      <c r="E312" s="210"/>
      <c r="F312" s="319"/>
    </row>
    <row r="313">
      <c r="A313" s="210"/>
      <c r="B313" s="317"/>
      <c r="C313" s="318"/>
      <c r="D313" s="210"/>
      <c r="E313" s="210"/>
      <c r="F313" s="319"/>
    </row>
    <row r="314">
      <c r="A314" s="210"/>
      <c r="B314" s="317"/>
      <c r="C314" s="318"/>
      <c r="D314" s="210"/>
      <c r="E314" s="210"/>
      <c r="F314" s="319"/>
    </row>
    <row r="315">
      <c r="A315" s="210"/>
      <c r="B315" s="317"/>
      <c r="C315" s="318"/>
      <c r="D315" s="210"/>
      <c r="E315" s="210"/>
      <c r="F315" s="319"/>
    </row>
    <row r="316">
      <c r="A316" s="210"/>
      <c r="B316" s="317"/>
      <c r="C316" s="318"/>
      <c r="D316" s="210"/>
      <c r="E316" s="210"/>
      <c r="F316" s="319"/>
    </row>
    <row r="317">
      <c r="A317" s="210"/>
      <c r="B317" s="317"/>
      <c r="C317" s="318"/>
      <c r="D317" s="210"/>
      <c r="E317" s="210"/>
      <c r="F317" s="319"/>
    </row>
    <row r="318">
      <c r="A318" s="210"/>
      <c r="B318" s="317"/>
      <c r="C318" s="318"/>
      <c r="D318" s="210"/>
      <c r="E318" s="210"/>
      <c r="F318" s="319"/>
    </row>
    <row r="319">
      <c r="A319" s="210"/>
      <c r="B319" s="317"/>
      <c r="C319" s="318"/>
      <c r="D319" s="210"/>
      <c r="E319" s="210"/>
      <c r="F319" s="319"/>
    </row>
    <row r="320">
      <c r="A320" s="210"/>
      <c r="B320" s="317"/>
      <c r="C320" s="318"/>
      <c r="D320" s="210"/>
      <c r="E320" s="210"/>
      <c r="F320" s="319"/>
    </row>
    <row r="321">
      <c r="A321" s="210"/>
      <c r="B321" s="317"/>
      <c r="C321" s="318"/>
      <c r="D321" s="210"/>
      <c r="E321" s="210"/>
      <c r="F321" s="319"/>
    </row>
    <row r="322">
      <c r="A322" s="210"/>
      <c r="B322" s="317"/>
      <c r="C322" s="318"/>
      <c r="D322" s="210"/>
      <c r="E322" s="210"/>
      <c r="F322" s="319"/>
    </row>
    <row r="323">
      <c r="A323" s="210"/>
      <c r="B323" s="317"/>
      <c r="C323" s="318"/>
      <c r="D323" s="210"/>
      <c r="E323" s="210"/>
      <c r="F323" s="319"/>
    </row>
    <row r="324">
      <c r="A324" s="210"/>
      <c r="B324" s="317"/>
      <c r="C324" s="318"/>
      <c r="D324" s="210"/>
      <c r="E324" s="210"/>
      <c r="F324" s="319"/>
    </row>
    <row r="325">
      <c r="A325" s="210"/>
      <c r="B325" s="317"/>
      <c r="C325" s="318"/>
      <c r="D325" s="210"/>
      <c r="E325" s="210"/>
      <c r="F325" s="319"/>
    </row>
    <row r="326">
      <c r="A326" s="210"/>
      <c r="B326" s="317"/>
      <c r="C326" s="318"/>
      <c r="D326" s="210"/>
      <c r="E326" s="210"/>
      <c r="F326" s="319"/>
    </row>
    <row r="327">
      <c r="A327" s="210"/>
      <c r="B327" s="317"/>
      <c r="C327" s="318"/>
      <c r="D327" s="210"/>
      <c r="E327" s="210"/>
      <c r="F327" s="319"/>
    </row>
    <row r="328">
      <c r="A328" s="210"/>
      <c r="B328" s="317"/>
      <c r="C328" s="318"/>
      <c r="D328" s="210"/>
      <c r="E328" s="210"/>
      <c r="F328" s="319"/>
    </row>
    <row r="329">
      <c r="A329" s="210"/>
      <c r="B329" s="317"/>
      <c r="C329" s="318"/>
      <c r="D329" s="210"/>
      <c r="E329" s="210"/>
      <c r="F329" s="319"/>
    </row>
    <row r="330">
      <c r="A330" s="210"/>
      <c r="B330" s="317"/>
      <c r="C330" s="318"/>
      <c r="D330" s="210"/>
      <c r="E330" s="210"/>
      <c r="F330" s="319"/>
    </row>
    <row r="331">
      <c r="A331" s="210"/>
      <c r="B331" s="317"/>
      <c r="C331" s="318"/>
      <c r="D331" s="210"/>
      <c r="E331" s="210"/>
      <c r="F331" s="319"/>
    </row>
    <row r="332">
      <c r="A332" s="210"/>
      <c r="B332" s="317"/>
      <c r="C332" s="318"/>
      <c r="D332" s="210"/>
      <c r="E332" s="210"/>
      <c r="F332" s="319"/>
    </row>
    <row r="333">
      <c r="A333" s="210"/>
      <c r="B333" s="317"/>
      <c r="C333" s="318"/>
      <c r="D333" s="210"/>
      <c r="E333" s="210"/>
      <c r="F333" s="319"/>
    </row>
    <row r="334">
      <c r="A334" s="210"/>
      <c r="B334" s="317"/>
      <c r="C334" s="318"/>
      <c r="D334" s="210"/>
      <c r="E334" s="210"/>
      <c r="F334" s="319"/>
    </row>
    <row r="335">
      <c r="A335" s="210"/>
      <c r="B335" s="317"/>
      <c r="C335" s="318"/>
      <c r="D335" s="210"/>
      <c r="E335" s="210"/>
      <c r="F335" s="319"/>
    </row>
    <row r="336">
      <c r="A336" s="210"/>
      <c r="B336" s="317"/>
      <c r="C336" s="318"/>
      <c r="D336" s="210"/>
      <c r="E336" s="210"/>
      <c r="F336" s="319"/>
    </row>
    <row r="337">
      <c r="A337" s="210"/>
      <c r="B337" s="317"/>
      <c r="C337" s="318"/>
      <c r="D337" s="210"/>
      <c r="E337" s="210"/>
      <c r="F337" s="319"/>
    </row>
    <row r="338">
      <c r="A338" s="210"/>
      <c r="B338" s="317"/>
      <c r="C338" s="318"/>
      <c r="D338" s="210"/>
      <c r="E338" s="210"/>
      <c r="F338" s="319"/>
    </row>
    <row r="339">
      <c r="A339" s="210"/>
      <c r="B339" s="317"/>
      <c r="C339" s="318"/>
      <c r="D339" s="210"/>
      <c r="E339" s="210"/>
      <c r="F339" s="319"/>
    </row>
    <row r="340">
      <c r="A340" s="210"/>
      <c r="B340" s="317"/>
      <c r="C340" s="318"/>
      <c r="D340" s="210"/>
      <c r="E340" s="210"/>
      <c r="F340" s="319"/>
    </row>
    <row r="341">
      <c r="A341" s="210"/>
      <c r="B341" s="317"/>
      <c r="C341" s="318"/>
      <c r="D341" s="210"/>
      <c r="E341" s="210"/>
      <c r="F341" s="319"/>
    </row>
    <row r="342">
      <c r="A342" s="210"/>
      <c r="B342" s="317"/>
      <c r="C342" s="318"/>
      <c r="D342" s="210"/>
      <c r="E342" s="210"/>
      <c r="F342" s="319"/>
    </row>
    <row r="343">
      <c r="A343" s="210"/>
      <c r="B343" s="317"/>
      <c r="C343" s="318"/>
      <c r="D343" s="210"/>
      <c r="E343" s="210"/>
      <c r="F343" s="319"/>
    </row>
    <row r="344">
      <c r="A344" s="210"/>
      <c r="B344" s="317"/>
      <c r="C344" s="318"/>
      <c r="D344" s="210"/>
      <c r="E344" s="210"/>
      <c r="F344" s="319"/>
    </row>
    <row r="345">
      <c r="A345" s="210"/>
      <c r="B345" s="317"/>
      <c r="C345" s="318"/>
      <c r="D345" s="210"/>
      <c r="E345" s="210"/>
      <c r="F345" s="319"/>
    </row>
    <row r="346">
      <c r="A346" s="210"/>
      <c r="B346" s="317"/>
      <c r="C346" s="318"/>
      <c r="D346" s="210"/>
      <c r="E346" s="210"/>
      <c r="F346" s="319"/>
    </row>
    <row r="347">
      <c r="A347" s="210"/>
      <c r="B347" s="317"/>
      <c r="C347" s="318"/>
      <c r="D347" s="210"/>
      <c r="E347" s="210"/>
      <c r="F347" s="319"/>
    </row>
    <row r="348">
      <c r="A348" s="210"/>
      <c r="B348" s="317"/>
      <c r="C348" s="318"/>
      <c r="D348" s="210"/>
      <c r="E348" s="210"/>
      <c r="F348" s="319"/>
    </row>
    <row r="349">
      <c r="A349" s="210"/>
      <c r="B349" s="317"/>
      <c r="C349" s="318"/>
      <c r="D349" s="210"/>
      <c r="E349" s="210"/>
      <c r="F349" s="319"/>
    </row>
    <row r="350">
      <c r="A350" s="210"/>
      <c r="B350" s="317"/>
      <c r="C350" s="318"/>
      <c r="D350" s="210"/>
      <c r="E350" s="210"/>
      <c r="F350" s="319"/>
    </row>
    <row r="351">
      <c r="A351" s="210"/>
      <c r="B351" s="317"/>
      <c r="C351" s="318"/>
      <c r="D351" s="210"/>
      <c r="E351" s="210"/>
      <c r="F351" s="319"/>
    </row>
    <row r="352">
      <c r="A352" s="210"/>
      <c r="B352" s="317"/>
      <c r="C352" s="318"/>
      <c r="D352" s="210"/>
      <c r="E352" s="210"/>
      <c r="F352" s="319"/>
    </row>
    <row r="353">
      <c r="A353" s="210"/>
      <c r="B353" s="317"/>
      <c r="C353" s="318"/>
      <c r="D353" s="210"/>
      <c r="E353" s="210"/>
      <c r="F353" s="319"/>
    </row>
    <row r="354">
      <c r="A354" s="210"/>
      <c r="B354" s="317"/>
      <c r="C354" s="318"/>
      <c r="D354" s="210"/>
      <c r="E354" s="210"/>
      <c r="F354" s="319"/>
    </row>
    <row r="355">
      <c r="A355" s="210"/>
      <c r="B355" s="317"/>
      <c r="C355" s="318"/>
      <c r="D355" s="210"/>
      <c r="E355" s="210"/>
      <c r="F355" s="319"/>
    </row>
    <row r="356">
      <c r="A356" s="210"/>
      <c r="B356" s="317"/>
      <c r="C356" s="318"/>
      <c r="D356" s="210"/>
      <c r="E356" s="210"/>
      <c r="F356" s="319"/>
    </row>
    <row r="357">
      <c r="A357" s="210"/>
      <c r="B357" s="317"/>
      <c r="C357" s="318"/>
      <c r="D357" s="210"/>
      <c r="E357" s="210"/>
      <c r="F357" s="319"/>
    </row>
    <row r="358">
      <c r="A358" s="210"/>
      <c r="B358" s="317"/>
      <c r="C358" s="318"/>
      <c r="D358" s="210"/>
      <c r="E358" s="210"/>
      <c r="F358" s="319"/>
    </row>
    <row r="359">
      <c r="A359" s="210"/>
      <c r="B359" s="317"/>
      <c r="C359" s="318"/>
      <c r="D359" s="210"/>
      <c r="E359" s="210"/>
      <c r="F359" s="319"/>
    </row>
    <row r="360">
      <c r="A360" s="210"/>
      <c r="B360" s="317"/>
      <c r="C360" s="318"/>
      <c r="D360" s="210"/>
      <c r="E360" s="210"/>
      <c r="F360" s="319"/>
    </row>
    <row r="361">
      <c r="A361" s="210"/>
      <c r="B361" s="317"/>
      <c r="C361" s="318"/>
      <c r="D361" s="210"/>
      <c r="E361" s="210"/>
      <c r="F361" s="319"/>
    </row>
    <row r="362">
      <c r="A362" s="210"/>
      <c r="B362" s="317"/>
      <c r="C362" s="318"/>
      <c r="D362" s="210"/>
      <c r="E362" s="210"/>
      <c r="F362" s="319"/>
    </row>
    <row r="363">
      <c r="A363" s="210"/>
      <c r="B363" s="317"/>
      <c r="C363" s="318"/>
      <c r="D363" s="210"/>
      <c r="E363" s="210"/>
      <c r="F363" s="319"/>
    </row>
    <row r="364">
      <c r="A364" s="210"/>
      <c r="B364" s="317"/>
      <c r="C364" s="318"/>
      <c r="D364" s="210"/>
      <c r="E364" s="210"/>
      <c r="F364" s="319"/>
    </row>
    <row r="365">
      <c r="A365" s="210"/>
      <c r="B365" s="317"/>
      <c r="C365" s="318"/>
      <c r="D365" s="210"/>
      <c r="E365" s="210"/>
      <c r="F365" s="319"/>
    </row>
    <row r="366">
      <c r="A366" s="210"/>
      <c r="B366" s="317"/>
      <c r="C366" s="318"/>
      <c r="D366" s="210"/>
      <c r="E366" s="210"/>
      <c r="F366" s="319"/>
    </row>
    <row r="367">
      <c r="A367" s="210"/>
      <c r="B367" s="317"/>
      <c r="C367" s="318"/>
      <c r="D367" s="210"/>
      <c r="E367" s="210"/>
      <c r="F367" s="319"/>
    </row>
    <row r="368">
      <c r="A368" s="210"/>
      <c r="B368" s="317"/>
      <c r="C368" s="318"/>
      <c r="D368" s="210"/>
      <c r="E368" s="210"/>
      <c r="F368" s="319"/>
    </row>
    <row r="369">
      <c r="A369" s="210"/>
      <c r="B369" s="317"/>
      <c r="C369" s="318"/>
      <c r="D369" s="210"/>
      <c r="E369" s="210"/>
      <c r="F369" s="319"/>
    </row>
    <row r="370">
      <c r="A370" s="210"/>
      <c r="B370" s="317"/>
      <c r="C370" s="318"/>
      <c r="D370" s="210"/>
      <c r="E370" s="210"/>
      <c r="F370" s="319"/>
    </row>
    <row r="371">
      <c r="A371" s="210"/>
      <c r="B371" s="317"/>
      <c r="C371" s="318"/>
      <c r="D371" s="210"/>
      <c r="E371" s="210"/>
      <c r="F371" s="319"/>
    </row>
    <row r="372">
      <c r="A372" s="210"/>
      <c r="B372" s="317"/>
      <c r="C372" s="318"/>
      <c r="D372" s="210"/>
      <c r="E372" s="210"/>
      <c r="F372" s="319"/>
    </row>
    <row r="373">
      <c r="A373" s="210"/>
      <c r="B373" s="317"/>
      <c r="C373" s="318"/>
      <c r="D373" s="210"/>
      <c r="E373" s="210"/>
      <c r="F373" s="319"/>
    </row>
    <row r="374">
      <c r="A374" s="210"/>
      <c r="B374" s="317"/>
      <c r="C374" s="318"/>
      <c r="D374" s="210"/>
      <c r="E374" s="210"/>
      <c r="F374" s="319"/>
    </row>
    <row r="375">
      <c r="A375" s="210"/>
      <c r="B375" s="317"/>
      <c r="C375" s="318"/>
      <c r="D375" s="210"/>
      <c r="E375" s="210"/>
      <c r="F375" s="319"/>
    </row>
    <row r="376">
      <c r="A376" s="210"/>
      <c r="B376" s="317"/>
      <c r="C376" s="318"/>
      <c r="D376" s="210"/>
      <c r="E376" s="210"/>
      <c r="F376" s="319"/>
    </row>
    <row r="377">
      <c r="A377" s="210"/>
      <c r="B377" s="317"/>
      <c r="C377" s="318"/>
      <c r="D377" s="210"/>
      <c r="E377" s="210"/>
      <c r="F377" s="319"/>
    </row>
    <row r="378">
      <c r="A378" s="210"/>
      <c r="B378" s="317"/>
      <c r="C378" s="318"/>
      <c r="D378" s="210"/>
      <c r="E378" s="210"/>
      <c r="F378" s="319"/>
    </row>
    <row r="379">
      <c r="A379" s="210"/>
      <c r="B379" s="317"/>
      <c r="C379" s="318"/>
      <c r="D379" s="210"/>
      <c r="E379" s="210"/>
      <c r="F379" s="319"/>
    </row>
    <row r="380">
      <c r="A380" s="210"/>
      <c r="B380" s="317"/>
      <c r="C380" s="318"/>
      <c r="D380" s="210"/>
      <c r="E380" s="210"/>
      <c r="F380" s="319"/>
    </row>
    <row r="381">
      <c r="A381" s="210"/>
      <c r="B381" s="317"/>
      <c r="C381" s="318"/>
      <c r="D381" s="210"/>
      <c r="E381" s="210"/>
      <c r="F381" s="319"/>
    </row>
    <row r="382">
      <c r="A382" s="210"/>
      <c r="B382" s="317"/>
      <c r="C382" s="318"/>
      <c r="D382" s="210"/>
      <c r="E382" s="210"/>
      <c r="F382" s="319"/>
    </row>
    <row r="383">
      <c r="A383" s="210"/>
      <c r="B383" s="317"/>
      <c r="C383" s="318"/>
      <c r="D383" s="210"/>
      <c r="E383" s="210"/>
      <c r="F383" s="319"/>
    </row>
    <row r="384">
      <c r="A384" s="210"/>
      <c r="B384" s="317"/>
      <c r="C384" s="318"/>
      <c r="D384" s="210"/>
      <c r="E384" s="210"/>
      <c r="F384" s="319"/>
    </row>
    <row r="385">
      <c r="A385" s="210"/>
      <c r="B385" s="317"/>
      <c r="C385" s="318"/>
      <c r="D385" s="210"/>
      <c r="E385" s="210"/>
      <c r="F385" s="319"/>
    </row>
    <row r="386">
      <c r="A386" s="210"/>
      <c r="B386" s="317"/>
      <c r="C386" s="318"/>
      <c r="D386" s="210"/>
      <c r="E386" s="210"/>
      <c r="F386" s="319"/>
    </row>
    <row r="387">
      <c r="A387" s="210"/>
      <c r="B387" s="317"/>
      <c r="C387" s="318"/>
      <c r="D387" s="210"/>
      <c r="E387" s="210"/>
      <c r="F387" s="319"/>
    </row>
    <row r="388">
      <c r="A388" s="210"/>
      <c r="B388" s="317"/>
      <c r="C388" s="318"/>
      <c r="D388" s="210"/>
      <c r="E388" s="210"/>
      <c r="F388" s="319"/>
    </row>
    <row r="389">
      <c r="A389" s="210"/>
      <c r="B389" s="317"/>
      <c r="C389" s="318"/>
      <c r="D389" s="210"/>
      <c r="E389" s="210"/>
      <c r="F389" s="319"/>
    </row>
    <row r="390">
      <c r="A390" s="210"/>
      <c r="B390" s="317"/>
      <c r="C390" s="318"/>
      <c r="D390" s="210"/>
      <c r="E390" s="210"/>
      <c r="F390" s="319"/>
    </row>
    <row r="391">
      <c r="A391" s="210"/>
      <c r="B391" s="317"/>
      <c r="C391" s="318"/>
      <c r="D391" s="210"/>
      <c r="E391" s="210"/>
      <c r="F391" s="319"/>
    </row>
    <row r="392">
      <c r="A392" s="210"/>
      <c r="B392" s="317"/>
      <c r="C392" s="318"/>
      <c r="D392" s="210"/>
      <c r="E392" s="210"/>
      <c r="F392" s="319"/>
    </row>
    <row r="393">
      <c r="A393" s="210"/>
      <c r="B393" s="317"/>
      <c r="C393" s="318"/>
      <c r="D393" s="210"/>
      <c r="E393" s="210"/>
      <c r="F393" s="319"/>
    </row>
    <row r="394">
      <c r="A394" s="210"/>
      <c r="B394" s="317"/>
      <c r="C394" s="318"/>
      <c r="D394" s="210"/>
      <c r="E394" s="210"/>
      <c r="F394" s="319"/>
    </row>
    <row r="395">
      <c r="A395" s="210"/>
      <c r="B395" s="317"/>
      <c r="C395" s="318"/>
      <c r="D395" s="210"/>
      <c r="E395" s="210"/>
      <c r="F395" s="319"/>
    </row>
    <row r="396">
      <c r="A396" s="210"/>
      <c r="B396" s="317"/>
      <c r="C396" s="318"/>
      <c r="D396" s="210"/>
      <c r="E396" s="210"/>
      <c r="F396" s="319"/>
    </row>
    <row r="397">
      <c r="A397" s="210"/>
      <c r="B397" s="317"/>
      <c r="C397" s="318"/>
      <c r="D397" s="210"/>
      <c r="E397" s="210"/>
      <c r="F397" s="319"/>
    </row>
    <row r="398">
      <c r="A398" s="210"/>
      <c r="B398" s="317"/>
      <c r="C398" s="318"/>
      <c r="D398" s="210"/>
      <c r="E398" s="210"/>
      <c r="F398" s="319"/>
    </row>
    <row r="399">
      <c r="A399" s="210"/>
      <c r="B399" s="317"/>
      <c r="C399" s="318"/>
      <c r="D399" s="210"/>
      <c r="E399" s="210"/>
      <c r="F399" s="319"/>
    </row>
    <row r="400">
      <c r="A400" s="210"/>
      <c r="B400" s="317"/>
      <c r="C400" s="318"/>
      <c r="D400" s="210"/>
      <c r="E400" s="210"/>
      <c r="F400" s="319"/>
    </row>
    <row r="401">
      <c r="A401" s="210"/>
      <c r="B401" s="317"/>
      <c r="C401" s="318"/>
      <c r="D401" s="210"/>
      <c r="E401" s="210"/>
      <c r="F401" s="319"/>
    </row>
    <row r="402">
      <c r="A402" s="210"/>
      <c r="B402" s="317"/>
      <c r="C402" s="318"/>
      <c r="D402" s="210"/>
      <c r="E402" s="210"/>
      <c r="F402" s="319"/>
    </row>
    <row r="403">
      <c r="A403" s="210"/>
      <c r="B403" s="317"/>
      <c r="C403" s="318"/>
      <c r="D403" s="210"/>
      <c r="E403" s="210"/>
      <c r="F403" s="319"/>
    </row>
    <row r="404">
      <c r="A404" s="210"/>
      <c r="B404" s="317"/>
      <c r="C404" s="318"/>
      <c r="D404" s="210"/>
      <c r="E404" s="210"/>
      <c r="F404" s="319"/>
    </row>
    <row r="405">
      <c r="A405" s="210"/>
      <c r="B405" s="317"/>
      <c r="C405" s="318"/>
      <c r="D405" s="210"/>
      <c r="E405" s="210"/>
      <c r="F405" s="319"/>
    </row>
    <row r="406">
      <c r="A406" s="210"/>
      <c r="B406" s="317"/>
      <c r="C406" s="318"/>
      <c r="D406" s="210"/>
      <c r="E406" s="210"/>
      <c r="F406" s="319"/>
    </row>
    <row r="407">
      <c r="A407" s="210"/>
      <c r="B407" s="317"/>
      <c r="C407" s="318"/>
      <c r="D407" s="210"/>
      <c r="E407" s="210"/>
      <c r="F407" s="319"/>
    </row>
    <row r="408">
      <c r="A408" s="210"/>
      <c r="B408" s="317"/>
      <c r="C408" s="318"/>
      <c r="D408" s="210"/>
      <c r="E408" s="210"/>
      <c r="F408" s="319"/>
    </row>
    <row r="409">
      <c r="A409" s="210"/>
      <c r="B409" s="317"/>
      <c r="C409" s="318"/>
      <c r="D409" s="210"/>
      <c r="E409" s="210"/>
      <c r="F409" s="319"/>
    </row>
    <row r="410">
      <c r="A410" s="210"/>
      <c r="B410" s="317"/>
      <c r="C410" s="318"/>
      <c r="D410" s="210"/>
      <c r="E410" s="210"/>
      <c r="F410" s="319"/>
    </row>
    <row r="411">
      <c r="A411" s="210"/>
      <c r="B411" s="317"/>
      <c r="C411" s="318"/>
      <c r="D411" s="210"/>
      <c r="E411" s="210"/>
      <c r="F411" s="319"/>
    </row>
    <row r="412">
      <c r="A412" s="210"/>
      <c r="B412" s="317"/>
      <c r="C412" s="318"/>
      <c r="D412" s="210"/>
      <c r="E412" s="210"/>
      <c r="F412" s="319"/>
    </row>
    <row r="413">
      <c r="A413" s="210"/>
      <c r="B413" s="317"/>
      <c r="C413" s="318"/>
      <c r="D413" s="210"/>
      <c r="E413" s="210"/>
      <c r="F413" s="319"/>
    </row>
    <row r="414">
      <c r="A414" s="210"/>
      <c r="B414" s="317"/>
      <c r="C414" s="318"/>
      <c r="D414" s="210"/>
      <c r="E414" s="210"/>
      <c r="F414" s="319"/>
    </row>
    <row r="415">
      <c r="A415" s="210"/>
      <c r="B415" s="317"/>
      <c r="C415" s="318"/>
      <c r="D415" s="210"/>
      <c r="E415" s="210"/>
      <c r="F415" s="319"/>
    </row>
    <row r="416">
      <c r="A416" s="210"/>
      <c r="B416" s="317"/>
      <c r="C416" s="318"/>
      <c r="D416" s="210"/>
      <c r="E416" s="210"/>
      <c r="F416" s="319"/>
    </row>
    <row r="417">
      <c r="A417" s="210"/>
      <c r="B417" s="317"/>
      <c r="C417" s="318"/>
      <c r="D417" s="210"/>
      <c r="E417" s="210"/>
      <c r="F417" s="319"/>
    </row>
    <row r="418">
      <c r="A418" s="210"/>
      <c r="B418" s="317"/>
      <c r="C418" s="318"/>
      <c r="D418" s="210"/>
      <c r="E418" s="210"/>
      <c r="F418" s="319"/>
    </row>
    <row r="419">
      <c r="A419" s="210"/>
      <c r="B419" s="317"/>
      <c r="C419" s="318"/>
      <c r="D419" s="210"/>
      <c r="E419" s="210"/>
      <c r="F419" s="319"/>
    </row>
    <row r="420">
      <c r="A420" s="210"/>
      <c r="B420" s="317"/>
      <c r="C420" s="318"/>
      <c r="D420" s="210"/>
      <c r="E420" s="210"/>
      <c r="F420" s="319"/>
    </row>
    <row r="421">
      <c r="A421" s="210"/>
      <c r="B421" s="317"/>
      <c r="C421" s="318"/>
      <c r="D421" s="210"/>
      <c r="E421" s="210"/>
      <c r="F421" s="319"/>
    </row>
    <row r="422">
      <c r="A422" s="210"/>
      <c r="B422" s="317"/>
      <c r="C422" s="318"/>
      <c r="D422" s="210"/>
      <c r="E422" s="210"/>
      <c r="F422" s="319"/>
    </row>
    <row r="423">
      <c r="A423" s="210"/>
      <c r="B423" s="317"/>
      <c r="C423" s="318"/>
      <c r="D423" s="210"/>
      <c r="E423" s="210"/>
      <c r="F423" s="319"/>
    </row>
    <row r="424">
      <c r="A424" s="210"/>
      <c r="B424" s="317"/>
      <c r="C424" s="318"/>
      <c r="D424" s="210"/>
      <c r="E424" s="210"/>
      <c r="F424" s="319"/>
    </row>
    <row r="425">
      <c r="A425" s="210"/>
      <c r="B425" s="317"/>
      <c r="C425" s="318"/>
      <c r="D425" s="210"/>
      <c r="E425" s="210"/>
      <c r="F425" s="319"/>
    </row>
    <row r="426">
      <c r="A426" s="210"/>
      <c r="B426" s="317"/>
      <c r="C426" s="318"/>
      <c r="D426" s="210"/>
      <c r="E426" s="210"/>
      <c r="F426" s="319"/>
    </row>
    <row r="427">
      <c r="A427" s="210"/>
      <c r="B427" s="317"/>
      <c r="C427" s="318"/>
      <c r="D427" s="210"/>
      <c r="E427" s="210"/>
      <c r="F427" s="319"/>
    </row>
    <row r="428">
      <c r="A428" s="210"/>
      <c r="B428" s="317"/>
      <c r="C428" s="318"/>
      <c r="D428" s="210"/>
      <c r="E428" s="210"/>
      <c r="F428" s="319"/>
    </row>
    <row r="429">
      <c r="A429" s="210"/>
      <c r="B429" s="317"/>
      <c r="C429" s="318"/>
      <c r="D429" s="210"/>
      <c r="E429" s="210"/>
      <c r="F429" s="319"/>
    </row>
    <row r="430">
      <c r="A430" s="210"/>
      <c r="B430" s="317"/>
      <c r="C430" s="318"/>
      <c r="D430" s="210"/>
      <c r="E430" s="210"/>
      <c r="F430" s="319"/>
    </row>
    <row r="431">
      <c r="A431" s="210"/>
      <c r="B431" s="317"/>
      <c r="C431" s="318"/>
      <c r="D431" s="210"/>
      <c r="E431" s="210"/>
      <c r="F431" s="319"/>
    </row>
    <row r="432">
      <c r="A432" s="210"/>
      <c r="B432" s="317"/>
      <c r="C432" s="318"/>
      <c r="D432" s="210"/>
      <c r="E432" s="210"/>
      <c r="F432" s="319"/>
    </row>
    <row r="433">
      <c r="A433" s="210"/>
      <c r="B433" s="317"/>
      <c r="C433" s="318"/>
      <c r="D433" s="210"/>
      <c r="E433" s="210"/>
      <c r="F433" s="319"/>
    </row>
    <row r="434">
      <c r="A434" s="210"/>
      <c r="B434" s="317"/>
      <c r="C434" s="318"/>
      <c r="D434" s="210"/>
      <c r="E434" s="210"/>
      <c r="F434" s="319"/>
    </row>
    <row r="435">
      <c r="A435" s="210"/>
      <c r="B435" s="317"/>
      <c r="C435" s="318"/>
      <c r="D435" s="210"/>
      <c r="E435" s="210"/>
      <c r="F435" s="319"/>
    </row>
    <row r="436">
      <c r="A436" s="210"/>
      <c r="B436" s="317"/>
      <c r="C436" s="318"/>
      <c r="D436" s="210"/>
      <c r="E436" s="210"/>
      <c r="F436" s="319"/>
    </row>
    <row r="437">
      <c r="A437" s="210"/>
      <c r="B437" s="317"/>
      <c r="C437" s="318"/>
      <c r="D437" s="210"/>
      <c r="E437" s="210"/>
      <c r="F437" s="319"/>
    </row>
    <row r="438">
      <c r="A438" s="210"/>
      <c r="B438" s="317"/>
      <c r="C438" s="318"/>
      <c r="D438" s="210"/>
      <c r="E438" s="210"/>
      <c r="F438" s="319"/>
    </row>
    <row r="439">
      <c r="A439" s="210"/>
      <c r="B439" s="317"/>
      <c r="C439" s="318"/>
      <c r="D439" s="210"/>
      <c r="E439" s="210"/>
      <c r="F439" s="319"/>
    </row>
    <row r="440">
      <c r="A440" s="210"/>
      <c r="B440" s="317"/>
      <c r="C440" s="318"/>
      <c r="D440" s="210"/>
      <c r="E440" s="210"/>
      <c r="F440" s="319"/>
    </row>
    <row r="441">
      <c r="A441" s="210"/>
      <c r="B441" s="317"/>
      <c r="C441" s="318"/>
      <c r="D441" s="210"/>
      <c r="E441" s="210"/>
      <c r="F441" s="319"/>
    </row>
    <row r="442">
      <c r="A442" s="210"/>
      <c r="B442" s="317"/>
      <c r="C442" s="318"/>
      <c r="D442" s="210"/>
      <c r="E442" s="210"/>
      <c r="F442" s="319"/>
    </row>
    <row r="443">
      <c r="A443" s="210"/>
      <c r="B443" s="317"/>
      <c r="C443" s="318"/>
      <c r="D443" s="210"/>
      <c r="E443" s="210"/>
      <c r="F443" s="319"/>
    </row>
    <row r="444">
      <c r="A444" s="210"/>
      <c r="B444" s="317"/>
      <c r="C444" s="318"/>
      <c r="D444" s="210"/>
      <c r="E444" s="210"/>
      <c r="F444" s="319"/>
    </row>
    <row r="445">
      <c r="A445" s="210"/>
      <c r="B445" s="317"/>
      <c r="C445" s="318"/>
      <c r="D445" s="210"/>
      <c r="E445" s="210"/>
      <c r="F445" s="319"/>
    </row>
    <row r="446">
      <c r="A446" s="210"/>
      <c r="B446" s="317"/>
      <c r="C446" s="318"/>
      <c r="D446" s="210"/>
      <c r="E446" s="210"/>
      <c r="F446" s="319"/>
    </row>
    <row r="447">
      <c r="A447" s="210"/>
      <c r="B447" s="317"/>
      <c r="C447" s="318"/>
      <c r="D447" s="210"/>
      <c r="E447" s="210"/>
      <c r="F447" s="319"/>
    </row>
    <row r="448">
      <c r="A448" s="210"/>
      <c r="B448" s="317"/>
      <c r="C448" s="318"/>
      <c r="D448" s="210"/>
      <c r="E448" s="210"/>
      <c r="F448" s="319"/>
    </row>
    <row r="449">
      <c r="A449" s="210"/>
      <c r="B449" s="317"/>
      <c r="C449" s="318"/>
      <c r="D449" s="210"/>
      <c r="E449" s="210"/>
      <c r="F449" s="319"/>
    </row>
    <row r="450">
      <c r="A450" s="210"/>
      <c r="B450" s="317"/>
      <c r="C450" s="318"/>
      <c r="D450" s="210"/>
      <c r="E450" s="210"/>
      <c r="F450" s="319"/>
    </row>
    <row r="451">
      <c r="A451" s="210"/>
      <c r="B451" s="317"/>
      <c r="C451" s="318"/>
      <c r="D451" s="210"/>
      <c r="E451" s="210"/>
      <c r="F451" s="319"/>
    </row>
    <row r="452">
      <c r="A452" s="210"/>
      <c r="B452" s="317"/>
      <c r="C452" s="318"/>
      <c r="D452" s="210"/>
      <c r="E452" s="210"/>
      <c r="F452" s="319"/>
    </row>
    <row r="453">
      <c r="A453" s="210"/>
      <c r="B453" s="317"/>
      <c r="C453" s="318"/>
      <c r="D453" s="210"/>
      <c r="E453" s="210"/>
      <c r="F453" s="319"/>
    </row>
    <row r="454">
      <c r="A454" s="210"/>
      <c r="B454" s="317"/>
      <c r="C454" s="318"/>
      <c r="D454" s="210"/>
      <c r="E454" s="210"/>
      <c r="F454" s="319"/>
    </row>
    <row r="455">
      <c r="A455" s="210"/>
      <c r="B455" s="317"/>
      <c r="C455" s="318"/>
      <c r="D455" s="210"/>
      <c r="E455" s="210"/>
      <c r="F455" s="319"/>
    </row>
    <row r="456">
      <c r="A456" s="210"/>
      <c r="B456" s="317"/>
      <c r="C456" s="318"/>
      <c r="D456" s="210"/>
      <c r="E456" s="210"/>
      <c r="F456" s="319"/>
    </row>
    <row r="457">
      <c r="A457" s="210"/>
      <c r="B457" s="317"/>
      <c r="C457" s="318"/>
      <c r="D457" s="210"/>
      <c r="E457" s="210"/>
      <c r="F457" s="319"/>
    </row>
    <row r="458">
      <c r="A458" s="210"/>
      <c r="B458" s="317"/>
      <c r="C458" s="318"/>
      <c r="D458" s="210"/>
      <c r="E458" s="210"/>
      <c r="F458" s="319"/>
    </row>
    <row r="459">
      <c r="A459" s="210"/>
      <c r="B459" s="317"/>
      <c r="C459" s="318"/>
      <c r="D459" s="210"/>
      <c r="E459" s="210"/>
      <c r="F459" s="319"/>
    </row>
    <row r="460">
      <c r="A460" s="210"/>
      <c r="B460" s="317"/>
      <c r="C460" s="318"/>
      <c r="D460" s="210"/>
      <c r="E460" s="210"/>
      <c r="F460" s="319"/>
    </row>
    <row r="461">
      <c r="A461" s="210"/>
      <c r="B461" s="317"/>
      <c r="C461" s="318"/>
      <c r="D461" s="210"/>
      <c r="E461" s="210"/>
      <c r="F461" s="319"/>
    </row>
    <row r="462">
      <c r="A462" s="210"/>
      <c r="B462" s="317"/>
      <c r="C462" s="318"/>
      <c r="D462" s="210"/>
      <c r="E462" s="210"/>
      <c r="F462" s="319"/>
    </row>
    <row r="463">
      <c r="A463" s="210"/>
      <c r="B463" s="317"/>
      <c r="C463" s="318"/>
      <c r="D463" s="210"/>
      <c r="E463" s="210"/>
      <c r="F463" s="319"/>
    </row>
    <row r="464">
      <c r="A464" s="210"/>
      <c r="B464" s="317"/>
      <c r="C464" s="318"/>
      <c r="D464" s="210"/>
      <c r="E464" s="210"/>
      <c r="F464" s="319"/>
    </row>
    <row r="465">
      <c r="A465" s="210"/>
      <c r="B465" s="317"/>
      <c r="C465" s="318"/>
      <c r="D465" s="210"/>
      <c r="E465" s="210"/>
      <c r="F465" s="319"/>
    </row>
    <row r="466">
      <c r="A466" s="210"/>
      <c r="B466" s="317"/>
      <c r="C466" s="318"/>
      <c r="D466" s="210"/>
      <c r="E466" s="210"/>
      <c r="F466" s="319"/>
    </row>
    <row r="467">
      <c r="A467" s="210"/>
      <c r="B467" s="317"/>
      <c r="C467" s="318"/>
      <c r="D467" s="210"/>
      <c r="E467" s="210"/>
      <c r="F467" s="319"/>
    </row>
    <row r="468">
      <c r="A468" s="210"/>
      <c r="B468" s="317"/>
      <c r="C468" s="318"/>
      <c r="D468" s="210"/>
      <c r="E468" s="210"/>
      <c r="F468" s="319"/>
    </row>
    <row r="469">
      <c r="A469" s="210"/>
      <c r="B469" s="317"/>
      <c r="C469" s="318"/>
      <c r="D469" s="210"/>
      <c r="E469" s="210"/>
      <c r="F469" s="319"/>
    </row>
    <row r="470">
      <c r="A470" s="210"/>
      <c r="B470" s="317"/>
      <c r="C470" s="318"/>
      <c r="D470" s="210"/>
      <c r="E470" s="210"/>
      <c r="F470" s="319"/>
    </row>
    <row r="471">
      <c r="A471" s="210"/>
      <c r="B471" s="317"/>
      <c r="C471" s="318"/>
      <c r="D471" s="210"/>
      <c r="E471" s="210"/>
      <c r="F471" s="319"/>
    </row>
    <row r="472">
      <c r="A472" s="210"/>
      <c r="B472" s="317"/>
      <c r="C472" s="318"/>
      <c r="D472" s="210"/>
      <c r="E472" s="210"/>
      <c r="F472" s="319"/>
    </row>
    <row r="473">
      <c r="A473" s="210"/>
      <c r="B473" s="317"/>
      <c r="C473" s="318"/>
      <c r="D473" s="210"/>
      <c r="E473" s="210"/>
      <c r="F473" s="319"/>
    </row>
    <row r="474">
      <c r="A474" s="210"/>
      <c r="B474" s="317"/>
      <c r="C474" s="318"/>
      <c r="D474" s="210"/>
      <c r="E474" s="210"/>
      <c r="F474" s="319"/>
    </row>
    <row r="475">
      <c r="A475" s="210"/>
      <c r="B475" s="317"/>
      <c r="C475" s="318"/>
      <c r="D475" s="210"/>
      <c r="E475" s="210"/>
      <c r="F475" s="319"/>
    </row>
    <row r="476">
      <c r="A476" s="210"/>
      <c r="B476" s="317"/>
      <c r="C476" s="318"/>
      <c r="D476" s="210"/>
      <c r="E476" s="210"/>
      <c r="F476" s="319"/>
    </row>
    <row r="477">
      <c r="A477" s="210"/>
      <c r="B477" s="317"/>
      <c r="C477" s="318"/>
      <c r="D477" s="210"/>
      <c r="E477" s="210"/>
      <c r="F477" s="319"/>
    </row>
    <row r="478">
      <c r="A478" s="210"/>
      <c r="B478" s="317"/>
      <c r="C478" s="318"/>
      <c r="D478" s="210"/>
      <c r="E478" s="210"/>
      <c r="F478" s="319"/>
    </row>
    <row r="479">
      <c r="A479" s="210"/>
      <c r="B479" s="317"/>
      <c r="C479" s="318"/>
      <c r="D479" s="210"/>
      <c r="E479" s="210"/>
      <c r="F479" s="319"/>
    </row>
    <row r="480">
      <c r="A480" s="210"/>
      <c r="B480" s="317"/>
      <c r="C480" s="318"/>
      <c r="D480" s="210"/>
      <c r="E480" s="210"/>
      <c r="F480" s="319"/>
    </row>
    <row r="481">
      <c r="A481" s="210"/>
      <c r="B481" s="317"/>
      <c r="C481" s="318"/>
      <c r="D481" s="210"/>
      <c r="E481" s="210"/>
      <c r="F481" s="319"/>
    </row>
    <row r="482">
      <c r="A482" s="210"/>
      <c r="B482" s="317"/>
      <c r="C482" s="318"/>
      <c r="D482" s="210"/>
      <c r="E482" s="210"/>
      <c r="F482" s="319"/>
    </row>
    <row r="483">
      <c r="A483" s="210"/>
      <c r="B483" s="317"/>
      <c r="C483" s="318"/>
      <c r="D483" s="210"/>
      <c r="E483" s="210"/>
      <c r="F483" s="319"/>
    </row>
    <row r="484">
      <c r="A484" s="210"/>
      <c r="B484" s="317"/>
      <c r="C484" s="318"/>
      <c r="D484" s="210"/>
      <c r="E484" s="210"/>
      <c r="F484" s="319"/>
    </row>
    <row r="485">
      <c r="A485" s="210"/>
      <c r="B485" s="317"/>
      <c r="C485" s="318"/>
      <c r="D485" s="210"/>
      <c r="E485" s="210"/>
      <c r="F485" s="319"/>
    </row>
    <row r="486">
      <c r="A486" s="210"/>
      <c r="B486" s="317"/>
      <c r="C486" s="318"/>
      <c r="D486" s="210"/>
      <c r="E486" s="210"/>
      <c r="F486" s="319"/>
    </row>
    <row r="487">
      <c r="A487" s="210"/>
      <c r="B487" s="317"/>
      <c r="C487" s="318"/>
      <c r="D487" s="210"/>
      <c r="E487" s="210"/>
      <c r="F487" s="319"/>
    </row>
    <row r="488">
      <c r="A488" s="210"/>
      <c r="B488" s="317"/>
      <c r="C488" s="318"/>
      <c r="D488" s="210"/>
      <c r="E488" s="210"/>
      <c r="F488" s="319"/>
    </row>
    <row r="489">
      <c r="A489" s="210"/>
      <c r="B489" s="317"/>
      <c r="C489" s="318"/>
      <c r="D489" s="210"/>
      <c r="E489" s="210"/>
      <c r="F489" s="319"/>
    </row>
    <row r="490">
      <c r="A490" s="210"/>
      <c r="B490" s="317"/>
      <c r="C490" s="318"/>
      <c r="D490" s="210"/>
      <c r="E490" s="210"/>
      <c r="F490" s="319"/>
    </row>
    <row r="491">
      <c r="A491" s="210"/>
      <c r="B491" s="317"/>
      <c r="C491" s="318"/>
      <c r="D491" s="210"/>
      <c r="E491" s="210"/>
      <c r="F491" s="319"/>
    </row>
    <row r="492">
      <c r="A492" s="210"/>
      <c r="B492" s="317"/>
      <c r="C492" s="318"/>
      <c r="D492" s="210"/>
      <c r="E492" s="210"/>
      <c r="F492" s="319"/>
    </row>
    <row r="493">
      <c r="A493" s="210"/>
      <c r="B493" s="317"/>
      <c r="C493" s="318"/>
      <c r="D493" s="210"/>
      <c r="E493" s="210"/>
      <c r="F493" s="319"/>
    </row>
    <row r="494">
      <c r="A494" s="210"/>
      <c r="B494" s="317"/>
      <c r="C494" s="318"/>
      <c r="D494" s="210"/>
      <c r="E494" s="210"/>
      <c r="F494" s="319"/>
    </row>
    <row r="495">
      <c r="A495" s="210"/>
      <c r="B495" s="317"/>
      <c r="C495" s="318"/>
      <c r="D495" s="210"/>
      <c r="E495" s="210"/>
      <c r="F495" s="319"/>
    </row>
    <row r="496">
      <c r="A496" s="210"/>
      <c r="B496" s="317"/>
      <c r="C496" s="318"/>
      <c r="D496" s="210"/>
      <c r="E496" s="210"/>
      <c r="F496" s="319"/>
    </row>
    <row r="497">
      <c r="A497" s="210"/>
      <c r="B497" s="317"/>
      <c r="C497" s="318"/>
      <c r="D497" s="210"/>
      <c r="E497" s="210"/>
      <c r="F497" s="319"/>
    </row>
    <row r="498">
      <c r="A498" s="210"/>
      <c r="B498" s="317"/>
      <c r="C498" s="318"/>
      <c r="D498" s="210"/>
      <c r="E498" s="210"/>
      <c r="F498" s="319"/>
    </row>
    <row r="499">
      <c r="A499" s="210"/>
      <c r="B499" s="317"/>
      <c r="C499" s="318"/>
      <c r="D499" s="210"/>
      <c r="E499" s="210"/>
      <c r="F499" s="319"/>
    </row>
    <row r="500">
      <c r="A500" s="210"/>
      <c r="B500" s="317"/>
      <c r="C500" s="318"/>
      <c r="D500" s="210"/>
      <c r="E500" s="210"/>
      <c r="F500" s="319"/>
    </row>
    <row r="501">
      <c r="A501" s="210"/>
      <c r="B501" s="317"/>
      <c r="C501" s="318"/>
      <c r="D501" s="210"/>
      <c r="E501" s="210"/>
      <c r="F501" s="319"/>
    </row>
    <row r="502">
      <c r="A502" s="210"/>
      <c r="B502" s="317"/>
      <c r="C502" s="318"/>
      <c r="D502" s="210"/>
      <c r="E502" s="210"/>
      <c r="F502" s="319"/>
    </row>
    <row r="503">
      <c r="A503" s="210"/>
      <c r="B503" s="317"/>
      <c r="C503" s="318"/>
      <c r="D503" s="210"/>
      <c r="E503" s="210"/>
      <c r="F503" s="319"/>
    </row>
    <row r="504">
      <c r="A504" s="210"/>
      <c r="B504" s="317"/>
      <c r="C504" s="318"/>
      <c r="D504" s="210"/>
      <c r="E504" s="210"/>
      <c r="F504" s="319"/>
    </row>
    <row r="505">
      <c r="A505" s="210"/>
      <c r="B505" s="317"/>
      <c r="C505" s="318"/>
      <c r="D505" s="210"/>
      <c r="E505" s="210"/>
      <c r="F505" s="319"/>
    </row>
    <row r="506">
      <c r="A506" s="210"/>
      <c r="B506" s="317"/>
      <c r="C506" s="318"/>
      <c r="D506" s="210"/>
      <c r="E506" s="210"/>
      <c r="F506" s="319"/>
    </row>
    <row r="507">
      <c r="A507" s="210"/>
      <c r="B507" s="317"/>
      <c r="C507" s="318"/>
      <c r="D507" s="210"/>
      <c r="E507" s="210"/>
      <c r="F507" s="319"/>
    </row>
    <row r="508">
      <c r="A508" s="210"/>
      <c r="B508" s="317"/>
      <c r="C508" s="318"/>
      <c r="D508" s="210"/>
      <c r="E508" s="210"/>
      <c r="F508" s="319"/>
    </row>
    <row r="509">
      <c r="A509" s="210"/>
      <c r="B509" s="317"/>
      <c r="C509" s="318"/>
      <c r="D509" s="210"/>
      <c r="E509" s="210"/>
      <c r="F509" s="319"/>
    </row>
    <row r="510">
      <c r="A510" s="210"/>
      <c r="B510" s="317"/>
      <c r="C510" s="318"/>
      <c r="D510" s="210"/>
      <c r="E510" s="210"/>
      <c r="F510" s="319"/>
    </row>
    <row r="511">
      <c r="A511" s="210"/>
      <c r="B511" s="317"/>
      <c r="C511" s="318"/>
      <c r="D511" s="210"/>
      <c r="E511" s="210"/>
      <c r="F511" s="319"/>
    </row>
    <row r="512">
      <c r="A512" s="210"/>
      <c r="B512" s="317"/>
      <c r="C512" s="318"/>
      <c r="D512" s="210"/>
      <c r="E512" s="210"/>
      <c r="F512" s="319"/>
    </row>
    <row r="513">
      <c r="A513" s="210"/>
      <c r="B513" s="317"/>
      <c r="C513" s="318"/>
      <c r="D513" s="210"/>
      <c r="E513" s="210"/>
      <c r="F513" s="319"/>
    </row>
    <row r="514">
      <c r="A514" s="210"/>
      <c r="B514" s="317"/>
      <c r="C514" s="318"/>
      <c r="D514" s="210"/>
      <c r="E514" s="210"/>
      <c r="F514" s="319"/>
    </row>
    <row r="515">
      <c r="A515" s="210"/>
      <c r="B515" s="317"/>
      <c r="C515" s="318"/>
      <c r="D515" s="210"/>
      <c r="E515" s="210"/>
      <c r="F515" s="319"/>
    </row>
    <row r="516">
      <c r="A516" s="210"/>
      <c r="B516" s="317"/>
      <c r="C516" s="318"/>
      <c r="D516" s="210"/>
      <c r="E516" s="210"/>
      <c r="F516" s="319"/>
    </row>
    <row r="517">
      <c r="A517" s="210"/>
      <c r="B517" s="317"/>
      <c r="C517" s="318"/>
      <c r="D517" s="210"/>
      <c r="E517" s="210"/>
      <c r="F517" s="319"/>
    </row>
    <row r="518">
      <c r="A518" s="210"/>
      <c r="B518" s="317"/>
      <c r="C518" s="318"/>
      <c r="D518" s="210"/>
      <c r="E518" s="210"/>
      <c r="F518" s="319"/>
    </row>
    <row r="519">
      <c r="A519" s="210"/>
      <c r="B519" s="317"/>
      <c r="C519" s="318"/>
      <c r="D519" s="210"/>
      <c r="E519" s="210"/>
      <c r="F519" s="319"/>
    </row>
    <row r="520">
      <c r="A520" s="210"/>
      <c r="B520" s="317"/>
      <c r="C520" s="318"/>
      <c r="D520" s="210"/>
      <c r="E520" s="210"/>
      <c r="F520" s="319"/>
    </row>
    <row r="521">
      <c r="A521" s="210"/>
      <c r="B521" s="317"/>
      <c r="C521" s="318"/>
      <c r="D521" s="210"/>
      <c r="E521" s="210"/>
      <c r="F521" s="319"/>
    </row>
    <row r="522">
      <c r="A522" s="210"/>
      <c r="B522" s="317"/>
      <c r="C522" s="318"/>
      <c r="D522" s="210"/>
      <c r="E522" s="210"/>
      <c r="F522" s="319"/>
    </row>
    <row r="523">
      <c r="A523" s="210"/>
      <c r="B523" s="317"/>
      <c r="C523" s="318"/>
      <c r="D523" s="210"/>
      <c r="E523" s="210"/>
      <c r="F523" s="319"/>
    </row>
    <row r="524">
      <c r="A524" s="210"/>
      <c r="B524" s="317"/>
      <c r="C524" s="318"/>
      <c r="D524" s="210"/>
      <c r="E524" s="210"/>
      <c r="F524" s="319"/>
    </row>
    <row r="525">
      <c r="A525" s="210"/>
      <c r="B525" s="317"/>
      <c r="C525" s="318"/>
      <c r="D525" s="210"/>
      <c r="E525" s="210"/>
      <c r="F525" s="319"/>
    </row>
    <row r="526">
      <c r="A526" s="210"/>
      <c r="B526" s="317"/>
      <c r="C526" s="318"/>
      <c r="D526" s="210"/>
      <c r="E526" s="210"/>
      <c r="F526" s="319"/>
    </row>
    <row r="527">
      <c r="A527" s="210"/>
      <c r="B527" s="317"/>
      <c r="C527" s="318"/>
      <c r="D527" s="210"/>
      <c r="E527" s="210"/>
      <c r="F527" s="319"/>
    </row>
    <row r="528">
      <c r="A528" s="210"/>
      <c r="B528" s="317"/>
      <c r="C528" s="318"/>
      <c r="D528" s="210"/>
      <c r="E528" s="210"/>
      <c r="F528" s="319"/>
    </row>
    <row r="529">
      <c r="A529" s="210"/>
      <c r="B529" s="317"/>
      <c r="C529" s="318"/>
      <c r="D529" s="210"/>
      <c r="E529" s="210"/>
      <c r="F529" s="319"/>
    </row>
    <row r="530">
      <c r="A530" s="210"/>
      <c r="B530" s="317"/>
      <c r="C530" s="318"/>
      <c r="D530" s="210"/>
      <c r="E530" s="210"/>
      <c r="F530" s="319"/>
    </row>
    <row r="531">
      <c r="A531" s="210"/>
      <c r="B531" s="317"/>
      <c r="C531" s="318"/>
      <c r="D531" s="210"/>
      <c r="E531" s="210"/>
      <c r="F531" s="319"/>
    </row>
    <row r="532">
      <c r="A532" s="210"/>
      <c r="B532" s="317"/>
      <c r="C532" s="318"/>
      <c r="D532" s="210"/>
      <c r="E532" s="210"/>
      <c r="F532" s="319"/>
    </row>
    <row r="533">
      <c r="A533" s="210"/>
      <c r="B533" s="317"/>
      <c r="C533" s="318"/>
      <c r="D533" s="210"/>
      <c r="E533" s="210"/>
      <c r="F533" s="319"/>
    </row>
    <row r="534">
      <c r="A534" s="210"/>
      <c r="B534" s="317"/>
      <c r="C534" s="318"/>
      <c r="D534" s="210"/>
      <c r="E534" s="210"/>
      <c r="F534" s="319"/>
    </row>
    <row r="535">
      <c r="A535" s="210"/>
      <c r="B535" s="317"/>
      <c r="C535" s="318"/>
      <c r="D535" s="210"/>
      <c r="E535" s="210"/>
      <c r="F535" s="319"/>
    </row>
    <row r="536">
      <c r="A536" s="210"/>
      <c r="B536" s="317"/>
      <c r="C536" s="318"/>
      <c r="D536" s="210"/>
      <c r="E536" s="210"/>
      <c r="F536" s="319"/>
    </row>
    <row r="537">
      <c r="A537" s="210"/>
      <c r="B537" s="317"/>
      <c r="C537" s="318"/>
      <c r="D537" s="210"/>
      <c r="E537" s="210"/>
      <c r="F537" s="319"/>
    </row>
    <row r="538">
      <c r="A538" s="210"/>
      <c r="B538" s="317"/>
      <c r="C538" s="318"/>
      <c r="D538" s="210"/>
      <c r="E538" s="210"/>
      <c r="F538" s="319"/>
    </row>
    <row r="539">
      <c r="A539" s="210"/>
      <c r="B539" s="317"/>
      <c r="C539" s="318"/>
      <c r="D539" s="210"/>
      <c r="E539" s="210"/>
      <c r="F539" s="319"/>
    </row>
    <row r="540">
      <c r="A540" s="210"/>
      <c r="B540" s="317"/>
      <c r="C540" s="318"/>
      <c r="D540" s="210"/>
      <c r="E540" s="210"/>
      <c r="F540" s="319"/>
    </row>
    <row r="541">
      <c r="A541" s="210"/>
      <c r="B541" s="317"/>
      <c r="C541" s="318"/>
      <c r="D541" s="210"/>
      <c r="E541" s="210"/>
      <c r="F541" s="319"/>
    </row>
    <row r="542">
      <c r="A542" s="210"/>
      <c r="B542" s="317"/>
      <c r="C542" s="318"/>
      <c r="D542" s="210"/>
      <c r="E542" s="210"/>
      <c r="F542" s="319"/>
    </row>
    <row r="543">
      <c r="A543" s="210"/>
      <c r="B543" s="317"/>
      <c r="C543" s="318"/>
      <c r="D543" s="210"/>
      <c r="E543" s="210"/>
      <c r="F543" s="319"/>
    </row>
    <row r="544">
      <c r="A544" s="210"/>
      <c r="B544" s="317"/>
      <c r="C544" s="318"/>
      <c r="D544" s="210"/>
      <c r="E544" s="210"/>
      <c r="F544" s="319"/>
    </row>
    <row r="545">
      <c r="A545" s="210"/>
      <c r="B545" s="317"/>
      <c r="C545" s="318"/>
      <c r="D545" s="210"/>
      <c r="E545" s="210"/>
      <c r="F545" s="319"/>
    </row>
    <row r="546">
      <c r="A546" s="210"/>
      <c r="B546" s="317"/>
      <c r="C546" s="318"/>
      <c r="D546" s="210"/>
      <c r="E546" s="210"/>
      <c r="F546" s="319"/>
    </row>
    <row r="547">
      <c r="A547" s="210"/>
      <c r="B547" s="317"/>
      <c r="C547" s="318"/>
      <c r="D547" s="210"/>
      <c r="E547" s="210"/>
      <c r="F547" s="319"/>
    </row>
    <row r="548">
      <c r="A548" s="210"/>
      <c r="B548" s="317"/>
      <c r="C548" s="318"/>
      <c r="D548" s="210"/>
      <c r="E548" s="210"/>
      <c r="F548" s="319"/>
    </row>
    <row r="549">
      <c r="A549" s="210"/>
      <c r="B549" s="317"/>
      <c r="C549" s="318"/>
      <c r="D549" s="210"/>
      <c r="E549" s="210"/>
      <c r="F549" s="319"/>
    </row>
    <row r="550">
      <c r="A550" s="210"/>
      <c r="B550" s="317"/>
      <c r="C550" s="318"/>
      <c r="D550" s="210"/>
      <c r="E550" s="210"/>
      <c r="F550" s="319"/>
    </row>
    <row r="551">
      <c r="A551" s="210"/>
      <c r="B551" s="317"/>
      <c r="C551" s="318"/>
      <c r="D551" s="210"/>
      <c r="E551" s="210"/>
      <c r="F551" s="319"/>
    </row>
    <row r="552">
      <c r="A552" s="210"/>
      <c r="B552" s="317"/>
      <c r="C552" s="318"/>
      <c r="D552" s="210"/>
      <c r="E552" s="210"/>
      <c r="F552" s="319"/>
    </row>
    <row r="553">
      <c r="A553" s="210"/>
      <c r="B553" s="317"/>
      <c r="C553" s="318"/>
      <c r="D553" s="210"/>
      <c r="E553" s="210"/>
      <c r="F553" s="319"/>
    </row>
    <row r="554">
      <c r="A554" s="210"/>
      <c r="B554" s="317"/>
      <c r="C554" s="318"/>
      <c r="D554" s="210"/>
      <c r="E554" s="210"/>
      <c r="F554" s="319"/>
    </row>
    <row r="555">
      <c r="A555" s="210"/>
      <c r="B555" s="317"/>
      <c r="C555" s="318"/>
      <c r="D555" s="210"/>
      <c r="E555" s="210"/>
      <c r="F555" s="319"/>
    </row>
    <row r="556">
      <c r="A556" s="210"/>
      <c r="B556" s="317"/>
      <c r="C556" s="318"/>
      <c r="D556" s="210"/>
      <c r="E556" s="210"/>
      <c r="F556" s="319"/>
    </row>
    <row r="557">
      <c r="A557" s="210"/>
      <c r="B557" s="317"/>
      <c r="C557" s="318"/>
      <c r="D557" s="210"/>
      <c r="E557" s="210"/>
      <c r="F557" s="319"/>
    </row>
    <row r="558">
      <c r="A558" s="210"/>
      <c r="B558" s="317"/>
      <c r="C558" s="318"/>
      <c r="D558" s="210"/>
      <c r="E558" s="210"/>
      <c r="F558" s="319"/>
    </row>
    <row r="559">
      <c r="A559" s="210"/>
      <c r="B559" s="317"/>
      <c r="C559" s="318"/>
      <c r="D559" s="210"/>
      <c r="E559" s="210"/>
      <c r="F559" s="319"/>
    </row>
    <row r="560">
      <c r="A560" s="210"/>
      <c r="B560" s="317"/>
      <c r="C560" s="318"/>
      <c r="D560" s="210"/>
      <c r="E560" s="210"/>
      <c r="F560" s="319"/>
    </row>
    <row r="561">
      <c r="A561" s="210"/>
      <c r="B561" s="317"/>
      <c r="C561" s="318"/>
      <c r="D561" s="210"/>
      <c r="E561" s="210"/>
      <c r="F561" s="319"/>
    </row>
    <row r="562">
      <c r="A562" s="210"/>
      <c r="B562" s="317"/>
      <c r="C562" s="318"/>
      <c r="D562" s="210"/>
      <c r="E562" s="210"/>
      <c r="F562" s="319"/>
    </row>
    <row r="563">
      <c r="A563" s="210"/>
      <c r="B563" s="317"/>
      <c r="C563" s="318"/>
      <c r="D563" s="210"/>
      <c r="E563" s="210"/>
      <c r="F563" s="319"/>
    </row>
    <row r="564">
      <c r="A564" s="210"/>
      <c r="B564" s="317"/>
      <c r="C564" s="318"/>
      <c r="D564" s="210"/>
      <c r="E564" s="210"/>
      <c r="F564" s="319"/>
    </row>
    <row r="565">
      <c r="A565" s="210"/>
      <c r="B565" s="317"/>
      <c r="C565" s="318"/>
      <c r="D565" s="210"/>
      <c r="E565" s="210"/>
      <c r="F565" s="319"/>
    </row>
    <row r="566">
      <c r="A566" s="210"/>
      <c r="B566" s="317"/>
      <c r="C566" s="318"/>
      <c r="D566" s="210"/>
      <c r="E566" s="210"/>
      <c r="F566" s="319"/>
    </row>
    <row r="567">
      <c r="A567" s="210"/>
      <c r="B567" s="317"/>
      <c r="C567" s="318"/>
      <c r="D567" s="210"/>
      <c r="E567" s="210"/>
      <c r="F567" s="319"/>
    </row>
    <row r="568">
      <c r="A568" s="210"/>
      <c r="B568" s="317"/>
      <c r="C568" s="318"/>
      <c r="D568" s="210"/>
      <c r="E568" s="210"/>
      <c r="F568" s="319"/>
    </row>
    <row r="569">
      <c r="A569" s="210"/>
      <c r="B569" s="317"/>
      <c r="C569" s="318"/>
      <c r="D569" s="210"/>
      <c r="E569" s="210"/>
      <c r="F569" s="319"/>
    </row>
    <row r="570">
      <c r="A570" s="210"/>
      <c r="B570" s="317"/>
      <c r="C570" s="318"/>
      <c r="D570" s="210"/>
      <c r="E570" s="210"/>
      <c r="F570" s="319"/>
    </row>
    <row r="571">
      <c r="A571" s="210"/>
      <c r="B571" s="317"/>
      <c r="C571" s="318"/>
      <c r="D571" s="210"/>
      <c r="E571" s="210"/>
      <c r="F571" s="319"/>
    </row>
    <row r="572">
      <c r="A572" s="210"/>
      <c r="B572" s="317"/>
      <c r="C572" s="318"/>
      <c r="D572" s="210"/>
      <c r="E572" s="210"/>
      <c r="F572" s="319"/>
    </row>
    <row r="573">
      <c r="A573" s="210"/>
      <c r="B573" s="317"/>
      <c r="C573" s="318"/>
      <c r="D573" s="210"/>
      <c r="E573" s="210"/>
      <c r="F573" s="319"/>
    </row>
    <row r="574">
      <c r="A574" s="210"/>
      <c r="B574" s="317"/>
      <c r="C574" s="318"/>
      <c r="D574" s="210"/>
      <c r="E574" s="210"/>
      <c r="F574" s="319"/>
    </row>
    <row r="575">
      <c r="A575" s="210"/>
      <c r="B575" s="317"/>
      <c r="C575" s="318"/>
      <c r="D575" s="210"/>
      <c r="E575" s="210"/>
      <c r="F575" s="319"/>
    </row>
    <row r="576">
      <c r="A576" s="210"/>
      <c r="B576" s="317"/>
      <c r="C576" s="318"/>
      <c r="D576" s="210"/>
      <c r="E576" s="210"/>
      <c r="F576" s="319"/>
    </row>
    <row r="577">
      <c r="A577" s="210"/>
      <c r="B577" s="317"/>
      <c r="C577" s="318"/>
      <c r="D577" s="210"/>
      <c r="E577" s="210"/>
      <c r="F577" s="319"/>
    </row>
    <row r="578">
      <c r="A578" s="210"/>
      <c r="B578" s="317"/>
      <c r="C578" s="318"/>
      <c r="D578" s="210"/>
      <c r="E578" s="210"/>
      <c r="F578" s="319"/>
    </row>
    <row r="579">
      <c r="A579" s="210"/>
      <c r="B579" s="317"/>
      <c r="C579" s="318"/>
      <c r="D579" s="210"/>
      <c r="E579" s="210"/>
      <c r="F579" s="319"/>
    </row>
    <row r="580">
      <c r="A580" s="210"/>
      <c r="B580" s="317"/>
      <c r="C580" s="318"/>
      <c r="D580" s="210"/>
      <c r="E580" s="210"/>
      <c r="F580" s="319"/>
    </row>
    <row r="581">
      <c r="A581" s="210"/>
      <c r="B581" s="317"/>
      <c r="C581" s="318"/>
      <c r="D581" s="210"/>
      <c r="E581" s="210"/>
      <c r="F581" s="319"/>
    </row>
    <row r="582">
      <c r="A582" s="210"/>
      <c r="B582" s="317"/>
      <c r="C582" s="318"/>
      <c r="D582" s="210"/>
      <c r="E582" s="210"/>
      <c r="F582" s="319"/>
    </row>
    <row r="583">
      <c r="A583" s="210"/>
      <c r="B583" s="317"/>
      <c r="C583" s="318"/>
      <c r="D583" s="210"/>
      <c r="E583" s="210"/>
      <c r="F583" s="319"/>
    </row>
    <row r="584">
      <c r="A584" s="210"/>
      <c r="B584" s="317"/>
      <c r="C584" s="318"/>
      <c r="D584" s="210"/>
      <c r="E584" s="210"/>
      <c r="F584" s="319"/>
    </row>
    <row r="585">
      <c r="A585" s="210"/>
      <c r="B585" s="317"/>
      <c r="C585" s="318"/>
      <c r="D585" s="210"/>
      <c r="E585" s="210"/>
      <c r="F585" s="319"/>
    </row>
    <row r="586">
      <c r="A586" s="210"/>
      <c r="B586" s="317"/>
      <c r="C586" s="318"/>
      <c r="D586" s="210"/>
      <c r="E586" s="210"/>
      <c r="F586" s="319"/>
    </row>
    <row r="587">
      <c r="A587" s="210"/>
      <c r="B587" s="317"/>
      <c r="C587" s="318"/>
      <c r="D587" s="210"/>
      <c r="E587" s="210"/>
      <c r="F587" s="319"/>
    </row>
    <row r="588">
      <c r="A588" s="210"/>
      <c r="B588" s="317"/>
      <c r="C588" s="318"/>
      <c r="D588" s="210"/>
      <c r="E588" s="210"/>
      <c r="F588" s="319"/>
    </row>
    <row r="589">
      <c r="A589" s="210"/>
      <c r="B589" s="317"/>
      <c r="C589" s="318"/>
      <c r="D589" s="210"/>
      <c r="E589" s="210"/>
      <c r="F589" s="319"/>
    </row>
    <row r="590">
      <c r="A590" s="210"/>
      <c r="B590" s="317"/>
      <c r="C590" s="318"/>
      <c r="D590" s="210"/>
      <c r="E590" s="210"/>
      <c r="F590" s="319"/>
    </row>
    <row r="591">
      <c r="A591" s="210"/>
      <c r="B591" s="317"/>
      <c r="C591" s="318"/>
      <c r="D591" s="210"/>
      <c r="E591" s="210"/>
      <c r="F591" s="319"/>
    </row>
    <row r="592">
      <c r="A592" s="210"/>
      <c r="B592" s="317"/>
      <c r="C592" s="318"/>
      <c r="D592" s="210"/>
      <c r="E592" s="210"/>
      <c r="F592" s="319"/>
    </row>
    <row r="593">
      <c r="A593" s="210"/>
      <c r="B593" s="317"/>
      <c r="C593" s="318"/>
      <c r="D593" s="210"/>
      <c r="E593" s="210"/>
      <c r="F593" s="319"/>
    </row>
    <row r="594">
      <c r="A594" s="210"/>
      <c r="B594" s="317"/>
      <c r="C594" s="318"/>
      <c r="D594" s="210"/>
      <c r="E594" s="210"/>
      <c r="F594" s="319"/>
    </row>
    <row r="595">
      <c r="A595" s="210"/>
      <c r="B595" s="317"/>
      <c r="C595" s="318"/>
      <c r="D595" s="210"/>
      <c r="E595" s="210"/>
      <c r="F595" s="319"/>
    </row>
    <row r="596">
      <c r="A596" s="210"/>
      <c r="B596" s="317"/>
      <c r="C596" s="318"/>
      <c r="D596" s="210"/>
      <c r="E596" s="210"/>
      <c r="F596" s="319"/>
    </row>
    <row r="597">
      <c r="A597" s="210"/>
      <c r="B597" s="317"/>
      <c r="C597" s="318"/>
      <c r="D597" s="210"/>
      <c r="E597" s="210"/>
      <c r="F597" s="319"/>
    </row>
    <row r="598">
      <c r="A598" s="210"/>
      <c r="B598" s="317"/>
      <c r="C598" s="318"/>
      <c r="D598" s="210"/>
      <c r="E598" s="210"/>
      <c r="F598" s="319"/>
    </row>
    <row r="599">
      <c r="A599" s="210"/>
      <c r="B599" s="317"/>
      <c r="C599" s="318"/>
      <c r="D599" s="210"/>
      <c r="E599" s="210"/>
      <c r="F599" s="319"/>
    </row>
    <row r="600">
      <c r="A600" s="210"/>
      <c r="B600" s="317"/>
      <c r="C600" s="318"/>
      <c r="D600" s="210"/>
      <c r="E600" s="210"/>
      <c r="F600" s="319"/>
    </row>
    <row r="601">
      <c r="A601" s="210"/>
      <c r="B601" s="317"/>
      <c r="C601" s="318"/>
      <c r="D601" s="210"/>
      <c r="E601" s="210"/>
      <c r="F601" s="319"/>
    </row>
    <row r="602">
      <c r="A602" s="210"/>
      <c r="B602" s="317"/>
      <c r="C602" s="318"/>
      <c r="D602" s="210"/>
      <c r="E602" s="210"/>
      <c r="F602" s="319"/>
    </row>
    <row r="603">
      <c r="A603" s="210"/>
      <c r="B603" s="317"/>
      <c r="C603" s="318"/>
      <c r="D603" s="210"/>
      <c r="E603" s="210"/>
      <c r="F603" s="319"/>
    </row>
    <row r="604">
      <c r="A604" s="210"/>
      <c r="B604" s="317"/>
      <c r="C604" s="318"/>
      <c r="D604" s="210"/>
      <c r="E604" s="210"/>
      <c r="F604" s="319"/>
    </row>
    <row r="605">
      <c r="A605" s="210"/>
      <c r="B605" s="317"/>
      <c r="C605" s="318"/>
      <c r="D605" s="210"/>
      <c r="E605" s="210"/>
      <c r="F605" s="319"/>
    </row>
    <row r="606">
      <c r="A606" s="210"/>
      <c r="B606" s="317"/>
      <c r="C606" s="318"/>
      <c r="D606" s="210"/>
      <c r="E606" s="210"/>
      <c r="F606" s="319"/>
    </row>
    <row r="607">
      <c r="A607" s="210"/>
      <c r="B607" s="317"/>
      <c r="C607" s="318"/>
      <c r="D607" s="210"/>
      <c r="E607" s="210"/>
      <c r="F607" s="319"/>
    </row>
    <row r="608">
      <c r="A608" s="210"/>
      <c r="B608" s="317"/>
      <c r="C608" s="318"/>
      <c r="D608" s="210"/>
      <c r="E608" s="210"/>
      <c r="F608" s="319"/>
    </row>
    <row r="609">
      <c r="A609" s="210"/>
      <c r="B609" s="317"/>
      <c r="C609" s="318"/>
      <c r="D609" s="210"/>
      <c r="E609" s="210"/>
      <c r="F609" s="319"/>
    </row>
    <row r="610">
      <c r="A610" s="210"/>
      <c r="B610" s="317"/>
      <c r="C610" s="318"/>
      <c r="D610" s="210"/>
      <c r="E610" s="210"/>
      <c r="F610" s="319"/>
    </row>
    <row r="611">
      <c r="A611" s="210"/>
      <c r="B611" s="317"/>
      <c r="C611" s="318"/>
      <c r="D611" s="210"/>
      <c r="E611" s="210"/>
      <c r="F611" s="319"/>
    </row>
    <row r="612">
      <c r="A612" s="210"/>
      <c r="B612" s="317"/>
      <c r="C612" s="318"/>
      <c r="D612" s="210"/>
      <c r="E612" s="210"/>
      <c r="F612" s="319"/>
    </row>
    <row r="613">
      <c r="A613" s="210"/>
      <c r="B613" s="317"/>
      <c r="C613" s="318"/>
      <c r="D613" s="210"/>
      <c r="E613" s="210"/>
      <c r="F613" s="319"/>
    </row>
    <row r="614">
      <c r="A614" s="210"/>
      <c r="B614" s="317"/>
      <c r="C614" s="318"/>
      <c r="D614" s="210"/>
      <c r="E614" s="210"/>
      <c r="F614" s="319"/>
    </row>
    <row r="615">
      <c r="A615" s="210"/>
      <c r="B615" s="317"/>
      <c r="C615" s="318"/>
      <c r="D615" s="210"/>
      <c r="E615" s="210"/>
      <c r="F615" s="319"/>
    </row>
    <row r="616">
      <c r="A616" s="210"/>
      <c r="B616" s="317"/>
      <c r="C616" s="318"/>
      <c r="D616" s="210"/>
      <c r="E616" s="210"/>
      <c r="F616" s="319"/>
    </row>
    <row r="617">
      <c r="A617" s="210"/>
      <c r="B617" s="317"/>
      <c r="C617" s="318"/>
      <c r="D617" s="210"/>
      <c r="E617" s="210"/>
      <c r="F617" s="319"/>
    </row>
    <row r="618">
      <c r="A618" s="210"/>
      <c r="B618" s="317"/>
      <c r="C618" s="318"/>
      <c r="D618" s="210"/>
      <c r="E618" s="210"/>
      <c r="F618" s="319"/>
    </row>
    <row r="619">
      <c r="A619" s="210"/>
      <c r="B619" s="317"/>
      <c r="C619" s="318"/>
      <c r="D619" s="210"/>
      <c r="E619" s="210"/>
      <c r="F619" s="319"/>
    </row>
    <row r="620">
      <c r="A620" s="210"/>
      <c r="B620" s="317"/>
      <c r="C620" s="318"/>
      <c r="D620" s="210"/>
      <c r="E620" s="210"/>
      <c r="F620" s="319"/>
    </row>
    <row r="621">
      <c r="A621" s="210"/>
      <c r="B621" s="317"/>
      <c r="C621" s="318"/>
      <c r="D621" s="210"/>
      <c r="E621" s="210"/>
      <c r="F621" s="319"/>
    </row>
    <row r="622">
      <c r="A622" s="210"/>
      <c r="B622" s="317"/>
      <c r="C622" s="318"/>
      <c r="D622" s="210"/>
      <c r="E622" s="210"/>
      <c r="F622" s="319"/>
    </row>
    <row r="623">
      <c r="A623" s="210"/>
      <c r="B623" s="317"/>
      <c r="C623" s="318"/>
      <c r="D623" s="210"/>
      <c r="E623" s="210"/>
      <c r="F623" s="319"/>
    </row>
    <row r="624">
      <c r="A624" s="210"/>
      <c r="B624" s="317"/>
      <c r="C624" s="318"/>
      <c r="D624" s="210"/>
      <c r="E624" s="210"/>
      <c r="F624" s="319"/>
    </row>
    <row r="625">
      <c r="A625" s="210"/>
      <c r="B625" s="317"/>
      <c r="C625" s="318"/>
      <c r="D625" s="210"/>
      <c r="E625" s="210"/>
      <c r="F625" s="319"/>
    </row>
    <row r="626">
      <c r="A626" s="210"/>
      <c r="B626" s="317"/>
      <c r="C626" s="318"/>
      <c r="D626" s="210"/>
      <c r="E626" s="210"/>
      <c r="F626" s="319"/>
    </row>
    <row r="627">
      <c r="A627" s="210"/>
      <c r="B627" s="317"/>
      <c r="C627" s="318"/>
      <c r="D627" s="210"/>
      <c r="E627" s="210"/>
      <c r="F627" s="319"/>
    </row>
    <row r="628">
      <c r="A628" s="210"/>
      <c r="B628" s="317"/>
      <c r="C628" s="318"/>
      <c r="D628" s="210"/>
      <c r="E628" s="210"/>
      <c r="F628" s="319"/>
    </row>
    <row r="629">
      <c r="A629" s="210"/>
      <c r="B629" s="317"/>
      <c r="C629" s="318"/>
      <c r="D629" s="210"/>
      <c r="E629" s="210"/>
      <c r="F629" s="319"/>
    </row>
    <row r="630">
      <c r="A630" s="210"/>
      <c r="B630" s="317"/>
      <c r="C630" s="318"/>
      <c r="D630" s="210"/>
      <c r="E630" s="210"/>
      <c r="F630" s="319"/>
    </row>
    <row r="631">
      <c r="A631" s="210"/>
      <c r="B631" s="317"/>
      <c r="C631" s="318"/>
      <c r="D631" s="210"/>
      <c r="E631" s="210"/>
      <c r="F631" s="319"/>
    </row>
    <row r="632">
      <c r="A632" s="210"/>
      <c r="B632" s="317"/>
      <c r="C632" s="318"/>
      <c r="D632" s="210"/>
      <c r="E632" s="210"/>
      <c r="F632" s="319"/>
    </row>
    <row r="633">
      <c r="A633" s="210"/>
      <c r="B633" s="317"/>
      <c r="C633" s="318"/>
      <c r="D633" s="210"/>
      <c r="E633" s="210"/>
      <c r="F633" s="319"/>
    </row>
    <row r="634">
      <c r="A634" s="210"/>
      <c r="B634" s="317"/>
      <c r="C634" s="318"/>
      <c r="D634" s="210"/>
      <c r="E634" s="210"/>
      <c r="F634" s="319"/>
    </row>
    <row r="635">
      <c r="A635" s="210"/>
      <c r="B635" s="317"/>
      <c r="C635" s="318"/>
      <c r="D635" s="210"/>
      <c r="E635" s="210"/>
      <c r="F635" s="319"/>
    </row>
    <row r="636">
      <c r="A636" s="210"/>
      <c r="B636" s="317"/>
      <c r="C636" s="318"/>
      <c r="D636" s="210"/>
      <c r="E636" s="210"/>
      <c r="F636" s="319"/>
    </row>
    <row r="637">
      <c r="A637" s="210"/>
      <c r="B637" s="317"/>
      <c r="C637" s="318"/>
      <c r="D637" s="210"/>
      <c r="E637" s="210"/>
      <c r="F637" s="319"/>
    </row>
    <row r="638">
      <c r="A638" s="210"/>
      <c r="B638" s="317"/>
      <c r="C638" s="318"/>
      <c r="D638" s="210"/>
      <c r="E638" s="210"/>
      <c r="F638" s="319"/>
    </row>
    <row r="639">
      <c r="A639" s="210"/>
      <c r="B639" s="317"/>
      <c r="C639" s="318"/>
      <c r="D639" s="210"/>
      <c r="E639" s="210"/>
      <c r="F639" s="319"/>
    </row>
    <row r="640">
      <c r="A640" s="210"/>
      <c r="B640" s="317"/>
      <c r="C640" s="318"/>
      <c r="D640" s="210"/>
      <c r="E640" s="210"/>
      <c r="F640" s="319"/>
    </row>
    <row r="641">
      <c r="A641" s="210"/>
      <c r="B641" s="317"/>
      <c r="C641" s="318"/>
      <c r="D641" s="210"/>
      <c r="E641" s="210"/>
      <c r="F641" s="319"/>
    </row>
    <row r="642">
      <c r="A642" s="210"/>
      <c r="B642" s="317"/>
      <c r="C642" s="318"/>
      <c r="D642" s="210"/>
      <c r="E642" s="210"/>
      <c r="F642" s="319"/>
    </row>
    <row r="643">
      <c r="A643" s="210"/>
      <c r="B643" s="317"/>
      <c r="C643" s="318"/>
      <c r="D643" s="210"/>
      <c r="E643" s="210"/>
      <c r="F643" s="319"/>
    </row>
    <row r="644">
      <c r="A644" s="210"/>
      <c r="B644" s="317"/>
      <c r="C644" s="318"/>
      <c r="D644" s="210"/>
      <c r="E644" s="210"/>
      <c r="F644" s="319"/>
    </row>
    <row r="645">
      <c r="A645" s="210"/>
      <c r="B645" s="317"/>
      <c r="C645" s="318"/>
      <c r="D645" s="210"/>
      <c r="E645" s="210"/>
      <c r="F645" s="319"/>
    </row>
    <row r="646">
      <c r="A646" s="210"/>
      <c r="B646" s="317"/>
      <c r="C646" s="318"/>
      <c r="D646" s="210"/>
      <c r="E646" s="210"/>
      <c r="F646" s="319"/>
    </row>
    <row r="647">
      <c r="A647" s="210"/>
      <c r="B647" s="317"/>
      <c r="C647" s="318"/>
      <c r="D647" s="210"/>
      <c r="E647" s="210"/>
      <c r="F647" s="319"/>
    </row>
    <row r="648">
      <c r="A648" s="210"/>
      <c r="B648" s="317"/>
      <c r="C648" s="318"/>
      <c r="D648" s="210"/>
      <c r="E648" s="210"/>
      <c r="F648" s="319"/>
    </row>
    <row r="649">
      <c r="A649" s="210"/>
      <c r="B649" s="317"/>
      <c r="C649" s="318"/>
      <c r="D649" s="210"/>
      <c r="E649" s="210"/>
      <c r="F649" s="319"/>
    </row>
    <row r="650">
      <c r="A650" s="210"/>
      <c r="B650" s="317"/>
      <c r="C650" s="318"/>
      <c r="D650" s="210"/>
      <c r="E650" s="210"/>
      <c r="F650" s="319"/>
    </row>
    <row r="651">
      <c r="A651" s="210"/>
      <c r="B651" s="317"/>
      <c r="C651" s="318"/>
      <c r="D651" s="210"/>
      <c r="E651" s="210"/>
      <c r="F651" s="319"/>
    </row>
    <row r="652">
      <c r="A652" s="210"/>
      <c r="B652" s="317"/>
      <c r="C652" s="318"/>
      <c r="D652" s="210"/>
      <c r="E652" s="210"/>
      <c r="F652" s="319"/>
    </row>
    <row r="653">
      <c r="A653" s="210"/>
      <c r="B653" s="317"/>
      <c r="C653" s="318"/>
      <c r="D653" s="210"/>
      <c r="E653" s="210"/>
      <c r="F653" s="319"/>
    </row>
    <row r="654">
      <c r="A654" s="210"/>
      <c r="B654" s="317"/>
      <c r="C654" s="318"/>
      <c r="D654" s="210"/>
      <c r="E654" s="210"/>
      <c r="F654" s="319"/>
    </row>
    <row r="655">
      <c r="A655" s="210"/>
      <c r="B655" s="317"/>
      <c r="C655" s="318"/>
      <c r="D655" s="210"/>
      <c r="E655" s="210"/>
      <c r="F655" s="319"/>
    </row>
    <row r="656">
      <c r="A656" s="210"/>
      <c r="B656" s="317"/>
      <c r="C656" s="318"/>
      <c r="D656" s="210"/>
      <c r="E656" s="210"/>
      <c r="F656" s="319"/>
    </row>
    <row r="657">
      <c r="A657" s="210"/>
      <c r="B657" s="317"/>
      <c r="C657" s="318"/>
      <c r="D657" s="210"/>
      <c r="E657" s="210"/>
      <c r="F657" s="319"/>
    </row>
    <row r="658">
      <c r="A658" s="210"/>
      <c r="B658" s="317"/>
      <c r="C658" s="318"/>
      <c r="D658" s="210"/>
      <c r="E658" s="210"/>
      <c r="F658" s="319"/>
    </row>
    <row r="659">
      <c r="A659" s="210"/>
      <c r="B659" s="317"/>
      <c r="C659" s="318"/>
      <c r="D659" s="210"/>
      <c r="E659" s="210"/>
      <c r="F659" s="319"/>
    </row>
    <row r="660">
      <c r="A660" s="210"/>
      <c r="B660" s="317"/>
      <c r="C660" s="318"/>
      <c r="D660" s="210"/>
      <c r="E660" s="210"/>
      <c r="F660" s="319"/>
    </row>
    <row r="661">
      <c r="A661" s="210"/>
      <c r="B661" s="317"/>
      <c r="C661" s="318"/>
      <c r="D661" s="210"/>
      <c r="E661" s="210"/>
      <c r="F661" s="319"/>
    </row>
    <row r="662">
      <c r="A662" s="210"/>
      <c r="B662" s="317"/>
      <c r="C662" s="318"/>
      <c r="D662" s="210"/>
      <c r="E662" s="210"/>
      <c r="F662" s="319"/>
    </row>
    <row r="663">
      <c r="A663" s="210"/>
      <c r="B663" s="317"/>
      <c r="C663" s="318"/>
      <c r="D663" s="210"/>
      <c r="E663" s="210"/>
      <c r="F663" s="319"/>
    </row>
    <row r="664">
      <c r="A664" s="210"/>
      <c r="B664" s="317"/>
      <c r="C664" s="318"/>
      <c r="D664" s="210"/>
      <c r="E664" s="210"/>
      <c r="F664" s="319"/>
    </row>
    <row r="665">
      <c r="A665" s="210"/>
      <c r="B665" s="317"/>
      <c r="C665" s="318"/>
      <c r="D665" s="210"/>
      <c r="E665" s="210"/>
      <c r="F665" s="319"/>
    </row>
    <row r="666">
      <c r="A666" s="210"/>
      <c r="B666" s="317"/>
      <c r="C666" s="318"/>
      <c r="D666" s="210"/>
      <c r="E666" s="210"/>
      <c r="F666" s="319"/>
    </row>
    <row r="667">
      <c r="A667" s="210"/>
      <c r="B667" s="317"/>
      <c r="C667" s="318"/>
      <c r="D667" s="210"/>
      <c r="E667" s="210"/>
      <c r="F667" s="319"/>
    </row>
    <row r="668">
      <c r="A668" s="210"/>
      <c r="B668" s="317"/>
      <c r="C668" s="318"/>
      <c r="D668" s="210"/>
      <c r="E668" s="210"/>
      <c r="F668" s="319"/>
    </row>
    <row r="669">
      <c r="A669" s="210"/>
      <c r="B669" s="317"/>
      <c r="C669" s="318"/>
      <c r="D669" s="210"/>
      <c r="E669" s="210"/>
      <c r="F669" s="319"/>
    </row>
    <row r="670">
      <c r="A670" s="210"/>
      <c r="B670" s="317"/>
      <c r="C670" s="318"/>
      <c r="D670" s="210"/>
      <c r="E670" s="210"/>
      <c r="F670" s="319"/>
    </row>
    <row r="671">
      <c r="A671" s="210"/>
      <c r="B671" s="317"/>
      <c r="C671" s="318"/>
      <c r="D671" s="210"/>
      <c r="E671" s="210"/>
      <c r="F671" s="319"/>
    </row>
    <row r="672">
      <c r="A672" s="210"/>
      <c r="B672" s="317"/>
      <c r="C672" s="318"/>
      <c r="D672" s="210"/>
      <c r="E672" s="210"/>
      <c r="F672" s="319"/>
    </row>
    <row r="673">
      <c r="A673" s="210"/>
      <c r="B673" s="317"/>
      <c r="C673" s="318"/>
      <c r="D673" s="210"/>
      <c r="E673" s="210"/>
      <c r="F673" s="319"/>
    </row>
    <row r="674">
      <c r="A674" s="210"/>
      <c r="B674" s="317"/>
      <c r="C674" s="318"/>
      <c r="D674" s="210"/>
      <c r="E674" s="210"/>
      <c r="F674" s="319"/>
    </row>
    <row r="675">
      <c r="A675" s="210"/>
      <c r="B675" s="317"/>
      <c r="C675" s="318"/>
      <c r="D675" s="210"/>
      <c r="E675" s="210"/>
      <c r="F675" s="319"/>
    </row>
    <row r="676">
      <c r="A676" s="210"/>
      <c r="B676" s="317"/>
      <c r="C676" s="318"/>
      <c r="D676" s="210"/>
      <c r="E676" s="210"/>
      <c r="F676" s="319"/>
    </row>
    <row r="677">
      <c r="A677" s="210"/>
      <c r="B677" s="317"/>
      <c r="C677" s="318"/>
      <c r="D677" s="210"/>
      <c r="E677" s="210"/>
      <c r="F677" s="319"/>
    </row>
    <row r="678">
      <c r="A678" s="210"/>
      <c r="B678" s="317"/>
      <c r="C678" s="318"/>
      <c r="D678" s="210"/>
      <c r="E678" s="210"/>
      <c r="F678" s="319"/>
    </row>
    <row r="679">
      <c r="A679" s="210"/>
      <c r="B679" s="317"/>
      <c r="C679" s="318"/>
      <c r="D679" s="210"/>
      <c r="E679" s="210"/>
      <c r="F679" s="319"/>
    </row>
    <row r="680">
      <c r="A680" s="210"/>
      <c r="B680" s="317"/>
      <c r="C680" s="318"/>
      <c r="D680" s="210"/>
      <c r="E680" s="210"/>
      <c r="F680" s="319"/>
    </row>
    <row r="681">
      <c r="A681" s="210"/>
      <c r="B681" s="317"/>
      <c r="C681" s="318"/>
      <c r="D681" s="210"/>
      <c r="E681" s="210"/>
      <c r="F681" s="319"/>
    </row>
    <row r="682">
      <c r="A682" s="210"/>
      <c r="B682" s="317"/>
      <c r="C682" s="318"/>
      <c r="D682" s="210"/>
      <c r="E682" s="210"/>
      <c r="F682" s="319"/>
    </row>
    <row r="683">
      <c r="A683" s="210"/>
      <c r="B683" s="317"/>
      <c r="C683" s="318"/>
      <c r="D683" s="210"/>
      <c r="E683" s="210"/>
      <c r="F683" s="319"/>
    </row>
    <row r="684">
      <c r="A684" s="210"/>
      <c r="B684" s="317"/>
      <c r="C684" s="318"/>
      <c r="D684" s="210"/>
      <c r="E684" s="210"/>
      <c r="F684" s="319"/>
    </row>
    <row r="685">
      <c r="A685" s="210"/>
      <c r="B685" s="317"/>
      <c r="C685" s="318"/>
      <c r="D685" s="210"/>
      <c r="E685" s="210"/>
      <c r="F685" s="319"/>
    </row>
    <row r="686">
      <c r="A686" s="210"/>
      <c r="B686" s="317"/>
      <c r="C686" s="318"/>
      <c r="D686" s="210"/>
      <c r="E686" s="210"/>
      <c r="F686" s="319"/>
    </row>
    <row r="687">
      <c r="A687" s="210"/>
      <c r="B687" s="317"/>
      <c r="C687" s="318"/>
      <c r="D687" s="210"/>
      <c r="E687" s="210"/>
      <c r="F687" s="319"/>
    </row>
    <row r="688">
      <c r="A688" s="210"/>
      <c r="B688" s="317"/>
      <c r="C688" s="318"/>
      <c r="D688" s="210"/>
      <c r="E688" s="210"/>
      <c r="F688" s="319"/>
    </row>
    <row r="689">
      <c r="A689" s="210"/>
      <c r="B689" s="317"/>
      <c r="C689" s="318"/>
      <c r="D689" s="210"/>
      <c r="E689" s="210"/>
      <c r="F689" s="319"/>
    </row>
    <row r="690">
      <c r="A690" s="210"/>
      <c r="B690" s="317"/>
      <c r="C690" s="318"/>
      <c r="D690" s="210"/>
      <c r="E690" s="210"/>
      <c r="F690" s="319"/>
    </row>
    <row r="691">
      <c r="A691" s="210"/>
      <c r="B691" s="317"/>
      <c r="C691" s="318"/>
      <c r="D691" s="210"/>
      <c r="E691" s="210"/>
      <c r="F691" s="319"/>
    </row>
    <row r="692">
      <c r="A692" s="210"/>
      <c r="B692" s="317"/>
      <c r="C692" s="318"/>
      <c r="D692" s="210"/>
      <c r="E692" s="210"/>
      <c r="F692" s="319"/>
    </row>
    <row r="693">
      <c r="A693" s="210"/>
      <c r="B693" s="317"/>
      <c r="C693" s="318"/>
      <c r="D693" s="210"/>
      <c r="E693" s="210"/>
      <c r="F693" s="319"/>
    </row>
    <row r="694">
      <c r="A694" s="210"/>
      <c r="B694" s="317"/>
      <c r="C694" s="318"/>
      <c r="D694" s="210"/>
      <c r="E694" s="210"/>
      <c r="F694" s="319"/>
    </row>
    <row r="695">
      <c r="A695" s="210"/>
      <c r="B695" s="317"/>
      <c r="C695" s="318"/>
      <c r="D695" s="210"/>
      <c r="E695" s="210"/>
      <c r="F695" s="319"/>
    </row>
    <row r="696">
      <c r="A696" s="210"/>
      <c r="B696" s="317"/>
      <c r="C696" s="318"/>
      <c r="D696" s="210"/>
      <c r="E696" s="210"/>
      <c r="F696" s="319"/>
    </row>
    <row r="697">
      <c r="A697" s="210"/>
      <c r="B697" s="317"/>
      <c r="C697" s="318"/>
      <c r="D697" s="210"/>
      <c r="E697" s="210"/>
      <c r="F697" s="319"/>
    </row>
    <row r="698">
      <c r="A698" s="210"/>
      <c r="B698" s="317"/>
      <c r="C698" s="318"/>
      <c r="D698" s="210"/>
      <c r="E698" s="210"/>
      <c r="F698" s="319"/>
    </row>
    <row r="699">
      <c r="A699" s="210"/>
      <c r="B699" s="317"/>
      <c r="C699" s="318"/>
      <c r="D699" s="210"/>
      <c r="E699" s="210"/>
      <c r="F699" s="319"/>
    </row>
    <row r="700">
      <c r="A700" s="210"/>
      <c r="B700" s="317"/>
      <c r="C700" s="318"/>
      <c r="D700" s="210"/>
      <c r="E700" s="210"/>
      <c r="F700" s="319"/>
    </row>
    <row r="701">
      <c r="A701" s="210"/>
      <c r="B701" s="317"/>
      <c r="C701" s="318"/>
      <c r="D701" s="210"/>
      <c r="E701" s="210"/>
      <c r="F701" s="319"/>
    </row>
    <row r="702">
      <c r="A702" s="210"/>
      <c r="B702" s="317"/>
      <c r="C702" s="318"/>
      <c r="D702" s="210"/>
      <c r="E702" s="210"/>
      <c r="F702" s="319"/>
    </row>
    <row r="703">
      <c r="A703" s="210"/>
      <c r="B703" s="317"/>
      <c r="C703" s="318"/>
      <c r="D703" s="210"/>
      <c r="E703" s="210"/>
      <c r="F703" s="319"/>
    </row>
    <row r="704">
      <c r="A704" s="210"/>
      <c r="B704" s="317"/>
      <c r="C704" s="318"/>
      <c r="D704" s="210"/>
      <c r="E704" s="210"/>
      <c r="F704" s="319"/>
    </row>
    <row r="705">
      <c r="A705" s="210"/>
      <c r="B705" s="317"/>
      <c r="C705" s="318"/>
      <c r="D705" s="210"/>
      <c r="E705" s="210"/>
      <c r="F705" s="319"/>
    </row>
    <row r="706">
      <c r="A706" s="210"/>
      <c r="B706" s="317"/>
      <c r="C706" s="318"/>
      <c r="D706" s="210"/>
      <c r="E706" s="210"/>
      <c r="F706" s="319"/>
    </row>
    <row r="707">
      <c r="A707" s="210"/>
      <c r="B707" s="317"/>
      <c r="C707" s="318"/>
      <c r="D707" s="210"/>
      <c r="E707" s="210"/>
      <c r="F707" s="319"/>
    </row>
    <row r="708">
      <c r="A708" s="210"/>
      <c r="B708" s="317"/>
      <c r="C708" s="318"/>
      <c r="D708" s="210"/>
      <c r="E708" s="210"/>
      <c r="F708" s="319"/>
    </row>
    <row r="709">
      <c r="A709" s="210"/>
      <c r="B709" s="317"/>
      <c r="C709" s="318"/>
      <c r="D709" s="210"/>
      <c r="E709" s="210"/>
      <c r="F709" s="319"/>
    </row>
    <row r="710">
      <c r="A710" s="210"/>
      <c r="B710" s="317"/>
      <c r="C710" s="318"/>
      <c r="D710" s="210"/>
      <c r="E710" s="210"/>
      <c r="F710" s="319"/>
    </row>
    <row r="711">
      <c r="A711" s="210"/>
      <c r="B711" s="317"/>
      <c r="C711" s="318"/>
      <c r="D711" s="210"/>
      <c r="E711" s="210"/>
      <c r="F711" s="319"/>
    </row>
    <row r="712">
      <c r="A712" s="210"/>
      <c r="B712" s="317"/>
      <c r="C712" s="318"/>
      <c r="D712" s="210"/>
      <c r="E712" s="210"/>
      <c r="F712" s="319"/>
    </row>
    <row r="713">
      <c r="A713" s="210"/>
      <c r="B713" s="317"/>
      <c r="C713" s="318"/>
      <c r="D713" s="210"/>
      <c r="E713" s="210"/>
      <c r="F713" s="319"/>
    </row>
    <row r="714">
      <c r="A714" s="210"/>
      <c r="B714" s="317"/>
      <c r="C714" s="318"/>
      <c r="D714" s="210"/>
      <c r="E714" s="210"/>
      <c r="F714" s="319"/>
    </row>
    <row r="715">
      <c r="A715" s="210"/>
      <c r="B715" s="317"/>
      <c r="C715" s="318"/>
      <c r="D715" s="210"/>
      <c r="E715" s="210"/>
      <c r="F715" s="319"/>
    </row>
    <row r="716">
      <c r="A716" s="210"/>
      <c r="B716" s="317"/>
      <c r="C716" s="318"/>
      <c r="D716" s="210"/>
      <c r="E716" s="210"/>
      <c r="F716" s="319"/>
    </row>
    <row r="717">
      <c r="A717" s="210"/>
      <c r="B717" s="317"/>
      <c r="C717" s="318"/>
      <c r="D717" s="210"/>
      <c r="E717" s="210"/>
      <c r="F717" s="319"/>
    </row>
    <row r="718">
      <c r="A718" s="210"/>
      <c r="B718" s="317"/>
      <c r="C718" s="318"/>
      <c r="D718" s="210"/>
      <c r="E718" s="210"/>
      <c r="F718" s="319"/>
    </row>
    <row r="719">
      <c r="A719" s="210"/>
      <c r="B719" s="317"/>
      <c r="C719" s="318"/>
      <c r="D719" s="210"/>
      <c r="E719" s="210"/>
      <c r="F719" s="319"/>
    </row>
    <row r="720">
      <c r="A720" s="210"/>
      <c r="B720" s="317"/>
      <c r="C720" s="318"/>
      <c r="D720" s="210"/>
      <c r="E720" s="210"/>
      <c r="F720" s="319"/>
    </row>
    <row r="721">
      <c r="A721" s="210"/>
      <c r="B721" s="317"/>
      <c r="C721" s="318"/>
      <c r="D721" s="210"/>
      <c r="E721" s="210"/>
      <c r="F721" s="319"/>
    </row>
    <row r="722">
      <c r="A722" s="210"/>
      <c r="B722" s="317"/>
      <c r="C722" s="318"/>
      <c r="D722" s="210"/>
      <c r="E722" s="210"/>
      <c r="F722" s="319"/>
    </row>
    <row r="723">
      <c r="A723" s="210"/>
      <c r="B723" s="317"/>
      <c r="C723" s="318"/>
      <c r="D723" s="210"/>
      <c r="E723" s="210"/>
      <c r="F723" s="319"/>
    </row>
    <row r="724">
      <c r="A724" s="210"/>
      <c r="B724" s="317"/>
      <c r="C724" s="318"/>
      <c r="D724" s="210"/>
      <c r="E724" s="210"/>
      <c r="F724" s="319"/>
    </row>
    <row r="725">
      <c r="A725" s="210"/>
      <c r="B725" s="317"/>
      <c r="C725" s="318"/>
      <c r="D725" s="210"/>
      <c r="E725" s="210"/>
      <c r="F725" s="319"/>
    </row>
    <row r="726">
      <c r="A726" s="210"/>
      <c r="B726" s="317"/>
      <c r="C726" s="318"/>
      <c r="D726" s="210"/>
      <c r="E726" s="210"/>
      <c r="F726" s="319"/>
    </row>
    <row r="727">
      <c r="A727" s="210"/>
      <c r="B727" s="317"/>
      <c r="C727" s="318"/>
      <c r="D727" s="210"/>
      <c r="E727" s="210"/>
      <c r="F727" s="319"/>
    </row>
    <row r="728">
      <c r="A728" s="210"/>
      <c r="B728" s="317"/>
      <c r="C728" s="318"/>
      <c r="D728" s="210"/>
      <c r="E728" s="210"/>
      <c r="F728" s="319"/>
    </row>
    <row r="729">
      <c r="A729" s="210"/>
      <c r="B729" s="317"/>
      <c r="C729" s="318"/>
      <c r="D729" s="210"/>
      <c r="E729" s="210"/>
      <c r="F729" s="319"/>
    </row>
    <row r="730">
      <c r="A730" s="210"/>
      <c r="B730" s="317"/>
      <c r="C730" s="318"/>
      <c r="D730" s="210"/>
      <c r="E730" s="210"/>
      <c r="F730" s="319"/>
    </row>
    <row r="731">
      <c r="A731" s="210"/>
      <c r="B731" s="317"/>
      <c r="C731" s="318"/>
      <c r="D731" s="210"/>
      <c r="E731" s="210"/>
      <c r="F731" s="319"/>
    </row>
    <row r="732">
      <c r="A732" s="210"/>
      <c r="B732" s="317"/>
      <c r="C732" s="318"/>
      <c r="D732" s="210"/>
      <c r="E732" s="210"/>
      <c r="F732" s="319"/>
    </row>
    <row r="733">
      <c r="A733" s="210"/>
      <c r="B733" s="317"/>
      <c r="C733" s="318"/>
      <c r="D733" s="210"/>
      <c r="E733" s="210"/>
      <c r="F733" s="319"/>
    </row>
    <row r="734">
      <c r="A734" s="210"/>
      <c r="B734" s="317"/>
      <c r="C734" s="318"/>
      <c r="D734" s="210"/>
      <c r="E734" s="210"/>
      <c r="F734" s="319"/>
    </row>
    <row r="735">
      <c r="A735" s="210"/>
      <c r="B735" s="317"/>
      <c r="C735" s="318"/>
      <c r="D735" s="210"/>
      <c r="E735" s="210"/>
      <c r="F735" s="319"/>
    </row>
    <row r="736">
      <c r="A736" s="210"/>
      <c r="B736" s="317"/>
      <c r="C736" s="318"/>
      <c r="D736" s="210"/>
      <c r="E736" s="210"/>
      <c r="F736" s="319"/>
    </row>
    <row r="737">
      <c r="A737" s="210"/>
      <c r="B737" s="317"/>
      <c r="C737" s="318"/>
      <c r="D737" s="210"/>
      <c r="E737" s="210"/>
      <c r="F737" s="319"/>
    </row>
    <row r="738">
      <c r="A738" s="210"/>
      <c r="B738" s="317"/>
      <c r="C738" s="318"/>
      <c r="D738" s="210"/>
      <c r="E738" s="210"/>
      <c r="F738" s="319"/>
    </row>
    <row r="739">
      <c r="A739" s="210"/>
      <c r="B739" s="317"/>
      <c r="C739" s="318"/>
      <c r="D739" s="210"/>
      <c r="E739" s="210"/>
      <c r="F739" s="319"/>
    </row>
    <row r="740">
      <c r="A740" s="210"/>
      <c r="B740" s="317"/>
      <c r="C740" s="318"/>
      <c r="D740" s="210"/>
      <c r="E740" s="210"/>
      <c r="F740" s="319"/>
    </row>
    <row r="741">
      <c r="A741" s="210"/>
      <c r="B741" s="317"/>
      <c r="C741" s="318"/>
      <c r="D741" s="210"/>
      <c r="E741" s="210"/>
      <c r="F741" s="319"/>
    </row>
    <row r="742">
      <c r="A742" s="210"/>
      <c r="B742" s="317"/>
      <c r="C742" s="318"/>
      <c r="D742" s="210"/>
      <c r="E742" s="210"/>
      <c r="F742" s="319"/>
    </row>
    <row r="743">
      <c r="A743" s="210"/>
      <c r="B743" s="317"/>
      <c r="C743" s="318"/>
      <c r="D743" s="210"/>
      <c r="E743" s="210"/>
      <c r="F743" s="319"/>
    </row>
    <row r="744">
      <c r="A744" s="210"/>
      <c r="B744" s="317"/>
      <c r="C744" s="318"/>
      <c r="D744" s="210"/>
      <c r="E744" s="210"/>
      <c r="F744" s="319"/>
    </row>
    <row r="745">
      <c r="A745" s="210"/>
      <c r="B745" s="317"/>
      <c r="C745" s="318"/>
      <c r="D745" s="210"/>
      <c r="E745" s="210"/>
      <c r="F745" s="319"/>
    </row>
    <row r="746">
      <c r="A746" s="210"/>
      <c r="B746" s="317"/>
      <c r="C746" s="318"/>
      <c r="D746" s="210"/>
      <c r="E746" s="210"/>
      <c r="F746" s="319"/>
    </row>
    <row r="747">
      <c r="A747" s="210"/>
      <c r="B747" s="317"/>
      <c r="C747" s="318"/>
      <c r="D747" s="210"/>
      <c r="E747" s="210"/>
      <c r="F747" s="319"/>
    </row>
    <row r="748">
      <c r="A748" s="210"/>
      <c r="B748" s="317"/>
      <c r="C748" s="318"/>
      <c r="D748" s="210"/>
      <c r="E748" s="210"/>
      <c r="F748" s="319"/>
    </row>
    <row r="749">
      <c r="A749" s="210"/>
      <c r="B749" s="317"/>
      <c r="C749" s="318"/>
      <c r="D749" s="210"/>
      <c r="E749" s="210"/>
      <c r="F749" s="319"/>
    </row>
    <row r="750">
      <c r="A750" s="210"/>
      <c r="B750" s="317"/>
      <c r="C750" s="318"/>
      <c r="D750" s="210"/>
      <c r="E750" s="210"/>
      <c r="F750" s="319"/>
    </row>
    <row r="751">
      <c r="A751" s="210"/>
      <c r="B751" s="317"/>
      <c r="C751" s="318"/>
      <c r="D751" s="210"/>
      <c r="E751" s="210"/>
      <c r="F751" s="319"/>
    </row>
    <row r="752">
      <c r="A752" s="210"/>
      <c r="B752" s="317"/>
      <c r="C752" s="318"/>
      <c r="D752" s="210"/>
      <c r="E752" s="210"/>
      <c r="F752" s="319"/>
    </row>
    <row r="753">
      <c r="A753" s="210"/>
      <c r="B753" s="317"/>
      <c r="C753" s="318"/>
      <c r="D753" s="210"/>
      <c r="E753" s="210"/>
      <c r="F753" s="319"/>
    </row>
    <row r="754">
      <c r="A754" s="210"/>
      <c r="B754" s="317"/>
      <c r="C754" s="318"/>
      <c r="D754" s="210"/>
      <c r="E754" s="210"/>
      <c r="F754" s="319"/>
    </row>
    <row r="755">
      <c r="A755" s="210"/>
      <c r="B755" s="317"/>
      <c r="C755" s="318"/>
      <c r="D755" s="210"/>
      <c r="E755" s="210"/>
      <c r="F755" s="319"/>
    </row>
    <row r="756">
      <c r="A756" s="210"/>
      <c r="B756" s="317"/>
      <c r="C756" s="318"/>
      <c r="D756" s="210"/>
      <c r="E756" s="210"/>
      <c r="F756" s="319"/>
    </row>
    <row r="757">
      <c r="A757" s="210"/>
      <c r="B757" s="317"/>
      <c r="C757" s="318"/>
      <c r="D757" s="210"/>
      <c r="E757" s="210"/>
      <c r="F757" s="319"/>
    </row>
    <row r="758">
      <c r="A758" s="210"/>
      <c r="B758" s="317"/>
      <c r="C758" s="318"/>
      <c r="D758" s="210"/>
      <c r="E758" s="210"/>
      <c r="F758" s="319"/>
    </row>
    <row r="759">
      <c r="A759" s="210"/>
      <c r="B759" s="317"/>
      <c r="C759" s="318"/>
      <c r="D759" s="210"/>
      <c r="E759" s="210"/>
      <c r="F759" s="319"/>
    </row>
    <row r="760">
      <c r="A760" s="210"/>
      <c r="B760" s="317"/>
      <c r="C760" s="318"/>
      <c r="D760" s="210"/>
      <c r="E760" s="210"/>
      <c r="F760" s="319"/>
    </row>
    <row r="761">
      <c r="A761" s="210"/>
      <c r="B761" s="317"/>
      <c r="C761" s="318"/>
      <c r="D761" s="210"/>
      <c r="E761" s="210"/>
      <c r="F761" s="319"/>
    </row>
    <row r="762">
      <c r="A762" s="210"/>
      <c r="B762" s="317"/>
      <c r="C762" s="318"/>
      <c r="D762" s="210"/>
      <c r="E762" s="210"/>
      <c r="F762" s="319"/>
    </row>
    <row r="763">
      <c r="A763" s="210"/>
      <c r="B763" s="317"/>
      <c r="C763" s="318"/>
      <c r="D763" s="210"/>
      <c r="E763" s="210"/>
      <c r="F763" s="319"/>
    </row>
    <row r="764">
      <c r="A764" s="210"/>
      <c r="B764" s="317"/>
      <c r="C764" s="318"/>
      <c r="D764" s="210"/>
      <c r="E764" s="210"/>
      <c r="F764" s="319"/>
    </row>
    <row r="765">
      <c r="A765" s="210"/>
      <c r="B765" s="317"/>
      <c r="C765" s="318"/>
      <c r="D765" s="210"/>
      <c r="E765" s="210"/>
      <c r="F765" s="319"/>
    </row>
    <row r="766">
      <c r="A766" s="210"/>
      <c r="B766" s="317"/>
      <c r="C766" s="318"/>
      <c r="D766" s="210"/>
      <c r="E766" s="210"/>
      <c r="F766" s="319"/>
    </row>
    <row r="767">
      <c r="A767" s="210"/>
      <c r="B767" s="317"/>
      <c r="C767" s="318"/>
      <c r="D767" s="210"/>
      <c r="E767" s="210"/>
      <c r="F767" s="319"/>
    </row>
    <row r="768">
      <c r="A768" s="210"/>
      <c r="B768" s="317"/>
      <c r="C768" s="318"/>
      <c r="D768" s="210"/>
      <c r="E768" s="210"/>
      <c r="F768" s="319"/>
    </row>
    <row r="769">
      <c r="A769" s="210"/>
      <c r="B769" s="317"/>
      <c r="C769" s="318"/>
      <c r="D769" s="210"/>
      <c r="E769" s="210"/>
      <c r="F769" s="319"/>
    </row>
    <row r="770">
      <c r="A770" s="210"/>
      <c r="B770" s="317"/>
      <c r="C770" s="318"/>
      <c r="D770" s="210"/>
      <c r="E770" s="210"/>
      <c r="F770" s="319"/>
    </row>
    <row r="771">
      <c r="A771" s="210"/>
      <c r="B771" s="317"/>
      <c r="C771" s="318"/>
      <c r="D771" s="210"/>
      <c r="E771" s="210"/>
      <c r="F771" s="319"/>
    </row>
    <row r="772">
      <c r="A772" s="210"/>
      <c r="B772" s="317"/>
      <c r="C772" s="318"/>
      <c r="D772" s="210"/>
      <c r="E772" s="210"/>
      <c r="F772" s="319"/>
    </row>
    <row r="773">
      <c r="A773" s="210"/>
      <c r="B773" s="317"/>
      <c r="C773" s="318"/>
      <c r="D773" s="210"/>
      <c r="E773" s="210"/>
      <c r="F773" s="319"/>
    </row>
    <row r="774">
      <c r="A774" s="210"/>
      <c r="B774" s="317"/>
      <c r="C774" s="318"/>
      <c r="D774" s="210"/>
      <c r="E774" s="210"/>
      <c r="F774" s="319"/>
    </row>
    <row r="775">
      <c r="A775" s="210"/>
      <c r="B775" s="317"/>
      <c r="C775" s="318"/>
      <c r="D775" s="210"/>
      <c r="E775" s="210"/>
      <c r="F775" s="319"/>
    </row>
    <row r="776">
      <c r="A776" s="210"/>
      <c r="B776" s="317"/>
      <c r="C776" s="318"/>
      <c r="D776" s="210"/>
      <c r="E776" s="210"/>
      <c r="F776" s="319"/>
    </row>
    <row r="777">
      <c r="A777" s="210"/>
      <c r="B777" s="317"/>
      <c r="C777" s="318"/>
      <c r="D777" s="210"/>
      <c r="E777" s="210"/>
      <c r="F777" s="319"/>
    </row>
    <row r="778">
      <c r="A778" s="210"/>
      <c r="B778" s="317"/>
      <c r="C778" s="318"/>
      <c r="D778" s="210"/>
      <c r="E778" s="210"/>
      <c r="F778" s="319"/>
    </row>
    <row r="779">
      <c r="A779" s="210"/>
      <c r="B779" s="317"/>
      <c r="C779" s="318"/>
      <c r="D779" s="210"/>
      <c r="E779" s="210"/>
      <c r="F779" s="319"/>
    </row>
    <row r="780">
      <c r="A780" s="210"/>
      <c r="B780" s="317"/>
      <c r="C780" s="318"/>
      <c r="D780" s="210"/>
      <c r="E780" s="210"/>
      <c r="F780" s="319"/>
    </row>
    <row r="781">
      <c r="A781" s="210"/>
      <c r="B781" s="317"/>
      <c r="C781" s="318"/>
      <c r="D781" s="210"/>
      <c r="E781" s="210"/>
      <c r="F781" s="319"/>
    </row>
    <row r="782">
      <c r="A782" s="210"/>
      <c r="B782" s="317"/>
      <c r="C782" s="318"/>
      <c r="D782" s="210"/>
      <c r="E782" s="210"/>
      <c r="F782" s="319"/>
    </row>
    <row r="783">
      <c r="A783" s="210"/>
      <c r="B783" s="317"/>
      <c r="C783" s="318"/>
      <c r="D783" s="210"/>
      <c r="E783" s="210"/>
      <c r="F783" s="319"/>
    </row>
    <row r="784">
      <c r="A784" s="210"/>
      <c r="B784" s="317"/>
      <c r="C784" s="318"/>
      <c r="D784" s="210"/>
      <c r="E784" s="210"/>
      <c r="F784" s="319"/>
    </row>
    <row r="785">
      <c r="A785" s="210"/>
      <c r="B785" s="317"/>
      <c r="C785" s="318"/>
      <c r="D785" s="210"/>
      <c r="E785" s="210"/>
      <c r="F785" s="319"/>
    </row>
    <row r="786">
      <c r="A786" s="210"/>
      <c r="B786" s="317"/>
      <c r="C786" s="318"/>
      <c r="D786" s="210"/>
      <c r="E786" s="210"/>
      <c r="F786" s="319"/>
    </row>
    <row r="787">
      <c r="A787" s="210"/>
      <c r="B787" s="317"/>
      <c r="C787" s="318"/>
      <c r="D787" s="210"/>
      <c r="E787" s="210"/>
      <c r="F787" s="319"/>
    </row>
    <row r="788">
      <c r="A788" s="210"/>
      <c r="B788" s="317"/>
      <c r="C788" s="318"/>
      <c r="D788" s="210"/>
      <c r="E788" s="210"/>
      <c r="F788" s="319"/>
    </row>
    <row r="789">
      <c r="A789" s="210"/>
      <c r="B789" s="317"/>
      <c r="C789" s="318"/>
      <c r="D789" s="210"/>
      <c r="E789" s="210"/>
      <c r="F789" s="319"/>
    </row>
    <row r="790">
      <c r="A790" s="210"/>
      <c r="B790" s="317"/>
      <c r="C790" s="318"/>
      <c r="D790" s="210"/>
      <c r="E790" s="210"/>
      <c r="F790" s="319"/>
    </row>
    <row r="791">
      <c r="A791" s="210"/>
      <c r="B791" s="317"/>
      <c r="C791" s="318"/>
      <c r="D791" s="210"/>
      <c r="E791" s="210"/>
      <c r="F791" s="319"/>
    </row>
    <row r="792">
      <c r="A792" s="210"/>
      <c r="B792" s="317"/>
      <c r="C792" s="318"/>
      <c r="D792" s="210"/>
      <c r="E792" s="210"/>
      <c r="F792" s="319"/>
    </row>
    <row r="793">
      <c r="A793" s="210"/>
      <c r="B793" s="317"/>
      <c r="C793" s="318"/>
      <c r="D793" s="210"/>
      <c r="E793" s="210"/>
      <c r="F793" s="319"/>
    </row>
    <row r="794">
      <c r="A794" s="210"/>
      <c r="B794" s="317"/>
      <c r="C794" s="318"/>
      <c r="D794" s="210"/>
      <c r="E794" s="210"/>
      <c r="F794" s="319"/>
    </row>
    <row r="795">
      <c r="A795" s="210"/>
      <c r="B795" s="317"/>
      <c r="C795" s="318"/>
      <c r="D795" s="210"/>
      <c r="E795" s="210"/>
      <c r="F795" s="319"/>
    </row>
    <row r="796">
      <c r="A796" s="210"/>
      <c r="B796" s="317"/>
      <c r="C796" s="318"/>
      <c r="D796" s="210"/>
      <c r="E796" s="210"/>
      <c r="F796" s="319"/>
    </row>
    <row r="797">
      <c r="A797" s="210"/>
      <c r="B797" s="317"/>
      <c r="C797" s="318"/>
      <c r="D797" s="210"/>
      <c r="E797" s="210"/>
      <c r="F797" s="319"/>
    </row>
    <row r="798">
      <c r="A798" s="210"/>
      <c r="B798" s="317"/>
      <c r="C798" s="318"/>
      <c r="D798" s="210"/>
      <c r="E798" s="210"/>
      <c r="F798" s="319"/>
    </row>
    <row r="799">
      <c r="A799" s="210"/>
      <c r="B799" s="317"/>
      <c r="C799" s="318"/>
      <c r="D799" s="210"/>
      <c r="E799" s="210"/>
      <c r="F799" s="319"/>
    </row>
    <row r="800">
      <c r="A800" s="210"/>
      <c r="B800" s="317"/>
      <c r="C800" s="318"/>
      <c r="D800" s="210"/>
      <c r="E800" s="210"/>
      <c r="F800" s="319"/>
    </row>
    <row r="801">
      <c r="A801" s="210"/>
      <c r="B801" s="317"/>
      <c r="C801" s="318"/>
      <c r="D801" s="210"/>
      <c r="E801" s="210"/>
      <c r="F801" s="319"/>
    </row>
    <row r="802">
      <c r="A802" s="210"/>
      <c r="B802" s="317"/>
      <c r="C802" s="318"/>
      <c r="D802" s="210"/>
      <c r="E802" s="210"/>
      <c r="F802" s="319"/>
    </row>
    <row r="803">
      <c r="A803" s="210"/>
      <c r="B803" s="317"/>
      <c r="C803" s="318"/>
      <c r="D803" s="210"/>
      <c r="E803" s="210"/>
      <c r="F803" s="319"/>
    </row>
    <row r="804">
      <c r="A804" s="210"/>
      <c r="B804" s="317"/>
      <c r="C804" s="318"/>
      <c r="D804" s="210"/>
      <c r="E804" s="210"/>
      <c r="F804" s="319"/>
    </row>
    <row r="805">
      <c r="A805" s="210"/>
      <c r="B805" s="317"/>
      <c r="C805" s="318"/>
      <c r="D805" s="210"/>
      <c r="E805" s="210"/>
      <c r="F805" s="319"/>
    </row>
    <row r="806">
      <c r="A806" s="210"/>
      <c r="B806" s="317"/>
      <c r="C806" s="318"/>
      <c r="D806" s="210"/>
      <c r="E806" s="210"/>
      <c r="F806" s="319"/>
    </row>
    <row r="807">
      <c r="A807" s="210"/>
      <c r="B807" s="317"/>
      <c r="C807" s="318"/>
      <c r="D807" s="210"/>
      <c r="E807" s="210"/>
      <c r="F807" s="319"/>
    </row>
    <row r="808">
      <c r="A808" s="210"/>
      <c r="B808" s="317"/>
      <c r="C808" s="318"/>
      <c r="D808" s="210"/>
      <c r="E808" s="210"/>
      <c r="F808" s="319"/>
    </row>
    <row r="809">
      <c r="A809" s="210"/>
      <c r="B809" s="317"/>
      <c r="C809" s="318"/>
      <c r="D809" s="210"/>
      <c r="E809" s="210"/>
      <c r="F809" s="319"/>
    </row>
    <row r="810">
      <c r="A810" s="210"/>
      <c r="B810" s="317"/>
      <c r="C810" s="318"/>
      <c r="D810" s="210"/>
      <c r="E810" s="210"/>
      <c r="F810" s="319"/>
    </row>
    <row r="811">
      <c r="A811" s="210"/>
      <c r="B811" s="317"/>
      <c r="C811" s="318"/>
      <c r="D811" s="210"/>
      <c r="E811" s="210"/>
      <c r="F811" s="319"/>
    </row>
    <row r="812">
      <c r="A812" s="210"/>
      <c r="B812" s="317"/>
      <c r="C812" s="318"/>
      <c r="D812" s="210"/>
      <c r="E812" s="210"/>
      <c r="F812" s="319"/>
    </row>
    <row r="813">
      <c r="A813" s="210"/>
      <c r="B813" s="317"/>
      <c r="C813" s="318"/>
      <c r="D813" s="210"/>
      <c r="E813" s="210"/>
      <c r="F813" s="319"/>
    </row>
    <row r="814">
      <c r="A814" s="210"/>
      <c r="B814" s="317"/>
      <c r="C814" s="318"/>
      <c r="D814" s="210"/>
      <c r="E814" s="210"/>
      <c r="F814" s="319"/>
    </row>
    <row r="815">
      <c r="A815" s="210"/>
      <c r="B815" s="317"/>
      <c r="C815" s="318"/>
      <c r="D815" s="210"/>
      <c r="E815" s="210"/>
      <c r="F815" s="319"/>
    </row>
    <row r="816">
      <c r="A816" s="210"/>
      <c r="B816" s="317"/>
      <c r="C816" s="318"/>
      <c r="D816" s="210"/>
      <c r="E816" s="210"/>
      <c r="F816" s="319"/>
    </row>
    <row r="817">
      <c r="A817" s="210"/>
      <c r="B817" s="317"/>
      <c r="C817" s="318"/>
      <c r="D817" s="210"/>
      <c r="E817" s="210"/>
      <c r="F817" s="319"/>
    </row>
    <row r="818">
      <c r="A818" s="210"/>
      <c r="B818" s="317"/>
      <c r="C818" s="318"/>
      <c r="D818" s="210"/>
      <c r="E818" s="210"/>
      <c r="F818" s="319"/>
    </row>
    <row r="819">
      <c r="A819" s="210"/>
      <c r="B819" s="317"/>
      <c r="C819" s="318"/>
      <c r="D819" s="210"/>
      <c r="E819" s="210"/>
      <c r="F819" s="319"/>
    </row>
    <row r="820">
      <c r="A820" s="210"/>
      <c r="B820" s="317"/>
      <c r="C820" s="318"/>
      <c r="D820" s="210"/>
      <c r="E820" s="210"/>
      <c r="F820" s="319"/>
    </row>
    <row r="821">
      <c r="A821" s="210"/>
      <c r="B821" s="317"/>
      <c r="C821" s="318"/>
      <c r="D821" s="210"/>
      <c r="E821" s="210"/>
      <c r="F821" s="319"/>
    </row>
    <row r="822">
      <c r="A822" s="210"/>
      <c r="B822" s="317"/>
      <c r="C822" s="318"/>
      <c r="D822" s="210"/>
      <c r="E822" s="210"/>
      <c r="F822" s="319"/>
    </row>
    <row r="823">
      <c r="A823" s="210"/>
      <c r="B823" s="317"/>
      <c r="C823" s="318"/>
      <c r="D823" s="210"/>
      <c r="E823" s="210"/>
      <c r="F823" s="319"/>
    </row>
    <row r="824">
      <c r="A824" s="210"/>
      <c r="B824" s="317"/>
      <c r="C824" s="318"/>
      <c r="D824" s="210"/>
      <c r="E824" s="210"/>
      <c r="F824" s="319"/>
    </row>
    <row r="825">
      <c r="A825" s="210"/>
      <c r="B825" s="317"/>
      <c r="C825" s="318"/>
      <c r="D825" s="210"/>
      <c r="E825" s="210"/>
      <c r="F825" s="319"/>
    </row>
    <row r="826">
      <c r="A826" s="210"/>
      <c r="B826" s="317"/>
      <c r="C826" s="318"/>
      <c r="D826" s="210"/>
      <c r="E826" s="210"/>
      <c r="F826" s="319"/>
    </row>
    <row r="827">
      <c r="A827" s="210"/>
      <c r="B827" s="317"/>
      <c r="C827" s="318"/>
      <c r="D827" s="210"/>
      <c r="E827" s="210"/>
      <c r="F827" s="319"/>
    </row>
    <row r="828">
      <c r="A828" s="210"/>
      <c r="B828" s="317"/>
      <c r="C828" s="318"/>
      <c r="D828" s="210"/>
      <c r="E828" s="210"/>
      <c r="F828" s="319"/>
    </row>
    <row r="829">
      <c r="A829" s="210"/>
      <c r="B829" s="317"/>
      <c r="C829" s="318"/>
      <c r="D829" s="210"/>
      <c r="E829" s="210"/>
      <c r="F829" s="319"/>
    </row>
    <row r="830">
      <c r="A830" s="210"/>
      <c r="B830" s="317"/>
      <c r="C830" s="318"/>
      <c r="D830" s="210"/>
      <c r="E830" s="210"/>
      <c r="F830" s="319"/>
    </row>
    <row r="831">
      <c r="A831" s="210"/>
      <c r="B831" s="317"/>
      <c r="C831" s="318"/>
      <c r="D831" s="210"/>
      <c r="E831" s="210"/>
      <c r="F831" s="319"/>
    </row>
    <row r="832">
      <c r="A832" s="210"/>
      <c r="B832" s="317"/>
      <c r="C832" s="318"/>
      <c r="D832" s="210"/>
      <c r="E832" s="210"/>
      <c r="F832" s="319"/>
    </row>
    <row r="833">
      <c r="A833" s="210"/>
      <c r="B833" s="317"/>
      <c r="C833" s="318"/>
      <c r="D833" s="210"/>
      <c r="E833" s="210"/>
      <c r="F833" s="319"/>
    </row>
    <row r="834">
      <c r="A834" s="210"/>
      <c r="B834" s="317"/>
      <c r="C834" s="318"/>
      <c r="D834" s="210"/>
      <c r="E834" s="210"/>
      <c r="F834" s="319"/>
    </row>
    <row r="835">
      <c r="A835" s="210"/>
      <c r="B835" s="317"/>
      <c r="C835" s="318"/>
      <c r="D835" s="210"/>
      <c r="E835" s="210"/>
      <c r="F835" s="319"/>
    </row>
    <row r="836">
      <c r="A836" s="210"/>
      <c r="B836" s="317"/>
      <c r="C836" s="318"/>
      <c r="D836" s="210"/>
      <c r="E836" s="210"/>
      <c r="F836" s="319"/>
    </row>
    <row r="837">
      <c r="A837" s="210"/>
      <c r="B837" s="317"/>
      <c r="C837" s="318"/>
      <c r="D837" s="210"/>
      <c r="E837" s="210"/>
      <c r="F837" s="319"/>
    </row>
    <row r="838">
      <c r="A838" s="210"/>
      <c r="B838" s="317"/>
      <c r="C838" s="318"/>
      <c r="D838" s="210"/>
      <c r="E838" s="210"/>
      <c r="F838" s="319"/>
    </row>
    <row r="839">
      <c r="A839" s="210"/>
      <c r="B839" s="317"/>
      <c r="C839" s="318"/>
      <c r="D839" s="210"/>
      <c r="E839" s="210"/>
      <c r="F839" s="319"/>
    </row>
    <row r="840">
      <c r="A840" s="210"/>
      <c r="B840" s="317"/>
      <c r="C840" s="318"/>
      <c r="D840" s="210"/>
      <c r="E840" s="210"/>
      <c r="F840" s="319"/>
    </row>
    <row r="841">
      <c r="A841" s="210"/>
      <c r="B841" s="317"/>
      <c r="C841" s="318"/>
      <c r="D841" s="210"/>
      <c r="E841" s="210"/>
      <c r="F841" s="319"/>
    </row>
    <row r="842">
      <c r="A842" s="210"/>
      <c r="B842" s="317"/>
      <c r="C842" s="318"/>
      <c r="D842" s="210"/>
      <c r="E842" s="210"/>
      <c r="F842" s="319"/>
    </row>
    <row r="843">
      <c r="A843" s="210"/>
      <c r="B843" s="317"/>
      <c r="C843" s="318"/>
      <c r="D843" s="210"/>
      <c r="E843" s="210"/>
      <c r="F843" s="319"/>
    </row>
    <row r="844">
      <c r="A844" s="210"/>
      <c r="B844" s="317"/>
      <c r="C844" s="318"/>
      <c r="D844" s="210"/>
      <c r="E844" s="210"/>
      <c r="F844" s="319"/>
    </row>
    <row r="845">
      <c r="A845" s="210"/>
      <c r="B845" s="317"/>
      <c r="C845" s="318"/>
      <c r="D845" s="210"/>
      <c r="E845" s="210"/>
      <c r="F845" s="319"/>
    </row>
    <row r="846">
      <c r="A846" s="210"/>
      <c r="B846" s="317"/>
      <c r="C846" s="318"/>
      <c r="D846" s="210"/>
      <c r="E846" s="210"/>
      <c r="F846" s="319"/>
    </row>
    <row r="847">
      <c r="A847" s="210"/>
      <c r="B847" s="317"/>
      <c r="C847" s="318"/>
      <c r="D847" s="210"/>
      <c r="E847" s="210"/>
      <c r="F847" s="319"/>
    </row>
    <row r="848">
      <c r="A848" s="210"/>
      <c r="B848" s="317"/>
      <c r="C848" s="318"/>
      <c r="D848" s="210"/>
      <c r="E848" s="210"/>
      <c r="F848" s="319"/>
    </row>
    <row r="849">
      <c r="A849" s="210"/>
      <c r="B849" s="317"/>
      <c r="C849" s="318"/>
      <c r="D849" s="210"/>
      <c r="E849" s="210"/>
      <c r="F849" s="319"/>
    </row>
    <row r="850">
      <c r="A850" s="210"/>
      <c r="B850" s="317"/>
      <c r="C850" s="318"/>
      <c r="D850" s="210"/>
      <c r="E850" s="210"/>
      <c r="F850" s="319"/>
    </row>
    <row r="851">
      <c r="A851" s="210"/>
      <c r="B851" s="317"/>
      <c r="C851" s="318"/>
      <c r="D851" s="210"/>
      <c r="E851" s="210"/>
      <c r="F851" s="319"/>
    </row>
    <row r="852">
      <c r="A852" s="210"/>
      <c r="B852" s="317"/>
      <c r="C852" s="318"/>
      <c r="D852" s="210"/>
      <c r="E852" s="210"/>
      <c r="F852" s="319"/>
    </row>
    <row r="853">
      <c r="A853" s="210"/>
      <c r="B853" s="317"/>
      <c r="C853" s="318"/>
      <c r="D853" s="210"/>
      <c r="E853" s="210"/>
      <c r="F853" s="319"/>
    </row>
    <row r="854">
      <c r="A854" s="210"/>
      <c r="B854" s="317"/>
      <c r="C854" s="318"/>
      <c r="D854" s="210"/>
      <c r="E854" s="210"/>
      <c r="F854" s="319"/>
    </row>
    <row r="855">
      <c r="A855" s="210"/>
      <c r="B855" s="317"/>
      <c r="C855" s="318"/>
      <c r="D855" s="210"/>
      <c r="E855" s="210"/>
      <c r="F855" s="319"/>
    </row>
    <row r="856">
      <c r="A856" s="210"/>
      <c r="B856" s="317"/>
      <c r="C856" s="318"/>
      <c r="D856" s="210"/>
      <c r="E856" s="210"/>
      <c r="F856" s="319"/>
    </row>
    <row r="857">
      <c r="A857" s="210"/>
      <c r="B857" s="317"/>
      <c r="C857" s="318"/>
      <c r="D857" s="210"/>
      <c r="E857" s="210"/>
      <c r="F857" s="319"/>
    </row>
    <row r="858">
      <c r="A858" s="210"/>
      <c r="B858" s="317"/>
      <c r="C858" s="318"/>
      <c r="D858" s="210"/>
      <c r="E858" s="210"/>
      <c r="F858" s="319"/>
    </row>
    <row r="859">
      <c r="A859" s="210"/>
      <c r="B859" s="317"/>
      <c r="C859" s="318"/>
      <c r="D859" s="210"/>
      <c r="E859" s="210"/>
      <c r="F859" s="319"/>
    </row>
    <row r="860">
      <c r="A860" s="210"/>
      <c r="B860" s="317"/>
      <c r="C860" s="318"/>
      <c r="D860" s="210"/>
      <c r="E860" s="210"/>
      <c r="F860" s="319"/>
    </row>
    <row r="861">
      <c r="A861" s="210"/>
      <c r="B861" s="317"/>
      <c r="C861" s="318"/>
      <c r="D861" s="210"/>
      <c r="E861" s="210"/>
      <c r="F861" s="319"/>
    </row>
    <row r="862">
      <c r="A862" s="210"/>
      <c r="B862" s="317"/>
      <c r="C862" s="318"/>
      <c r="D862" s="210"/>
      <c r="E862" s="210"/>
      <c r="F862" s="319"/>
    </row>
    <row r="863">
      <c r="A863" s="210"/>
      <c r="B863" s="317"/>
      <c r="C863" s="318"/>
      <c r="D863" s="210"/>
      <c r="E863" s="210"/>
      <c r="F863" s="319"/>
    </row>
    <row r="864">
      <c r="A864" s="210"/>
      <c r="B864" s="317"/>
      <c r="C864" s="318"/>
      <c r="D864" s="210"/>
      <c r="E864" s="210"/>
      <c r="F864" s="319"/>
    </row>
    <row r="865">
      <c r="A865" s="210"/>
      <c r="B865" s="317"/>
      <c r="C865" s="318"/>
      <c r="D865" s="210"/>
      <c r="E865" s="210"/>
      <c r="F865" s="319"/>
    </row>
    <row r="866">
      <c r="A866" s="210"/>
      <c r="B866" s="317"/>
      <c r="C866" s="318"/>
      <c r="D866" s="210"/>
      <c r="E866" s="210"/>
      <c r="F866" s="319"/>
    </row>
    <row r="867">
      <c r="A867" s="210"/>
      <c r="B867" s="317"/>
      <c r="C867" s="318"/>
      <c r="D867" s="210"/>
      <c r="E867" s="210"/>
      <c r="F867" s="319"/>
    </row>
    <row r="868">
      <c r="A868" s="210"/>
      <c r="B868" s="317"/>
      <c r="C868" s="318"/>
      <c r="D868" s="210"/>
      <c r="E868" s="210"/>
      <c r="F868" s="319"/>
    </row>
    <row r="869">
      <c r="A869" s="210"/>
      <c r="B869" s="317"/>
      <c r="C869" s="318"/>
      <c r="D869" s="210"/>
      <c r="E869" s="210"/>
      <c r="F869" s="319"/>
    </row>
    <row r="870">
      <c r="A870" s="210"/>
      <c r="B870" s="317"/>
      <c r="C870" s="318"/>
      <c r="D870" s="210"/>
      <c r="E870" s="210"/>
      <c r="F870" s="319"/>
    </row>
    <row r="871">
      <c r="A871" s="210"/>
      <c r="B871" s="317"/>
      <c r="C871" s="318"/>
      <c r="D871" s="210"/>
      <c r="E871" s="210"/>
      <c r="F871" s="319"/>
    </row>
    <row r="872">
      <c r="A872" s="210"/>
      <c r="B872" s="317"/>
      <c r="C872" s="318"/>
      <c r="D872" s="210"/>
      <c r="E872" s="210"/>
      <c r="F872" s="319"/>
    </row>
    <row r="873">
      <c r="A873" s="210"/>
      <c r="B873" s="317"/>
      <c r="C873" s="318"/>
      <c r="D873" s="210"/>
      <c r="E873" s="210"/>
      <c r="F873" s="319"/>
    </row>
    <row r="874">
      <c r="A874" s="210"/>
      <c r="B874" s="317"/>
      <c r="C874" s="318"/>
      <c r="D874" s="210"/>
      <c r="E874" s="210"/>
      <c r="F874" s="319"/>
    </row>
    <row r="875">
      <c r="A875" s="210"/>
      <c r="B875" s="317"/>
      <c r="C875" s="318"/>
      <c r="D875" s="210"/>
      <c r="E875" s="210"/>
      <c r="F875" s="319"/>
    </row>
    <row r="876">
      <c r="A876" s="210"/>
      <c r="B876" s="317"/>
      <c r="C876" s="318"/>
      <c r="D876" s="210"/>
      <c r="E876" s="210"/>
      <c r="F876" s="319"/>
    </row>
    <row r="877">
      <c r="A877" s="210"/>
      <c r="B877" s="317"/>
      <c r="C877" s="318"/>
      <c r="D877" s="210"/>
      <c r="E877" s="210"/>
      <c r="F877" s="319"/>
    </row>
    <row r="878">
      <c r="A878" s="210"/>
      <c r="B878" s="317"/>
      <c r="C878" s="318"/>
      <c r="D878" s="210"/>
      <c r="E878" s="210"/>
      <c r="F878" s="319"/>
    </row>
    <row r="879">
      <c r="A879" s="210"/>
      <c r="B879" s="317"/>
      <c r="C879" s="318"/>
      <c r="D879" s="210"/>
      <c r="E879" s="210"/>
      <c r="F879" s="319"/>
    </row>
    <row r="880">
      <c r="A880" s="210"/>
      <c r="B880" s="317"/>
      <c r="C880" s="318"/>
      <c r="D880" s="210"/>
      <c r="E880" s="210"/>
      <c r="F880" s="319"/>
    </row>
    <row r="881">
      <c r="A881" s="210"/>
      <c r="B881" s="317"/>
      <c r="C881" s="318"/>
      <c r="D881" s="210"/>
      <c r="E881" s="210"/>
      <c r="F881" s="319"/>
    </row>
    <row r="882">
      <c r="A882" s="210"/>
      <c r="B882" s="317"/>
      <c r="C882" s="318"/>
      <c r="D882" s="210"/>
      <c r="E882" s="210"/>
      <c r="F882" s="319"/>
    </row>
    <row r="883">
      <c r="A883" s="210"/>
      <c r="B883" s="317"/>
      <c r="C883" s="318"/>
      <c r="D883" s="210"/>
      <c r="E883" s="210"/>
      <c r="F883" s="319"/>
    </row>
    <row r="884">
      <c r="A884" s="210"/>
      <c r="B884" s="317"/>
      <c r="C884" s="318"/>
      <c r="D884" s="210"/>
      <c r="E884" s="210"/>
      <c r="F884" s="319"/>
    </row>
    <row r="885">
      <c r="A885" s="210"/>
      <c r="B885" s="317"/>
      <c r="C885" s="318"/>
      <c r="D885" s="210"/>
      <c r="E885" s="210"/>
      <c r="F885" s="319"/>
    </row>
    <row r="886">
      <c r="A886" s="210"/>
      <c r="B886" s="317"/>
      <c r="C886" s="318"/>
      <c r="D886" s="210"/>
      <c r="E886" s="210"/>
      <c r="F886" s="319"/>
    </row>
    <row r="887">
      <c r="A887" s="210"/>
      <c r="B887" s="317"/>
      <c r="C887" s="318"/>
      <c r="D887" s="210"/>
      <c r="E887" s="210"/>
      <c r="F887" s="319"/>
    </row>
    <row r="888">
      <c r="A888" s="210"/>
      <c r="B888" s="317"/>
      <c r="C888" s="318"/>
      <c r="D888" s="210"/>
      <c r="E888" s="210"/>
      <c r="F888" s="319"/>
    </row>
    <row r="889">
      <c r="A889" s="210"/>
      <c r="B889" s="317"/>
      <c r="C889" s="318"/>
      <c r="D889" s="210"/>
      <c r="E889" s="210"/>
      <c r="F889" s="319"/>
    </row>
    <row r="890">
      <c r="A890" s="210"/>
      <c r="B890" s="317"/>
      <c r="C890" s="318"/>
      <c r="D890" s="210"/>
      <c r="E890" s="210"/>
      <c r="F890" s="319"/>
    </row>
    <row r="891">
      <c r="A891" s="210"/>
      <c r="B891" s="317"/>
      <c r="C891" s="318"/>
      <c r="D891" s="210"/>
      <c r="E891" s="210"/>
      <c r="F891" s="319"/>
    </row>
    <row r="892">
      <c r="A892" s="210"/>
      <c r="B892" s="317"/>
      <c r="C892" s="318"/>
      <c r="D892" s="210"/>
      <c r="E892" s="210"/>
      <c r="F892" s="319"/>
    </row>
    <row r="893">
      <c r="A893" s="210"/>
      <c r="B893" s="317"/>
      <c r="C893" s="318"/>
      <c r="D893" s="210"/>
      <c r="E893" s="210"/>
      <c r="F893" s="319"/>
    </row>
    <row r="894">
      <c r="A894" s="210"/>
      <c r="B894" s="317"/>
      <c r="C894" s="318"/>
      <c r="D894" s="210"/>
      <c r="E894" s="210"/>
      <c r="F894" s="319"/>
    </row>
    <row r="895">
      <c r="A895" s="210"/>
      <c r="B895" s="317"/>
      <c r="C895" s="318"/>
      <c r="D895" s="210"/>
      <c r="E895" s="210"/>
      <c r="F895" s="319"/>
    </row>
    <row r="896">
      <c r="A896" s="210"/>
      <c r="B896" s="317"/>
      <c r="C896" s="318"/>
      <c r="D896" s="210"/>
      <c r="E896" s="210"/>
      <c r="F896" s="319"/>
    </row>
    <row r="897">
      <c r="A897" s="210"/>
      <c r="B897" s="317"/>
      <c r="C897" s="318"/>
      <c r="D897" s="210"/>
      <c r="E897" s="210"/>
      <c r="F897" s="319"/>
    </row>
    <row r="898">
      <c r="A898" s="210"/>
      <c r="B898" s="317"/>
      <c r="C898" s="318"/>
      <c r="D898" s="210"/>
      <c r="E898" s="210"/>
      <c r="F898" s="319"/>
    </row>
    <row r="899">
      <c r="A899" s="210"/>
      <c r="B899" s="317"/>
      <c r="C899" s="318"/>
      <c r="D899" s="210"/>
      <c r="E899" s="210"/>
      <c r="F899" s="319"/>
    </row>
    <row r="900">
      <c r="A900" s="210"/>
      <c r="B900" s="317"/>
      <c r="C900" s="318"/>
      <c r="D900" s="210"/>
      <c r="E900" s="210"/>
      <c r="F900" s="319"/>
    </row>
    <row r="901">
      <c r="A901" s="210"/>
      <c r="B901" s="317"/>
      <c r="C901" s="318"/>
      <c r="D901" s="210"/>
      <c r="E901" s="210"/>
      <c r="F901" s="319"/>
    </row>
    <row r="902">
      <c r="A902" s="210"/>
      <c r="B902" s="317"/>
      <c r="C902" s="318"/>
      <c r="D902" s="210"/>
      <c r="E902" s="210"/>
      <c r="F902" s="319"/>
    </row>
    <row r="903">
      <c r="A903" s="210"/>
      <c r="B903" s="317"/>
      <c r="C903" s="318"/>
      <c r="D903" s="210"/>
      <c r="E903" s="210"/>
      <c r="F903" s="319"/>
    </row>
    <row r="904">
      <c r="A904" s="210"/>
      <c r="B904" s="317"/>
      <c r="C904" s="318"/>
      <c r="D904" s="210"/>
      <c r="E904" s="210"/>
      <c r="F904" s="319"/>
    </row>
    <row r="905">
      <c r="A905" s="210"/>
      <c r="B905" s="317"/>
      <c r="C905" s="318"/>
      <c r="D905" s="210"/>
      <c r="E905" s="210"/>
      <c r="F905" s="319"/>
    </row>
    <row r="906">
      <c r="A906" s="210"/>
      <c r="B906" s="317"/>
      <c r="C906" s="318"/>
      <c r="D906" s="210"/>
      <c r="E906" s="210"/>
      <c r="F906" s="319"/>
    </row>
    <row r="907">
      <c r="A907" s="210"/>
      <c r="B907" s="317"/>
      <c r="C907" s="318"/>
      <c r="D907" s="210"/>
      <c r="E907" s="210"/>
      <c r="F907" s="319"/>
    </row>
    <row r="908">
      <c r="A908" s="210"/>
      <c r="B908" s="317"/>
      <c r="C908" s="318"/>
      <c r="D908" s="210"/>
      <c r="E908" s="210"/>
      <c r="F908" s="319"/>
    </row>
    <row r="909">
      <c r="A909" s="210"/>
      <c r="B909" s="317"/>
      <c r="C909" s="318"/>
      <c r="D909" s="210"/>
      <c r="E909" s="210"/>
      <c r="F909" s="319"/>
    </row>
    <row r="910">
      <c r="A910" s="210"/>
      <c r="B910" s="317"/>
      <c r="C910" s="318"/>
      <c r="D910" s="210"/>
      <c r="E910" s="210"/>
      <c r="F910" s="319"/>
    </row>
    <row r="911">
      <c r="A911" s="210"/>
      <c r="B911" s="317"/>
      <c r="C911" s="318"/>
      <c r="D911" s="210"/>
      <c r="E911" s="210"/>
      <c r="F911" s="319"/>
    </row>
    <row r="912">
      <c r="A912" s="210"/>
      <c r="B912" s="317"/>
      <c r="C912" s="318"/>
      <c r="D912" s="210"/>
      <c r="E912" s="210"/>
      <c r="F912" s="319"/>
    </row>
    <row r="913">
      <c r="A913" s="210"/>
      <c r="B913" s="317"/>
      <c r="C913" s="318"/>
      <c r="D913" s="210"/>
      <c r="E913" s="210"/>
      <c r="F913" s="319"/>
    </row>
    <row r="914">
      <c r="A914" s="210"/>
      <c r="B914" s="317"/>
      <c r="C914" s="318"/>
      <c r="D914" s="210"/>
      <c r="E914" s="210"/>
      <c r="F914" s="319"/>
    </row>
    <row r="915">
      <c r="A915" s="210"/>
      <c r="B915" s="317"/>
      <c r="C915" s="318"/>
      <c r="D915" s="210"/>
      <c r="E915" s="210"/>
      <c r="F915" s="319"/>
    </row>
    <row r="916">
      <c r="A916" s="210"/>
      <c r="B916" s="317"/>
      <c r="C916" s="318"/>
      <c r="D916" s="210"/>
      <c r="E916" s="210"/>
      <c r="F916" s="319"/>
    </row>
    <row r="917">
      <c r="A917" s="210"/>
      <c r="B917" s="317"/>
      <c r="C917" s="318"/>
      <c r="D917" s="210"/>
      <c r="E917" s="210"/>
      <c r="F917" s="319"/>
    </row>
    <row r="918">
      <c r="A918" s="210"/>
      <c r="B918" s="317"/>
      <c r="C918" s="318"/>
      <c r="D918" s="210"/>
      <c r="E918" s="210"/>
      <c r="F918" s="319"/>
    </row>
    <row r="919">
      <c r="A919" s="210"/>
      <c r="B919" s="317"/>
      <c r="C919" s="318"/>
      <c r="D919" s="210"/>
      <c r="E919" s="210"/>
      <c r="F919" s="319"/>
    </row>
    <row r="920">
      <c r="A920" s="210"/>
      <c r="B920" s="317"/>
      <c r="C920" s="318"/>
      <c r="D920" s="210"/>
      <c r="E920" s="210"/>
      <c r="F920" s="319"/>
    </row>
    <row r="921">
      <c r="A921" s="210"/>
      <c r="B921" s="317"/>
      <c r="C921" s="318"/>
      <c r="D921" s="210"/>
      <c r="E921" s="210"/>
      <c r="F921" s="319"/>
    </row>
    <row r="922">
      <c r="A922" s="210"/>
      <c r="B922" s="317"/>
      <c r="C922" s="318"/>
      <c r="D922" s="210"/>
      <c r="E922" s="210"/>
      <c r="F922" s="319"/>
    </row>
    <row r="923">
      <c r="A923" s="210"/>
      <c r="B923" s="317"/>
      <c r="C923" s="318"/>
      <c r="D923" s="210"/>
      <c r="E923" s="210"/>
      <c r="F923" s="319"/>
    </row>
    <row r="924">
      <c r="A924" s="210"/>
      <c r="B924" s="317"/>
      <c r="C924" s="318"/>
      <c r="D924" s="210"/>
      <c r="E924" s="210"/>
      <c r="F924" s="319"/>
    </row>
    <row r="925">
      <c r="A925" s="210"/>
      <c r="B925" s="317"/>
      <c r="C925" s="318"/>
      <c r="D925" s="210"/>
      <c r="E925" s="210"/>
      <c r="F925" s="319"/>
    </row>
    <row r="926">
      <c r="A926" s="210"/>
      <c r="B926" s="317"/>
      <c r="C926" s="318"/>
      <c r="D926" s="210"/>
      <c r="E926" s="210"/>
      <c r="F926" s="319"/>
    </row>
    <row r="927">
      <c r="A927" s="210"/>
      <c r="B927" s="317"/>
      <c r="C927" s="318"/>
      <c r="D927" s="210"/>
      <c r="E927" s="210"/>
      <c r="F927" s="319"/>
    </row>
    <row r="928">
      <c r="A928" s="210"/>
      <c r="B928" s="317"/>
      <c r="C928" s="318"/>
      <c r="D928" s="210"/>
      <c r="E928" s="210"/>
      <c r="F928" s="319"/>
    </row>
    <row r="929">
      <c r="A929" s="210"/>
      <c r="B929" s="317"/>
      <c r="C929" s="318"/>
      <c r="D929" s="210"/>
      <c r="E929" s="210"/>
      <c r="F929" s="319"/>
    </row>
    <row r="930">
      <c r="A930" s="210"/>
      <c r="B930" s="317"/>
      <c r="C930" s="318"/>
      <c r="D930" s="210"/>
      <c r="E930" s="210"/>
      <c r="F930" s="319"/>
    </row>
    <row r="931">
      <c r="A931" s="210"/>
      <c r="B931" s="317"/>
      <c r="C931" s="318"/>
      <c r="D931" s="210"/>
      <c r="E931" s="210"/>
      <c r="F931" s="319"/>
    </row>
    <row r="932">
      <c r="A932" s="210"/>
      <c r="B932" s="317"/>
      <c r="C932" s="318"/>
      <c r="D932" s="210"/>
      <c r="E932" s="210"/>
      <c r="F932" s="319"/>
    </row>
    <row r="933">
      <c r="A933" s="210"/>
      <c r="B933" s="317"/>
      <c r="C933" s="318"/>
      <c r="D933" s="210"/>
      <c r="E933" s="210"/>
      <c r="F933" s="319"/>
    </row>
    <row r="934">
      <c r="A934" s="210"/>
      <c r="B934" s="317"/>
      <c r="C934" s="318"/>
      <c r="D934" s="210"/>
      <c r="E934" s="210"/>
      <c r="F934" s="319"/>
    </row>
    <row r="935">
      <c r="A935" s="210"/>
      <c r="B935" s="317"/>
      <c r="C935" s="318"/>
      <c r="D935" s="210"/>
      <c r="E935" s="210"/>
      <c r="F935" s="319"/>
    </row>
    <row r="936">
      <c r="A936" s="210"/>
      <c r="B936" s="317"/>
      <c r="C936" s="318"/>
      <c r="D936" s="210"/>
      <c r="E936" s="210"/>
      <c r="F936" s="319"/>
    </row>
    <row r="937">
      <c r="A937" s="210"/>
      <c r="B937" s="317"/>
      <c r="C937" s="318"/>
      <c r="D937" s="210"/>
      <c r="E937" s="210"/>
      <c r="F937" s="319"/>
    </row>
    <row r="938">
      <c r="A938" s="210"/>
      <c r="B938" s="317"/>
      <c r="C938" s="318"/>
      <c r="D938" s="210"/>
      <c r="E938" s="210"/>
      <c r="F938" s="319"/>
    </row>
    <row r="939">
      <c r="A939" s="210"/>
      <c r="B939" s="317"/>
      <c r="C939" s="318"/>
      <c r="D939" s="210"/>
      <c r="E939" s="210"/>
      <c r="F939" s="319"/>
    </row>
    <row r="940">
      <c r="A940" s="210"/>
      <c r="B940" s="317"/>
      <c r="C940" s="318"/>
      <c r="D940" s="210"/>
      <c r="E940" s="210"/>
      <c r="F940" s="319"/>
    </row>
    <row r="941">
      <c r="A941" s="210"/>
      <c r="B941" s="317"/>
      <c r="C941" s="318"/>
      <c r="D941" s="210"/>
      <c r="E941" s="210"/>
      <c r="F941" s="319"/>
    </row>
    <row r="942">
      <c r="A942" s="210"/>
      <c r="B942" s="317"/>
      <c r="C942" s="318"/>
      <c r="D942" s="210"/>
      <c r="E942" s="210"/>
      <c r="F942" s="319"/>
    </row>
    <row r="943">
      <c r="A943" s="210"/>
      <c r="B943" s="317"/>
      <c r="C943" s="318"/>
      <c r="D943" s="210"/>
      <c r="E943" s="210"/>
      <c r="F943" s="319"/>
    </row>
    <row r="944">
      <c r="A944" s="210"/>
      <c r="B944" s="317"/>
      <c r="C944" s="318"/>
      <c r="D944" s="210"/>
      <c r="E944" s="210"/>
      <c r="F944" s="319"/>
    </row>
    <row r="945">
      <c r="A945" s="210"/>
      <c r="B945" s="317"/>
      <c r="C945" s="318"/>
      <c r="D945" s="210"/>
      <c r="E945" s="210"/>
      <c r="F945" s="319"/>
    </row>
    <row r="946">
      <c r="A946" s="210"/>
      <c r="B946" s="317"/>
      <c r="C946" s="318"/>
      <c r="D946" s="210"/>
      <c r="E946" s="210"/>
      <c r="F946" s="319"/>
    </row>
    <row r="947">
      <c r="A947" s="210"/>
      <c r="B947" s="317"/>
      <c r="C947" s="318"/>
      <c r="D947" s="210"/>
      <c r="E947" s="210"/>
      <c r="F947" s="319"/>
    </row>
    <row r="948">
      <c r="A948" s="210"/>
      <c r="B948" s="317"/>
      <c r="C948" s="318"/>
      <c r="D948" s="210"/>
      <c r="E948" s="210"/>
      <c r="F948" s="319"/>
    </row>
    <row r="949">
      <c r="A949" s="210"/>
      <c r="B949" s="317"/>
      <c r="C949" s="318"/>
      <c r="D949" s="210"/>
      <c r="E949" s="210"/>
      <c r="F949" s="319"/>
    </row>
    <row r="950">
      <c r="A950" s="210"/>
      <c r="B950" s="317"/>
      <c r="C950" s="318"/>
      <c r="D950" s="210"/>
      <c r="E950" s="210"/>
      <c r="F950" s="319"/>
    </row>
    <row r="951">
      <c r="A951" s="210"/>
      <c r="B951" s="317"/>
      <c r="C951" s="318"/>
      <c r="D951" s="210"/>
      <c r="E951" s="210"/>
      <c r="F951" s="319"/>
    </row>
    <row r="952">
      <c r="A952" s="210"/>
      <c r="B952" s="317"/>
      <c r="C952" s="318"/>
      <c r="D952" s="210"/>
      <c r="E952" s="210"/>
      <c r="F952" s="319"/>
    </row>
    <row r="953">
      <c r="A953" s="210"/>
      <c r="B953" s="317"/>
      <c r="C953" s="318"/>
      <c r="D953" s="210"/>
      <c r="E953" s="210"/>
      <c r="F953" s="319"/>
    </row>
    <row r="954">
      <c r="A954" s="210"/>
      <c r="B954" s="317"/>
      <c r="C954" s="318"/>
      <c r="D954" s="210"/>
      <c r="E954" s="210"/>
      <c r="F954" s="319"/>
    </row>
    <row r="955">
      <c r="A955" s="210"/>
      <c r="B955" s="317"/>
      <c r="C955" s="318"/>
      <c r="D955" s="210"/>
      <c r="E955" s="210"/>
      <c r="F955" s="319"/>
    </row>
    <row r="956">
      <c r="A956" s="210"/>
      <c r="B956" s="317"/>
      <c r="C956" s="318"/>
      <c r="D956" s="210"/>
      <c r="E956" s="210"/>
      <c r="F956" s="319"/>
    </row>
    <row r="957">
      <c r="A957" s="210"/>
      <c r="B957" s="317"/>
      <c r="C957" s="318"/>
      <c r="D957" s="210"/>
      <c r="E957" s="210"/>
      <c r="F957" s="319"/>
    </row>
    <row r="958">
      <c r="A958" s="210"/>
      <c r="B958" s="317"/>
      <c r="C958" s="318"/>
      <c r="D958" s="210"/>
      <c r="E958" s="210"/>
      <c r="F958" s="319"/>
    </row>
    <row r="959">
      <c r="A959" s="210"/>
      <c r="B959" s="317"/>
      <c r="C959" s="318"/>
      <c r="D959" s="210"/>
      <c r="E959" s="210"/>
      <c r="F959" s="319"/>
    </row>
    <row r="960">
      <c r="A960" s="210"/>
      <c r="B960" s="317"/>
      <c r="C960" s="318"/>
      <c r="D960" s="210"/>
      <c r="E960" s="210"/>
      <c r="F960" s="319"/>
    </row>
    <row r="961">
      <c r="A961" s="210"/>
      <c r="B961" s="317"/>
      <c r="C961" s="318"/>
      <c r="D961" s="210"/>
      <c r="E961" s="210"/>
      <c r="F961" s="319"/>
    </row>
    <row r="962">
      <c r="A962" s="210"/>
      <c r="B962" s="317"/>
      <c r="C962" s="318"/>
      <c r="D962" s="210"/>
      <c r="E962" s="210"/>
      <c r="F962" s="319"/>
    </row>
    <row r="963">
      <c r="A963" s="210"/>
      <c r="B963" s="317"/>
      <c r="C963" s="318"/>
      <c r="D963" s="210"/>
      <c r="E963" s="210"/>
      <c r="F963" s="319"/>
    </row>
    <row r="964">
      <c r="A964" s="210"/>
      <c r="B964" s="317"/>
      <c r="C964" s="318"/>
      <c r="D964" s="210"/>
      <c r="E964" s="210"/>
      <c r="F964" s="319"/>
    </row>
    <row r="965">
      <c r="A965" s="210"/>
      <c r="B965" s="317"/>
      <c r="C965" s="318"/>
      <c r="D965" s="210"/>
      <c r="E965" s="210"/>
      <c r="F965" s="319"/>
    </row>
    <row r="966">
      <c r="A966" s="210"/>
      <c r="B966" s="317"/>
      <c r="C966" s="318"/>
      <c r="D966" s="210"/>
      <c r="E966" s="210"/>
      <c r="F966" s="319"/>
    </row>
    <row r="967">
      <c r="A967" s="210"/>
      <c r="B967" s="317"/>
      <c r="C967" s="318"/>
      <c r="D967" s="210"/>
      <c r="E967" s="210"/>
      <c r="F967" s="319"/>
    </row>
    <row r="968">
      <c r="A968" s="210"/>
      <c r="B968" s="317"/>
      <c r="C968" s="318"/>
      <c r="D968" s="210"/>
      <c r="E968" s="210"/>
      <c r="F968" s="319"/>
    </row>
    <row r="969">
      <c r="A969" s="210"/>
      <c r="B969" s="317"/>
      <c r="C969" s="318"/>
      <c r="D969" s="210"/>
      <c r="E969" s="210"/>
      <c r="F969" s="319"/>
    </row>
    <row r="970">
      <c r="A970" s="210"/>
      <c r="B970" s="317"/>
      <c r="C970" s="318"/>
      <c r="D970" s="210"/>
      <c r="E970" s="210"/>
      <c r="F970" s="319"/>
    </row>
    <row r="971">
      <c r="A971" s="210"/>
      <c r="B971" s="317"/>
      <c r="C971" s="318"/>
      <c r="D971" s="210"/>
      <c r="E971" s="210"/>
      <c r="F971" s="319"/>
    </row>
    <row r="972">
      <c r="A972" s="210"/>
      <c r="B972" s="317"/>
      <c r="C972" s="318"/>
      <c r="D972" s="210"/>
      <c r="E972" s="210"/>
      <c r="F972" s="319"/>
    </row>
    <row r="973">
      <c r="A973" s="210"/>
      <c r="B973" s="317"/>
      <c r="C973" s="318"/>
      <c r="D973" s="210"/>
      <c r="E973" s="210"/>
      <c r="F973" s="319"/>
    </row>
    <row r="974">
      <c r="A974" s="210"/>
      <c r="B974" s="317"/>
      <c r="C974" s="318"/>
      <c r="D974" s="210"/>
      <c r="E974" s="210"/>
      <c r="F974" s="319"/>
    </row>
    <row r="975">
      <c r="A975" s="210"/>
      <c r="B975" s="317"/>
      <c r="C975" s="318"/>
      <c r="D975" s="210"/>
      <c r="E975" s="210"/>
      <c r="F975" s="319"/>
    </row>
    <row r="976">
      <c r="A976" s="210"/>
      <c r="B976" s="317"/>
      <c r="C976" s="318"/>
      <c r="D976" s="210"/>
      <c r="E976" s="210"/>
      <c r="F976" s="319"/>
    </row>
    <row r="977">
      <c r="A977" s="210"/>
      <c r="B977" s="317"/>
      <c r="C977" s="318"/>
      <c r="D977" s="210"/>
      <c r="E977" s="210"/>
      <c r="F977" s="319"/>
    </row>
    <row r="978">
      <c r="A978" s="210"/>
      <c r="B978" s="317"/>
      <c r="C978" s="318"/>
      <c r="D978" s="210"/>
      <c r="E978" s="210"/>
      <c r="F978" s="319"/>
    </row>
    <row r="979">
      <c r="A979" s="210"/>
      <c r="B979" s="317"/>
      <c r="C979" s="318"/>
      <c r="D979" s="210"/>
      <c r="E979" s="210"/>
      <c r="F979" s="319"/>
    </row>
    <row r="980">
      <c r="A980" s="210"/>
      <c r="B980" s="317"/>
      <c r="C980" s="318"/>
      <c r="D980" s="210"/>
      <c r="E980" s="210"/>
      <c r="F980" s="319"/>
    </row>
    <row r="981">
      <c r="A981" s="210"/>
      <c r="B981" s="317"/>
      <c r="C981" s="318"/>
      <c r="D981" s="210"/>
      <c r="E981" s="210"/>
      <c r="F981" s="319"/>
    </row>
    <row r="982">
      <c r="A982" s="210"/>
      <c r="B982" s="317"/>
      <c r="C982" s="318"/>
      <c r="D982" s="210"/>
      <c r="E982" s="210"/>
      <c r="F982" s="319"/>
    </row>
    <row r="983">
      <c r="A983" s="210"/>
      <c r="B983" s="317"/>
      <c r="C983" s="318"/>
      <c r="D983" s="210"/>
      <c r="E983" s="210"/>
      <c r="F983" s="319"/>
    </row>
    <row r="984">
      <c r="A984" s="210"/>
      <c r="B984" s="317"/>
      <c r="C984" s="318"/>
      <c r="D984" s="210"/>
      <c r="E984" s="210"/>
      <c r="F984" s="319"/>
    </row>
    <row r="985">
      <c r="A985" s="210"/>
      <c r="B985" s="317"/>
      <c r="C985" s="318"/>
      <c r="D985" s="210"/>
      <c r="E985" s="210"/>
      <c r="F985" s="319"/>
    </row>
    <row r="986">
      <c r="A986" s="210"/>
      <c r="B986" s="317"/>
      <c r="C986" s="318"/>
      <c r="D986" s="210"/>
      <c r="E986" s="210"/>
      <c r="F986" s="319"/>
    </row>
    <row r="987">
      <c r="A987" s="210"/>
      <c r="B987" s="317"/>
      <c r="C987" s="318"/>
      <c r="D987" s="210"/>
      <c r="E987" s="210"/>
      <c r="F987" s="319"/>
    </row>
    <row r="988">
      <c r="A988" s="210"/>
      <c r="B988" s="317"/>
      <c r="C988" s="318"/>
      <c r="D988" s="210"/>
      <c r="E988" s="210"/>
      <c r="F988" s="319"/>
    </row>
    <row r="989">
      <c r="A989" s="210"/>
      <c r="B989" s="317"/>
      <c r="C989" s="318"/>
      <c r="D989" s="210"/>
      <c r="E989" s="210"/>
      <c r="F989" s="319"/>
    </row>
    <row r="990">
      <c r="A990" s="210"/>
      <c r="B990" s="317"/>
      <c r="C990" s="318"/>
      <c r="D990" s="210"/>
      <c r="E990" s="210"/>
      <c r="F990" s="319"/>
    </row>
    <row r="991">
      <c r="A991" s="210"/>
      <c r="B991" s="317"/>
      <c r="C991" s="318"/>
      <c r="D991" s="210"/>
      <c r="E991" s="210"/>
      <c r="F991" s="319"/>
    </row>
    <row r="992">
      <c r="A992" s="210"/>
      <c r="B992" s="317"/>
      <c r="C992" s="318"/>
      <c r="D992" s="210"/>
      <c r="E992" s="210"/>
      <c r="F992" s="319"/>
    </row>
    <row r="993">
      <c r="A993" s="210"/>
      <c r="B993" s="317"/>
      <c r="C993" s="318"/>
      <c r="D993" s="210"/>
      <c r="E993" s="210"/>
      <c r="F993" s="319"/>
    </row>
    <row r="994">
      <c r="A994" s="210"/>
      <c r="B994" s="317"/>
      <c r="C994" s="318"/>
      <c r="D994" s="210"/>
      <c r="E994" s="210"/>
      <c r="F994" s="319"/>
    </row>
    <row r="995">
      <c r="A995" s="210"/>
      <c r="B995" s="317"/>
      <c r="C995" s="318"/>
      <c r="D995" s="210"/>
      <c r="E995" s="210"/>
      <c r="F995" s="319"/>
    </row>
    <row r="996">
      <c r="A996" s="210"/>
      <c r="B996" s="317"/>
      <c r="C996" s="318"/>
      <c r="D996" s="210"/>
      <c r="E996" s="210"/>
      <c r="F996" s="319"/>
    </row>
    <row r="997">
      <c r="A997" s="210"/>
      <c r="B997" s="317"/>
      <c r="C997" s="318"/>
      <c r="D997" s="210"/>
      <c r="E997" s="210"/>
      <c r="F997" s="319"/>
    </row>
    <row r="998">
      <c r="A998" s="210"/>
      <c r="B998" s="317"/>
      <c r="C998" s="318"/>
      <c r="D998" s="210"/>
      <c r="E998" s="210"/>
      <c r="F998" s="319"/>
    </row>
    <row r="999">
      <c r="A999" s="210"/>
      <c r="B999" s="317"/>
      <c r="C999" s="318"/>
      <c r="D999" s="210"/>
      <c r="E999" s="210"/>
      <c r="F999" s="319"/>
    </row>
    <row r="1000">
      <c r="A1000" s="210"/>
      <c r="B1000" s="317"/>
      <c r="C1000" s="318"/>
      <c r="D1000" s="210"/>
      <c r="E1000" s="210"/>
      <c r="F1000" s="319"/>
    </row>
  </sheetData>
  <conditionalFormatting sqref="E3:E64">
    <cfRule type="containsText" dxfId="8" priority="1" operator="containsText" text="CAMISETA">
      <formula>NOT(ISERROR(SEARCH(("CAMISETA"),(E3))))</formula>
    </cfRule>
  </conditionalFormatting>
  <conditionalFormatting sqref="E3:E64">
    <cfRule type="containsText" dxfId="7" priority="2" operator="containsText" text="MENSALIDADE">
      <formula>NOT(ISERROR(SEARCH(("MENSALIDADE"),(E3))))</formula>
    </cfRule>
  </conditionalFormatting>
  <conditionalFormatting sqref="E3:E64">
    <cfRule type="containsText" dxfId="8" priority="3" operator="containsText" text="UNIFORME">
      <formula>NOT(ISERROR(SEARCH(("UNIFORME"),(E3))))</formula>
    </cfRule>
  </conditionalFormatting>
  <conditionalFormatting sqref="E3:E64">
    <cfRule type="containsText" dxfId="8" priority="4" operator="containsText" text="CALÇÃO">
      <formula>NOT(ISERROR(SEARCH(("CALÇÃO"),(E3))))</formula>
    </cfRule>
  </conditionalFormatting>
  <conditionalFormatting sqref="E3:E64">
    <cfRule type="containsText" dxfId="8" priority="5" operator="containsText" text="CAMISA">
      <formula>NOT(ISERROR(SEARCH(("CAMISA"),(E3))))</formula>
    </cfRule>
  </conditionalFormatting>
  <conditionalFormatting sqref="E3:E64">
    <cfRule type="containsText" dxfId="8" priority="6" operator="containsText" text="MEIÃO">
      <formula>NOT(ISERROR(SEARCH(("MEIÃO"),(E3))))</formula>
    </cfRule>
  </conditionalFormatting>
  <dataValidations>
    <dataValidation type="list" allowBlank="1" sqref="F3:F64">
      <formula1>"MENSALIDADE,UNIFORME,OUTROS"</formula1>
    </dataValidation>
    <dataValidation type="custom" allowBlank="1" showDropDown="1" sqref="A3:A64">
      <formula1>OR(NOT(ISERROR(DATEVALUE(A3))), AND(ISNUMBER(A3), LEFT(CELL("format", A3))="D"))</formula1>
    </dataValidation>
    <dataValidation type="custom" allowBlank="1" showDropDown="1" sqref="B3:C64">
      <formula1>AND(ISNUMBER(B3),(NOT(OR(NOT(ISERROR(DATEVALUE(B3))), AND(ISNUMBER(B3), LEFT(CELL("format", B3))="D")))))</formula1>
    </dataValidation>
    <dataValidation allowBlank="1" showDropDown="1" sqref="E3:E64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1.88"/>
    <col customWidth="1" min="3" max="3" width="9.13"/>
    <col customWidth="1" min="4" max="4" width="14.13"/>
    <col customWidth="1" min="5" max="5" width="75.5"/>
    <col customWidth="1" min="6" max="6" width="19.13"/>
    <col customWidth="1" min="7" max="7" width="17.75"/>
    <col customWidth="1" min="8" max="8" width="14.88"/>
    <col customWidth="1" min="9" max="10" width="21.13"/>
  </cols>
  <sheetData>
    <row r="1">
      <c r="B1" s="1"/>
      <c r="C1" s="1"/>
      <c r="D1" s="1"/>
      <c r="E1" s="2" t="s">
        <v>651</v>
      </c>
      <c r="F1" s="3"/>
    </row>
    <row r="2">
      <c r="A2" s="4" t="s">
        <v>2</v>
      </c>
      <c r="B2" s="5" t="s">
        <v>3</v>
      </c>
      <c r="C2" s="7" t="s">
        <v>4</v>
      </c>
      <c r="D2" s="8" t="s">
        <v>5</v>
      </c>
      <c r="E2" s="11" t="s">
        <v>6</v>
      </c>
      <c r="F2" s="12" t="s">
        <v>5</v>
      </c>
      <c r="H2" s="15"/>
      <c r="I2" s="15"/>
      <c r="J2" s="15"/>
    </row>
    <row r="3">
      <c r="A3" s="18">
        <v>46204.0</v>
      </c>
      <c r="B3" s="19">
        <v>300.0</v>
      </c>
      <c r="C3" s="21"/>
      <c r="D3" s="22" t="s">
        <v>11</v>
      </c>
      <c r="E3" s="65" t="s">
        <v>660</v>
      </c>
      <c r="F3" s="28" t="s">
        <v>15</v>
      </c>
      <c r="G3" s="30" t="s">
        <v>17</v>
      </c>
      <c r="H3" s="31" t="s">
        <v>19</v>
      </c>
      <c r="I3" s="33" t="s">
        <v>21</v>
      </c>
    </row>
    <row r="4">
      <c r="A4" s="18">
        <v>46204.0</v>
      </c>
      <c r="B4" s="19">
        <v>300.0</v>
      </c>
      <c r="C4" s="21"/>
      <c r="D4" s="22" t="s">
        <v>11</v>
      </c>
      <c r="E4" s="65" t="s">
        <v>667</v>
      </c>
      <c r="F4" s="28" t="s">
        <v>15</v>
      </c>
      <c r="G4" s="42">
        <f>SUM(B3:B50)</f>
        <v>12587</v>
      </c>
      <c r="H4" s="49">
        <f>SUM(C3:C42)</f>
        <v>0</v>
      </c>
      <c r="I4" s="53">
        <f>G4-H4</f>
        <v>12587</v>
      </c>
    </row>
    <row r="5">
      <c r="A5" s="18">
        <v>46204.0</v>
      </c>
      <c r="B5" s="19">
        <v>300.0</v>
      </c>
      <c r="C5" s="21"/>
      <c r="D5" s="22" t="s">
        <v>11</v>
      </c>
      <c r="E5" s="65" t="s">
        <v>674</v>
      </c>
      <c r="F5" s="28" t="s">
        <v>15</v>
      </c>
    </row>
    <row r="6">
      <c r="A6" s="18">
        <v>46204.0</v>
      </c>
      <c r="B6" s="19">
        <v>300.0</v>
      </c>
      <c r="C6" s="21"/>
      <c r="D6" s="22" t="s">
        <v>11</v>
      </c>
      <c r="E6" s="65" t="s">
        <v>675</v>
      </c>
      <c r="F6" s="28" t="s">
        <v>15</v>
      </c>
    </row>
    <row r="7">
      <c r="A7" s="18">
        <v>46147.0</v>
      </c>
      <c r="B7" s="19">
        <v>250.0</v>
      </c>
      <c r="C7" s="21"/>
      <c r="D7" s="22" t="s">
        <v>11</v>
      </c>
      <c r="E7" s="65" t="s">
        <v>676</v>
      </c>
      <c r="F7" s="28" t="s">
        <v>15</v>
      </c>
    </row>
    <row r="8">
      <c r="A8" s="18">
        <v>46204.0</v>
      </c>
      <c r="B8" s="19">
        <v>250.0</v>
      </c>
      <c r="C8" s="21"/>
      <c r="D8" s="22" t="s">
        <v>11</v>
      </c>
      <c r="E8" s="65" t="s">
        <v>677</v>
      </c>
      <c r="F8" s="28" t="s">
        <v>15</v>
      </c>
    </row>
    <row r="9">
      <c r="A9" s="18">
        <v>46204.0</v>
      </c>
      <c r="B9" s="19">
        <v>350.0</v>
      </c>
      <c r="C9" s="21"/>
      <c r="D9" s="22" t="s">
        <v>11</v>
      </c>
      <c r="E9" s="65" t="s">
        <v>678</v>
      </c>
      <c r="F9" s="28" t="s">
        <v>15</v>
      </c>
    </row>
    <row r="10">
      <c r="A10" s="18">
        <v>46205.0</v>
      </c>
      <c r="B10" s="19">
        <v>200.0</v>
      </c>
      <c r="C10" s="21"/>
      <c r="D10" s="22" t="s">
        <v>11</v>
      </c>
      <c r="E10" s="63" t="s">
        <v>679</v>
      </c>
      <c r="F10" s="28" t="s">
        <v>15</v>
      </c>
    </row>
    <row r="11">
      <c r="A11" s="18">
        <v>46206.0</v>
      </c>
      <c r="B11" s="19">
        <v>250.0</v>
      </c>
      <c r="C11" s="21"/>
      <c r="D11" s="22" t="s">
        <v>11</v>
      </c>
      <c r="E11" s="63" t="s">
        <v>682</v>
      </c>
      <c r="F11" s="28" t="s">
        <v>15</v>
      </c>
    </row>
    <row r="12">
      <c r="A12" s="18">
        <v>46209.0</v>
      </c>
      <c r="B12" s="19">
        <v>180.0</v>
      </c>
      <c r="C12" s="21"/>
      <c r="D12" s="22" t="s">
        <v>11</v>
      </c>
      <c r="E12" s="63" t="s">
        <v>684</v>
      </c>
      <c r="F12" s="28" t="s">
        <v>15</v>
      </c>
    </row>
    <row r="13">
      <c r="A13" s="18">
        <v>46209.0</v>
      </c>
      <c r="B13" s="19">
        <v>250.0</v>
      </c>
      <c r="C13" s="21"/>
      <c r="D13" s="22" t="s">
        <v>11</v>
      </c>
      <c r="E13" s="63" t="s">
        <v>685</v>
      </c>
      <c r="F13" s="28" t="s">
        <v>15</v>
      </c>
    </row>
    <row r="14">
      <c r="A14" s="18">
        <v>46211.0</v>
      </c>
      <c r="B14" s="19">
        <v>320.0</v>
      </c>
      <c r="C14" s="21"/>
      <c r="D14" s="22" t="s">
        <v>60</v>
      </c>
      <c r="E14" s="63" t="s">
        <v>686</v>
      </c>
      <c r="F14" s="28" t="s">
        <v>15</v>
      </c>
    </row>
    <row r="15">
      <c r="A15" s="18">
        <v>46212.0</v>
      </c>
      <c r="B15" s="19">
        <v>230.0</v>
      </c>
      <c r="C15" s="21"/>
      <c r="D15" s="22" t="s">
        <v>60</v>
      </c>
      <c r="E15" s="63" t="s">
        <v>688</v>
      </c>
      <c r="F15" s="28" t="s">
        <v>15</v>
      </c>
    </row>
    <row r="16">
      <c r="A16" s="18">
        <v>46212.0</v>
      </c>
      <c r="B16" s="19">
        <v>25.0</v>
      </c>
      <c r="C16" s="21"/>
      <c r="D16" s="22" t="s">
        <v>11</v>
      </c>
      <c r="E16" s="63" t="s">
        <v>691</v>
      </c>
      <c r="F16" s="28" t="s">
        <v>550</v>
      </c>
    </row>
    <row r="17">
      <c r="A17" s="18">
        <v>46212.0</v>
      </c>
      <c r="B17" s="19">
        <v>350.0</v>
      </c>
      <c r="C17" s="21"/>
      <c r="D17" s="22" t="s">
        <v>66</v>
      </c>
      <c r="E17" s="63" t="s">
        <v>692</v>
      </c>
      <c r="F17" s="28" t="s">
        <v>15</v>
      </c>
    </row>
    <row r="18">
      <c r="A18" s="18">
        <v>46212.0</v>
      </c>
      <c r="B18" s="19">
        <v>250.0</v>
      </c>
      <c r="C18" s="21"/>
      <c r="D18" s="22" t="s">
        <v>60</v>
      </c>
      <c r="E18" s="63" t="s">
        <v>694</v>
      </c>
      <c r="F18" s="28" t="s">
        <v>15</v>
      </c>
    </row>
    <row r="19">
      <c r="A19" s="18">
        <v>46212.0</v>
      </c>
      <c r="B19" s="19">
        <v>300.0</v>
      </c>
      <c r="C19" s="21"/>
      <c r="D19" s="22" t="s">
        <v>11</v>
      </c>
      <c r="E19" s="63" t="s">
        <v>695</v>
      </c>
      <c r="F19" s="28" t="s">
        <v>15</v>
      </c>
    </row>
    <row r="20">
      <c r="A20" s="18">
        <v>46213.0</v>
      </c>
      <c r="B20" s="19">
        <v>332.0</v>
      </c>
      <c r="C20" s="283"/>
      <c r="D20" s="22" t="s">
        <v>696</v>
      </c>
      <c r="E20" s="63" t="s">
        <v>697</v>
      </c>
      <c r="F20" s="61" t="s">
        <v>15</v>
      </c>
    </row>
    <row r="21">
      <c r="A21" s="18">
        <v>46213.0</v>
      </c>
      <c r="B21" s="19">
        <v>50.0</v>
      </c>
      <c r="C21" s="283"/>
      <c r="D21" s="22" t="s">
        <v>696</v>
      </c>
      <c r="E21" s="63" t="s">
        <v>698</v>
      </c>
      <c r="F21" s="61" t="s">
        <v>550</v>
      </c>
    </row>
    <row r="22">
      <c r="A22" s="18">
        <v>46213.0</v>
      </c>
      <c r="B22" s="19">
        <v>420.0</v>
      </c>
      <c r="C22" s="283"/>
      <c r="D22" s="22" t="s">
        <v>696</v>
      </c>
      <c r="E22" s="63" t="s">
        <v>699</v>
      </c>
      <c r="F22" s="61" t="s">
        <v>550</v>
      </c>
    </row>
    <row r="23">
      <c r="A23" s="18">
        <v>46213.0</v>
      </c>
      <c r="B23" s="19">
        <v>330.0</v>
      </c>
      <c r="C23" s="283"/>
      <c r="D23" s="22" t="s">
        <v>11</v>
      </c>
      <c r="E23" s="63" t="s">
        <v>701</v>
      </c>
      <c r="F23" s="61" t="s">
        <v>15</v>
      </c>
    </row>
    <row r="24">
      <c r="A24" s="18">
        <v>46216.0</v>
      </c>
      <c r="B24" s="19">
        <v>230.0</v>
      </c>
      <c r="C24" s="283"/>
      <c r="D24" s="22" t="s">
        <v>60</v>
      </c>
      <c r="E24" s="63" t="s">
        <v>705</v>
      </c>
      <c r="F24" s="61" t="s">
        <v>15</v>
      </c>
    </row>
    <row r="25">
      <c r="A25" s="18">
        <v>46213.0</v>
      </c>
      <c r="B25" s="19">
        <v>300.0</v>
      </c>
      <c r="C25" s="283"/>
      <c r="D25" s="22" t="s">
        <v>11</v>
      </c>
      <c r="E25" s="63" t="s">
        <v>707</v>
      </c>
      <c r="F25" s="61" t="s">
        <v>15</v>
      </c>
    </row>
    <row r="26">
      <c r="A26" s="18">
        <v>46213.0</v>
      </c>
      <c r="B26" s="19">
        <v>250.0</v>
      </c>
      <c r="C26" s="283"/>
      <c r="D26" s="22" t="s">
        <v>11</v>
      </c>
      <c r="E26" s="63" t="s">
        <v>709</v>
      </c>
      <c r="F26" s="61" t="s">
        <v>15</v>
      </c>
    </row>
    <row r="27">
      <c r="A27" s="18">
        <v>46217.0</v>
      </c>
      <c r="B27" s="19">
        <v>350.0</v>
      </c>
      <c r="C27" s="283"/>
      <c r="D27" s="22" t="s">
        <v>11</v>
      </c>
      <c r="E27" s="63" t="s">
        <v>710</v>
      </c>
      <c r="F27" s="61" t="s">
        <v>15</v>
      </c>
    </row>
    <row r="28">
      <c r="A28" s="18">
        <v>46217.0</v>
      </c>
      <c r="B28" s="19">
        <v>230.0</v>
      </c>
      <c r="C28" s="283"/>
      <c r="D28" s="22" t="s">
        <v>11</v>
      </c>
      <c r="E28" s="63" t="s">
        <v>713</v>
      </c>
      <c r="F28" s="61" t="s">
        <v>62</v>
      </c>
      <c r="G28" s="30" t="s">
        <v>82</v>
      </c>
      <c r="H28" s="30">
        <f>SUM(B28,B40,B44)</f>
        <v>860</v>
      </c>
    </row>
    <row r="29">
      <c r="A29" s="18">
        <v>46217.0</v>
      </c>
      <c r="B29" s="19">
        <v>180.0</v>
      </c>
      <c r="C29" s="283"/>
      <c r="D29" s="22" t="s">
        <v>471</v>
      </c>
      <c r="E29" s="63" t="s">
        <v>721</v>
      </c>
      <c r="F29" s="61" t="s">
        <v>15</v>
      </c>
      <c r="G29" s="42" t="s">
        <v>84</v>
      </c>
      <c r="H29" s="42">
        <f>SUM(B3:B15,B17:B20,B23:B27,B29:B33,B35:B39,B42:B43,B45:B48)</f>
        <v>10682</v>
      </c>
    </row>
    <row r="30">
      <c r="A30" s="18">
        <v>46218.0</v>
      </c>
      <c r="B30" s="19">
        <v>200.0</v>
      </c>
      <c r="C30" s="283"/>
      <c r="D30" s="22" t="s">
        <v>11</v>
      </c>
      <c r="E30" s="63" t="s">
        <v>727</v>
      </c>
      <c r="F30" s="61" t="s">
        <v>15</v>
      </c>
      <c r="G30" s="30" t="s">
        <v>85</v>
      </c>
      <c r="H30" s="30">
        <f>SUM(B22,B21,B16,B34,B41)</f>
        <v>545</v>
      </c>
    </row>
    <row r="31">
      <c r="A31" s="18">
        <v>46218.0</v>
      </c>
      <c r="B31" s="19">
        <v>300.0</v>
      </c>
      <c r="C31" s="283"/>
      <c r="D31" s="22" t="s">
        <v>11</v>
      </c>
      <c r="E31" s="63" t="s">
        <v>728</v>
      </c>
      <c r="F31" s="61" t="s">
        <v>15</v>
      </c>
      <c r="G31" s="42"/>
      <c r="H31" s="42"/>
    </row>
    <row r="32">
      <c r="A32" s="18">
        <v>46218.0</v>
      </c>
      <c r="B32" s="19">
        <v>250.0</v>
      </c>
      <c r="C32" s="283"/>
      <c r="D32" s="22" t="s">
        <v>11</v>
      </c>
      <c r="E32" s="63" t="s">
        <v>730</v>
      </c>
      <c r="F32" s="61" t="s">
        <v>15</v>
      </c>
      <c r="G32" s="42" t="s">
        <v>86</v>
      </c>
      <c r="H32" s="42">
        <f>SUM(H28:H30)</f>
        <v>12087</v>
      </c>
    </row>
    <row r="33">
      <c r="A33" s="18">
        <v>46218.0</v>
      </c>
      <c r="B33" s="19">
        <v>270.0</v>
      </c>
      <c r="C33" s="283"/>
      <c r="D33" s="22" t="s">
        <v>11</v>
      </c>
      <c r="E33" s="63" t="s">
        <v>731</v>
      </c>
      <c r="F33" s="61" t="s">
        <v>15</v>
      </c>
    </row>
    <row r="34">
      <c r="A34" s="18">
        <v>46219.0</v>
      </c>
      <c r="B34" s="19">
        <v>25.0</v>
      </c>
      <c r="C34" s="283"/>
      <c r="D34" s="22" t="s">
        <v>66</v>
      </c>
      <c r="E34" s="63" t="s">
        <v>546</v>
      </c>
      <c r="F34" s="61" t="s">
        <v>550</v>
      </c>
    </row>
    <row r="35">
      <c r="A35" s="18">
        <v>46219.0</v>
      </c>
      <c r="B35" s="19">
        <v>250.0</v>
      </c>
      <c r="C35" s="283"/>
      <c r="D35" s="22" t="s">
        <v>11</v>
      </c>
      <c r="E35" s="63" t="s">
        <v>732</v>
      </c>
      <c r="F35" s="61" t="s">
        <v>15</v>
      </c>
    </row>
    <row r="36">
      <c r="A36" s="18">
        <v>46189.0</v>
      </c>
      <c r="B36" s="19">
        <v>300.0</v>
      </c>
      <c r="C36" s="283"/>
      <c r="D36" s="22" t="s">
        <v>11</v>
      </c>
      <c r="E36" s="63" t="s">
        <v>733</v>
      </c>
      <c r="F36" s="61" t="s">
        <v>15</v>
      </c>
    </row>
    <row r="37">
      <c r="A37" s="18">
        <v>46189.0</v>
      </c>
      <c r="B37" s="19">
        <v>300.0</v>
      </c>
      <c r="C37" s="283"/>
      <c r="D37" s="22" t="s">
        <v>11</v>
      </c>
      <c r="E37" s="63" t="s">
        <v>734</v>
      </c>
      <c r="F37" s="61" t="s">
        <v>15</v>
      </c>
    </row>
    <row r="38">
      <c r="A38" s="18">
        <v>46219.0</v>
      </c>
      <c r="B38" s="19">
        <v>350.0</v>
      </c>
      <c r="C38" s="283"/>
      <c r="D38" s="22" t="s">
        <v>11</v>
      </c>
      <c r="E38" s="63" t="s">
        <v>735</v>
      </c>
      <c r="F38" s="61" t="s">
        <v>15</v>
      </c>
    </row>
    <row r="39">
      <c r="A39" s="18">
        <v>46219.0</v>
      </c>
      <c r="B39" s="19">
        <v>350.0</v>
      </c>
      <c r="C39" s="283"/>
      <c r="D39" s="22" t="s">
        <v>11</v>
      </c>
      <c r="E39" s="63" t="s">
        <v>736</v>
      </c>
      <c r="F39" s="61" t="s">
        <v>15</v>
      </c>
    </row>
    <row r="40">
      <c r="A40" s="18">
        <v>46220.0</v>
      </c>
      <c r="B40" s="19">
        <v>230.0</v>
      </c>
      <c r="C40" s="283"/>
      <c r="D40" s="22" t="s">
        <v>11</v>
      </c>
      <c r="E40" s="63" t="s">
        <v>737</v>
      </c>
      <c r="F40" s="61" t="s">
        <v>62</v>
      </c>
    </row>
    <row r="41">
      <c r="A41" s="18">
        <v>46220.0</v>
      </c>
      <c r="B41" s="19">
        <v>25.0</v>
      </c>
      <c r="C41" s="283"/>
      <c r="D41" s="22" t="s">
        <v>11</v>
      </c>
      <c r="E41" s="63" t="s">
        <v>738</v>
      </c>
      <c r="F41" s="61" t="s">
        <v>550</v>
      </c>
    </row>
    <row r="42">
      <c r="A42" s="18">
        <v>46220.0</v>
      </c>
      <c r="B42" s="19">
        <v>225.0</v>
      </c>
      <c r="C42" s="283"/>
      <c r="D42" s="22" t="s">
        <v>60</v>
      </c>
      <c r="E42" s="63" t="s">
        <v>739</v>
      </c>
      <c r="F42" s="61" t="s">
        <v>15</v>
      </c>
    </row>
    <row r="43">
      <c r="A43" s="18">
        <v>46220.0</v>
      </c>
      <c r="B43" s="19">
        <v>350.0</v>
      </c>
      <c r="C43" s="283"/>
      <c r="D43" s="22" t="s">
        <v>11</v>
      </c>
      <c r="E43" s="63" t="s">
        <v>740</v>
      </c>
      <c r="F43" s="61" t="s">
        <v>15</v>
      </c>
    </row>
    <row r="44">
      <c r="A44" s="18">
        <v>46220.0</v>
      </c>
      <c r="B44" s="19">
        <v>400.0</v>
      </c>
      <c r="C44" s="283"/>
      <c r="D44" s="22" t="s">
        <v>741</v>
      </c>
      <c r="E44" s="63" t="s">
        <v>742</v>
      </c>
      <c r="F44" s="61" t="s">
        <v>62</v>
      </c>
    </row>
    <row r="45">
      <c r="A45" s="18">
        <v>46223.0</v>
      </c>
      <c r="B45" s="19">
        <v>250.0</v>
      </c>
      <c r="C45" s="283"/>
      <c r="D45" s="22" t="s">
        <v>11</v>
      </c>
      <c r="E45" s="63" t="s">
        <v>743</v>
      </c>
      <c r="F45" s="61" t="s">
        <v>15</v>
      </c>
    </row>
    <row r="46">
      <c r="A46" s="18">
        <v>46225.0</v>
      </c>
      <c r="B46" s="19">
        <v>350.0</v>
      </c>
      <c r="C46" s="283"/>
      <c r="D46" s="22" t="s">
        <v>11</v>
      </c>
      <c r="E46" s="63" t="s">
        <v>744</v>
      </c>
      <c r="F46" s="61" t="s">
        <v>15</v>
      </c>
    </row>
    <row r="47">
      <c r="A47" s="18">
        <v>46226.0</v>
      </c>
      <c r="B47" s="19">
        <v>300.0</v>
      </c>
      <c r="C47" s="283"/>
      <c r="D47" s="22" t="s">
        <v>11</v>
      </c>
      <c r="E47" s="63" t="s">
        <v>745</v>
      </c>
      <c r="F47" s="61" t="s">
        <v>15</v>
      </c>
    </row>
    <row r="48">
      <c r="A48" s="18">
        <v>46227.0</v>
      </c>
      <c r="B48" s="19">
        <v>285.0</v>
      </c>
      <c r="C48" s="283"/>
      <c r="D48" s="22" t="s">
        <v>66</v>
      </c>
      <c r="E48" s="63" t="s">
        <v>746</v>
      </c>
      <c r="F48" s="61" t="s">
        <v>15</v>
      </c>
    </row>
    <row r="49">
      <c r="A49" s="18">
        <v>46231.0</v>
      </c>
      <c r="B49" s="19">
        <v>250.0</v>
      </c>
      <c r="C49" s="283"/>
      <c r="D49" s="22" t="s">
        <v>11</v>
      </c>
      <c r="E49" s="63" t="s">
        <v>748</v>
      </c>
      <c r="F49" s="61" t="s">
        <v>15</v>
      </c>
    </row>
    <row r="50">
      <c r="A50" s="18">
        <v>46231.0</v>
      </c>
      <c r="B50" s="19">
        <v>250.0</v>
      </c>
      <c r="C50" s="283"/>
      <c r="D50" s="22" t="s">
        <v>66</v>
      </c>
      <c r="E50" s="63" t="s">
        <v>749</v>
      </c>
      <c r="F50" s="61" t="s">
        <v>15</v>
      </c>
    </row>
    <row r="51">
      <c r="A51" s="18">
        <v>46231.0</v>
      </c>
      <c r="B51" s="19">
        <v>350.0</v>
      </c>
      <c r="C51" s="283"/>
      <c r="D51" s="22" t="s">
        <v>11</v>
      </c>
      <c r="E51" s="65" t="s">
        <v>750</v>
      </c>
      <c r="F51" s="61" t="s">
        <v>15</v>
      </c>
    </row>
    <row r="52">
      <c r="A52" s="18">
        <v>46231.0</v>
      </c>
      <c r="B52" s="19">
        <v>350.0</v>
      </c>
      <c r="C52" s="283"/>
      <c r="D52" s="22" t="s">
        <v>11</v>
      </c>
      <c r="E52" s="65" t="s">
        <v>751</v>
      </c>
      <c r="F52" s="61" t="s">
        <v>15</v>
      </c>
    </row>
    <row r="53">
      <c r="A53" s="18">
        <v>46232.0</v>
      </c>
      <c r="B53" s="19">
        <v>225.0</v>
      </c>
      <c r="C53" s="283"/>
      <c r="D53" s="22" t="s">
        <v>60</v>
      </c>
      <c r="E53" s="65" t="s">
        <v>753</v>
      </c>
      <c r="F53" s="61" t="s">
        <v>15</v>
      </c>
    </row>
    <row r="54">
      <c r="A54" s="18">
        <v>46232.0</v>
      </c>
      <c r="B54" s="19">
        <v>280.0</v>
      </c>
      <c r="C54" s="283"/>
      <c r="D54" s="22" t="s">
        <v>11</v>
      </c>
      <c r="E54" s="65" t="s">
        <v>754</v>
      </c>
      <c r="F54" s="61" t="s">
        <v>15</v>
      </c>
    </row>
    <row r="55">
      <c r="A55" s="18">
        <v>46233.0</v>
      </c>
      <c r="B55" s="19">
        <v>350.0</v>
      </c>
      <c r="C55" s="283"/>
      <c r="D55" s="22" t="s">
        <v>11</v>
      </c>
      <c r="E55" s="65" t="s">
        <v>755</v>
      </c>
      <c r="F55" s="61" t="s">
        <v>15</v>
      </c>
    </row>
    <row r="56">
      <c r="A56" s="18">
        <v>46234.0</v>
      </c>
      <c r="B56" s="19">
        <v>500.0</v>
      </c>
      <c r="C56" s="283"/>
      <c r="D56" s="22" t="s">
        <v>11</v>
      </c>
      <c r="E56" s="63" t="s">
        <v>756</v>
      </c>
      <c r="F56" s="61" t="s">
        <v>15</v>
      </c>
    </row>
    <row r="57">
      <c r="A57" s="18">
        <v>46234.0</v>
      </c>
      <c r="B57" s="19">
        <v>250.0</v>
      </c>
      <c r="C57" s="283"/>
      <c r="D57" s="22" t="s">
        <v>11</v>
      </c>
      <c r="E57" s="65" t="s">
        <v>757</v>
      </c>
      <c r="F57" s="61" t="s">
        <v>15</v>
      </c>
    </row>
    <row r="58">
      <c r="A58" s="18">
        <v>46234.0</v>
      </c>
      <c r="B58" s="19">
        <v>230.0</v>
      </c>
      <c r="C58" s="283"/>
      <c r="D58" s="22" t="s">
        <v>11</v>
      </c>
      <c r="E58" s="65" t="s">
        <v>758</v>
      </c>
      <c r="F58" s="61" t="s">
        <v>62</v>
      </c>
    </row>
    <row r="59">
      <c r="A59" s="18"/>
      <c r="B59" s="19"/>
      <c r="C59" s="283"/>
      <c r="D59" s="22"/>
      <c r="E59" s="65"/>
      <c r="F59" s="61"/>
    </row>
    <row r="60">
      <c r="A60" s="18"/>
      <c r="B60" s="19"/>
      <c r="C60" s="283"/>
      <c r="D60" s="22"/>
      <c r="E60" s="65"/>
      <c r="F60" s="61"/>
    </row>
    <row r="61">
      <c r="A61" s="18"/>
      <c r="B61" s="19"/>
      <c r="C61" s="283"/>
      <c r="D61" s="22"/>
      <c r="E61" s="65"/>
      <c r="F61" s="61"/>
    </row>
    <row r="62">
      <c r="A62" s="18"/>
      <c r="B62" s="19"/>
      <c r="C62" s="283"/>
      <c r="D62" s="22"/>
      <c r="E62" s="65"/>
      <c r="F62" s="61"/>
    </row>
    <row r="63">
      <c r="A63" s="18"/>
      <c r="B63" s="19"/>
      <c r="C63" s="283"/>
      <c r="D63" s="22"/>
      <c r="E63" s="65"/>
      <c r="F63" s="61"/>
    </row>
    <row r="64">
      <c r="A64" s="18"/>
      <c r="B64" s="19"/>
      <c r="C64" s="283"/>
      <c r="D64" s="22"/>
      <c r="E64" s="65"/>
      <c r="F64" s="61"/>
    </row>
    <row r="65">
      <c r="A65" s="18"/>
      <c r="B65" s="19"/>
      <c r="C65" s="283"/>
      <c r="D65" s="22"/>
      <c r="E65" s="65"/>
      <c r="F65" s="61"/>
    </row>
    <row r="66">
      <c r="A66" s="18"/>
      <c r="B66" s="19"/>
      <c r="C66" s="283"/>
      <c r="D66" s="22"/>
      <c r="E66" s="65"/>
      <c r="F66" s="61"/>
    </row>
    <row r="67">
      <c r="A67" s="18"/>
      <c r="B67" s="19"/>
      <c r="C67" s="283"/>
      <c r="D67" s="22"/>
      <c r="E67" s="65"/>
      <c r="F67" s="61"/>
    </row>
    <row r="68">
      <c r="A68" s="18"/>
      <c r="B68" s="19"/>
      <c r="C68" s="283"/>
      <c r="D68" s="22"/>
      <c r="E68" s="65"/>
      <c r="F68" s="61"/>
    </row>
    <row r="69">
      <c r="A69" s="18"/>
      <c r="B69" s="19"/>
      <c r="C69" s="283"/>
      <c r="D69" s="22"/>
      <c r="E69" s="65"/>
      <c r="F69" s="61"/>
    </row>
    <row r="70">
      <c r="A70" s="18"/>
      <c r="B70" s="19"/>
      <c r="C70" s="283"/>
      <c r="D70" s="22"/>
      <c r="E70" s="65"/>
      <c r="F70" s="61"/>
    </row>
    <row r="71">
      <c r="A71" s="18"/>
      <c r="B71" s="19"/>
      <c r="C71" s="283"/>
      <c r="D71" s="22"/>
      <c r="E71" s="65"/>
      <c r="F71" s="61"/>
    </row>
    <row r="72">
      <c r="A72" s="18"/>
      <c r="B72" s="19"/>
      <c r="C72" s="283"/>
      <c r="D72" s="22"/>
      <c r="E72" s="65"/>
      <c r="F72" s="61"/>
    </row>
    <row r="73">
      <c r="A73" s="18"/>
      <c r="B73" s="19"/>
      <c r="C73" s="283"/>
      <c r="D73" s="22"/>
      <c r="E73" s="65"/>
      <c r="F73" s="61"/>
    </row>
    <row r="74">
      <c r="A74" s="18"/>
      <c r="B74" s="19"/>
      <c r="C74" s="283"/>
      <c r="D74" s="22"/>
      <c r="E74" s="65"/>
      <c r="F74" s="61"/>
    </row>
    <row r="75">
      <c r="A75" s="18"/>
      <c r="B75" s="19"/>
      <c r="C75" s="283"/>
      <c r="D75" s="22"/>
      <c r="E75" s="65"/>
      <c r="F75" s="61"/>
    </row>
    <row r="76">
      <c r="A76" s="18"/>
      <c r="B76" s="19"/>
      <c r="C76" s="283"/>
      <c r="D76" s="22"/>
      <c r="E76" s="65"/>
      <c r="F76" s="61"/>
    </row>
    <row r="77">
      <c r="A77" s="18"/>
      <c r="B77" s="19"/>
      <c r="C77" s="283"/>
      <c r="D77" s="22"/>
      <c r="E77" s="65"/>
      <c r="F77" s="61"/>
    </row>
    <row r="78">
      <c r="A78" s="18"/>
      <c r="B78" s="19"/>
      <c r="C78" s="283"/>
      <c r="D78" s="22"/>
      <c r="E78" s="65"/>
      <c r="F78" s="61"/>
    </row>
    <row r="79">
      <c r="A79" s="18"/>
      <c r="B79" s="19"/>
      <c r="C79" s="283"/>
      <c r="D79" s="22"/>
      <c r="E79" s="65"/>
      <c r="F79" s="61"/>
    </row>
    <row r="80">
      <c r="A80" s="18"/>
      <c r="B80" s="19"/>
      <c r="C80" s="283"/>
      <c r="D80" s="22"/>
      <c r="E80" s="65"/>
      <c r="F80" s="61"/>
    </row>
    <row r="81">
      <c r="A81" s="18"/>
      <c r="B81" s="19"/>
      <c r="C81" s="283"/>
      <c r="D81" s="22"/>
      <c r="E81" s="65"/>
      <c r="F81" s="61"/>
    </row>
    <row r="82">
      <c r="A82" s="18"/>
      <c r="B82" s="19"/>
      <c r="C82" s="283"/>
      <c r="D82" s="22"/>
      <c r="E82" s="65"/>
      <c r="F82" s="61"/>
    </row>
    <row r="83">
      <c r="A83" s="18"/>
      <c r="B83" s="19"/>
      <c r="C83" s="283"/>
      <c r="D83" s="22"/>
      <c r="E83" s="65"/>
      <c r="F83" s="61"/>
    </row>
    <row r="84">
      <c r="A84" s="18"/>
      <c r="B84" s="19"/>
      <c r="C84" s="283"/>
      <c r="D84" s="22"/>
      <c r="E84" s="65"/>
      <c r="F84" s="61"/>
    </row>
    <row r="85">
      <c r="A85" s="18"/>
      <c r="B85" s="19"/>
      <c r="C85" s="283"/>
      <c r="D85" s="22"/>
      <c r="E85" s="65"/>
      <c r="F85" s="61"/>
    </row>
    <row r="86">
      <c r="A86" s="18"/>
      <c r="B86" s="19"/>
      <c r="C86" s="283"/>
      <c r="D86" s="22"/>
      <c r="E86" s="65"/>
      <c r="F86" s="61"/>
    </row>
    <row r="87">
      <c r="A87" s="18"/>
      <c r="B87" s="19"/>
      <c r="C87" s="283"/>
      <c r="D87" s="22"/>
      <c r="E87" s="65"/>
      <c r="F87" s="61"/>
    </row>
    <row r="88">
      <c r="A88" s="18"/>
      <c r="B88" s="19"/>
      <c r="C88" s="283"/>
      <c r="D88" s="22"/>
      <c r="E88" s="65"/>
      <c r="F88" s="61"/>
    </row>
    <row r="89">
      <c r="A89" s="18"/>
      <c r="B89" s="19"/>
      <c r="C89" s="283"/>
      <c r="D89" s="22"/>
      <c r="E89" s="65"/>
      <c r="F89" s="61"/>
    </row>
    <row r="90">
      <c r="A90" s="18"/>
      <c r="B90" s="19"/>
      <c r="C90" s="283"/>
      <c r="D90" s="22"/>
      <c r="E90" s="65"/>
      <c r="F90" s="61"/>
    </row>
    <row r="91">
      <c r="A91" s="18"/>
      <c r="B91" s="19"/>
      <c r="C91" s="283"/>
      <c r="D91" s="22"/>
      <c r="E91" s="65"/>
      <c r="F91" s="61"/>
    </row>
    <row r="92">
      <c r="A92" s="18"/>
      <c r="B92" s="19"/>
      <c r="C92" s="283"/>
      <c r="D92" s="22"/>
      <c r="E92" s="65"/>
      <c r="F92" s="61"/>
    </row>
    <row r="93">
      <c r="A93" s="18"/>
      <c r="B93" s="19"/>
      <c r="C93" s="283"/>
      <c r="D93" s="22"/>
      <c r="E93" s="65"/>
      <c r="F93" s="61"/>
    </row>
    <row r="94">
      <c r="A94" s="18"/>
      <c r="B94" s="19"/>
      <c r="C94" s="283"/>
      <c r="D94" s="22"/>
      <c r="E94" s="65"/>
      <c r="F94" s="61"/>
    </row>
    <row r="95">
      <c r="A95" s="18"/>
      <c r="B95" s="19"/>
      <c r="C95" s="283"/>
      <c r="D95" s="22"/>
      <c r="E95" s="65"/>
      <c r="F95" s="61"/>
    </row>
    <row r="96">
      <c r="A96" s="18"/>
      <c r="B96" s="19"/>
      <c r="C96" s="283"/>
      <c r="D96" s="22"/>
      <c r="E96" s="65"/>
      <c r="F96" s="61"/>
    </row>
    <row r="97">
      <c r="A97" s="18"/>
      <c r="B97" s="19"/>
      <c r="C97" s="283"/>
      <c r="D97" s="22"/>
      <c r="E97" s="65"/>
      <c r="F97" s="61"/>
    </row>
    <row r="98">
      <c r="A98" s="18"/>
      <c r="B98" s="19"/>
      <c r="C98" s="283"/>
      <c r="D98" s="22"/>
      <c r="E98" s="65"/>
      <c r="F98" s="61"/>
    </row>
    <row r="99">
      <c r="A99" s="18"/>
      <c r="B99" s="19"/>
      <c r="C99" s="283"/>
      <c r="D99" s="22"/>
      <c r="E99" s="65"/>
      <c r="F99" s="61"/>
    </row>
    <row r="100">
      <c r="A100" s="18"/>
      <c r="B100" s="19"/>
      <c r="C100" s="283"/>
      <c r="D100" s="22"/>
      <c r="E100" s="65"/>
      <c r="F100" s="61"/>
    </row>
    <row r="101">
      <c r="A101" s="18"/>
      <c r="B101" s="19"/>
      <c r="C101" s="283"/>
      <c r="D101" s="22"/>
      <c r="E101" s="65"/>
      <c r="F101" s="61"/>
    </row>
    <row r="102">
      <c r="A102" s="18"/>
      <c r="B102" s="19"/>
      <c r="C102" s="283"/>
      <c r="D102" s="22"/>
      <c r="E102" s="65"/>
      <c r="F102" s="61"/>
    </row>
    <row r="103">
      <c r="A103" s="18"/>
      <c r="B103" s="19"/>
      <c r="C103" s="283"/>
      <c r="D103" s="22"/>
      <c r="E103" s="65"/>
      <c r="F103" s="61"/>
    </row>
    <row r="104">
      <c r="A104" s="18"/>
      <c r="B104" s="19"/>
      <c r="C104" s="283"/>
      <c r="D104" s="22"/>
      <c r="E104" s="65"/>
      <c r="F104" s="61"/>
    </row>
    <row r="105">
      <c r="A105" s="18"/>
      <c r="B105" s="19"/>
      <c r="C105" s="283"/>
      <c r="D105" s="22"/>
      <c r="E105" s="65"/>
      <c r="F105" s="61"/>
    </row>
    <row r="106">
      <c r="A106" s="18"/>
      <c r="B106" s="19"/>
      <c r="C106" s="283"/>
      <c r="D106" s="22"/>
      <c r="E106" s="65"/>
      <c r="F106" s="61"/>
    </row>
    <row r="107">
      <c r="A107" s="18"/>
      <c r="B107" s="19"/>
      <c r="C107" s="283"/>
      <c r="D107" s="22"/>
      <c r="E107" s="65"/>
      <c r="F107" s="61"/>
    </row>
    <row r="108">
      <c r="A108" s="18"/>
      <c r="B108" s="19"/>
      <c r="C108" s="283"/>
      <c r="D108" s="22"/>
      <c r="E108" s="65"/>
      <c r="F108" s="61"/>
    </row>
    <row r="109">
      <c r="A109" s="18"/>
      <c r="B109" s="19"/>
      <c r="C109" s="283"/>
      <c r="D109" s="22"/>
      <c r="E109" s="65"/>
      <c r="F109" s="61"/>
    </row>
    <row r="110">
      <c r="A110" s="18"/>
      <c r="B110" s="19"/>
      <c r="C110" s="283"/>
      <c r="D110" s="22"/>
      <c r="E110" s="65"/>
      <c r="F110" s="61"/>
    </row>
    <row r="111">
      <c r="A111" s="18"/>
      <c r="B111" s="19"/>
      <c r="C111" s="283"/>
      <c r="D111" s="22"/>
      <c r="E111" s="65"/>
      <c r="F111" s="61"/>
    </row>
    <row r="112">
      <c r="A112" s="18"/>
      <c r="B112" s="19"/>
      <c r="C112" s="283"/>
      <c r="D112" s="22"/>
      <c r="E112" s="65"/>
      <c r="F112" s="61"/>
    </row>
    <row r="113">
      <c r="A113" s="18"/>
      <c r="B113" s="19"/>
      <c r="C113" s="283"/>
      <c r="D113" s="22"/>
      <c r="E113" s="65"/>
      <c r="F113" s="61"/>
    </row>
    <row r="114">
      <c r="A114" s="18"/>
      <c r="B114" s="19"/>
      <c r="C114" s="283"/>
      <c r="D114" s="22"/>
      <c r="E114" s="65"/>
      <c r="F114" s="61"/>
    </row>
    <row r="115">
      <c r="A115" s="18"/>
      <c r="B115" s="19"/>
      <c r="C115" s="283"/>
      <c r="D115" s="22"/>
      <c r="E115" s="65"/>
      <c r="F115" s="61"/>
    </row>
    <row r="116">
      <c r="A116" s="18"/>
      <c r="B116" s="19"/>
      <c r="C116" s="283"/>
      <c r="D116" s="22"/>
      <c r="E116" s="65"/>
      <c r="F116" s="61"/>
    </row>
    <row r="117">
      <c r="A117" s="18"/>
      <c r="B117" s="19"/>
      <c r="C117" s="283"/>
      <c r="D117" s="22"/>
      <c r="E117" s="65"/>
      <c r="F117" s="61"/>
    </row>
    <row r="118">
      <c r="A118" s="18"/>
      <c r="B118" s="19"/>
      <c r="C118" s="283"/>
      <c r="D118" s="22"/>
      <c r="E118" s="65"/>
      <c r="F118" s="61"/>
    </row>
    <row r="119">
      <c r="A119" s="18"/>
      <c r="B119" s="19"/>
      <c r="C119" s="283"/>
      <c r="D119" s="22"/>
      <c r="E119" s="65"/>
      <c r="F119" s="61"/>
    </row>
    <row r="120">
      <c r="A120" s="18"/>
      <c r="B120" s="19"/>
      <c r="C120" s="283"/>
      <c r="D120" s="22"/>
      <c r="E120" s="65"/>
      <c r="F120" s="61"/>
    </row>
    <row r="121">
      <c r="A121" s="18"/>
      <c r="B121" s="19"/>
      <c r="C121" s="283"/>
      <c r="D121" s="22"/>
      <c r="E121" s="65"/>
      <c r="F121" s="61"/>
    </row>
    <row r="122">
      <c r="A122" s="296"/>
      <c r="B122" s="297"/>
      <c r="C122" s="299"/>
      <c r="D122" s="296"/>
      <c r="E122" s="296"/>
      <c r="F122" s="296"/>
    </row>
    <row r="123">
      <c r="A123" s="296"/>
      <c r="B123" s="297"/>
      <c r="C123" s="299"/>
      <c r="D123" s="296"/>
      <c r="E123" s="296"/>
      <c r="F123" s="296"/>
    </row>
    <row r="124">
      <c r="A124" s="296"/>
      <c r="B124" s="297"/>
      <c r="C124" s="299"/>
      <c r="D124" s="296"/>
      <c r="E124" s="296"/>
      <c r="F124" s="296"/>
    </row>
    <row r="125">
      <c r="A125" s="296"/>
      <c r="B125" s="297"/>
      <c r="C125" s="299"/>
      <c r="D125" s="296"/>
      <c r="E125" s="296"/>
      <c r="F125" s="296"/>
    </row>
    <row r="126">
      <c r="A126" s="296"/>
      <c r="B126" s="297"/>
      <c r="C126" s="299"/>
      <c r="D126" s="296"/>
      <c r="E126" s="296"/>
      <c r="F126" s="296"/>
    </row>
    <row r="127">
      <c r="A127" s="296"/>
      <c r="B127" s="297"/>
      <c r="C127" s="299"/>
      <c r="D127" s="296"/>
      <c r="E127" s="296"/>
      <c r="F127" s="296"/>
    </row>
    <row r="128">
      <c r="A128" s="296"/>
      <c r="B128" s="297"/>
      <c r="C128" s="299"/>
      <c r="D128" s="296"/>
      <c r="E128" s="296"/>
      <c r="F128" s="296"/>
    </row>
    <row r="129">
      <c r="A129" s="296"/>
      <c r="B129" s="297"/>
      <c r="C129" s="299"/>
      <c r="D129" s="296"/>
      <c r="E129" s="296"/>
      <c r="F129" s="296"/>
    </row>
    <row r="130">
      <c r="A130" s="296"/>
      <c r="B130" s="297"/>
      <c r="C130" s="299"/>
      <c r="D130" s="296"/>
      <c r="E130" s="296"/>
      <c r="F130" s="296"/>
    </row>
    <row r="131">
      <c r="A131" s="296"/>
      <c r="B131" s="297"/>
      <c r="C131" s="299"/>
      <c r="D131" s="296"/>
      <c r="E131" s="296"/>
      <c r="F131" s="296"/>
    </row>
    <row r="132">
      <c r="A132" s="296"/>
      <c r="B132" s="297"/>
      <c r="C132" s="299"/>
      <c r="D132" s="296"/>
      <c r="E132" s="296"/>
      <c r="F132" s="296"/>
    </row>
    <row r="133">
      <c r="A133" s="296"/>
      <c r="B133" s="297"/>
      <c r="C133" s="299"/>
      <c r="D133" s="296"/>
      <c r="E133" s="296"/>
      <c r="F133" s="296"/>
    </row>
    <row r="134">
      <c r="A134" s="296"/>
      <c r="B134" s="297"/>
      <c r="C134" s="299"/>
      <c r="D134" s="296"/>
      <c r="E134" s="296"/>
      <c r="F134" s="296"/>
    </row>
    <row r="135">
      <c r="A135" s="296"/>
      <c r="B135" s="297"/>
      <c r="C135" s="299"/>
      <c r="D135" s="296"/>
      <c r="E135" s="296"/>
      <c r="F135" s="296"/>
    </row>
    <row r="136">
      <c r="A136" s="296"/>
      <c r="B136" s="297"/>
      <c r="C136" s="299"/>
      <c r="D136" s="296"/>
      <c r="E136" s="296"/>
      <c r="F136" s="296"/>
    </row>
    <row r="137">
      <c r="A137" s="296"/>
      <c r="B137" s="297"/>
      <c r="C137" s="299"/>
      <c r="D137" s="296"/>
      <c r="E137" s="296"/>
      <c r="F137" s="296"/>
    </row>
    <row r="138">
      <c r="A138" s="296"/>
      <c r="B138" s="297"/>
      <c r="C138" s="299"/>
      <c r="D138" s="296"/>
      <c r="E138" s="296"/>
      <c r="F138" s="296"/>
    </row>
    <row r="139">
      <c r="A139" s="296"/>
      <c r="B139" s="297"/>
      <c r="C139" s="299"/>
      <c r="D139" s="296"/>
      <c r="E139" s="296"/>
      <c r="F139" s="296"/>
    </row>
    <row r="140">
      <c r="A140" s="296"/>
      <c r="B140" s="297"/>
      <c r="C140" s="299"/>
      <c r="D140" s="296"/>
      <c r="E140" s="296"/>
      <c r="F140" s="296"/>
    </row>
    <row r="141">
      <c r="A141" s="296"/>
      <c r="B141" s="297"/>
      <c r="C141" s="299"/>
      <c r="D141" s="296"/>
      <c r="E141" s="296"/>
      <c r="F141" s="296"/>
    </row>
    <row r="142">
      <c r="A142" s="296"/>
      <c r="B142" s="297"/>
      <c r="C142" s="299"/>
      <c r="D142" s="296"/>
      <c r="E142" s="296"/>
      <c r="F142" s="296"/>
    </row>
    <row r="143">
      <c r="A143" s="296"/>
      <c r="B143" s="297"/>
      <c r="C143" s="299"/>
      <c r="D143" s="296"/>
      <c r="E143" s="296"/>
      <c r="F143" s="296"/>
    </row>
    <row r="144">
      <c r="A144" s="296"/>
      <c r="B144" s="297"/>
      <c r="C144" s="299"/>
      <c r="D144" s="296"/>
      <c r="E144" s="296"/>
      <c r="F144" s="296"/>
    </row>
    <row r="145">
      <c r="A145" s="296"/>
      <c r="B145" s="297"/>
      <c r="C145" s="299"/>
      <c r="D145" s="296"/>
      <c r="E145" s="296"/>
      <c r="F145" s="296"/>
    </row>
    <row r="146">
      <c r="A146" s="296"/>
      <c r="B146" s="297"/>
      <c r="C146" s="299"/>
      <c r="D146" s="296"/>
      <c r="E146" s="296"/>
      <c r="F146" s="296"/>
    </row>
    <row r="147">
      <c r="A147" s="296"/>
      <c r="B147" s="297"/>
      <c r="C147" s="299"/>
      <c r="D147" s="296"/>
      <c r="E147" s="296"/>
      <c r="F147" s="296"/>
    </row>
    <row r="148">
      <c r="A148" s="296"/>
      <c r="B148" s="297"/>
      <c r="C148" s="299"/>
      <c r="D148" s="296"/>
      <c r="E148" s="296"/>
      <c r="F148" s="296"/>
    </row>
    <row r="149">
      <c r="A149" s="296"/>
      <c r="B149" s="297"/>
      <c r="C149" s="299"/>
      <c r="D149" s="296"/>
      <c r="E149" s="296"/>
      <c r="F149" s="296"/>
    </row>
    <row r="150">
      <c r="A150" s="296"/>
      <c r="B150" s="297"/>
      <c r="C150" s="299"/>
      <c r="D150" s="296"/>
      <c r="E150" s="296"/>
      <c r="F150" s="296"/>
    </row>
    <row r="151">
      <c r="A151" s="296"/>
      <c r="B151" s="297"/>
      <c r="C151" s="299"/>
      <c r="D151" s="296"/>
      <c r="E151" s="296"/>
      <c r="F151" s="296"/>
    </row>
    <row r="152">
      <c r="A152" s="296"/>
      <c r="B152" s="297"/>
      <c r="C152" s="299"/>
      <c r="D152" s="296"/>
      <c r="E152" s="296"/>
      <c r="F152" s="296"/>
    </row>
    <row r="153">
      <c r="A153" s="296"/>
      <c r="B153" s="297"/>
      <c r="C153" s="299"/>
      <c r="D153" s="296"/>
      <c r="E153" s="296"/>
      <c r="F153" s="296"/>
    </row>
    <row r="154">
      <c r="A154" s="296"/>
      <c r="B154" s="297"/>
      <c r="C154" s="299"/>
      <c r="D154" s="296"/>
      <c r="E154" s="296"/>
      <c r="F154" s="296"/>
    </row>
    <row r="155">
      <c r="A155" s="296"/>
      <c r="B155" s="297"/>
      <c r="C155" s="299"/>
      <c r="D155" s="296"/>
      <c r="E155" s="296"/>
      <c r="F155" s="296"/>
    </row>
    <row r="156">
      <c r="A156" s="296"/>
      <c r="B156" s="297"/>
      <c r="C156" s="299"/>
      <c r="D156" s="296"/>
      <c r="E156" s="296"/>
      <c r="F156" s="296"/>
    </row>
    <row r="157">
      <c r="A157" s="296"/>
      <c r="B157" s="297"/>
      <c r="C157" s="299"/>
      <c r="D157" s="296"/>
      <c r="E157" s="296"/>
      <c r="F157" s="296"/>
    </row>
    <row r="158">
      <c r="A158" s="296"/>
      <c r="B158" s="297"/>
      <c r="C158" s="299"/>
      <c r="D158" s="296"/>
      <c r="E158" s="296"/>
      <c r="F158" s="296"/>
    </row>
    <row r="159">
      <c r="A159" s="296"/>
      <c r="B159" s="297"/>
      <c r="C159" s="299"/>
      <c r="D159" s="296"/>
      <c r="E159" s="296"/>
      <c r="F159" s="296"/>
    </row>
    <row r="160">
      <c r="A160" s="296"/>
      <c r="B160" s="297"/>
      <c r="C160" s="299"/>
      <c r="D160" s="296"/>
      <c r="E160" s="296"/>
      <c r="F160" s="296"/>
    </row>
    <row r="161">
      <c r="A161" s="296"/>
      <c r="B161" s="297"/>
      <c r="C161" s="299"/>
      <c r="D161" s="296"/>
      <c r="E161" s="296"/>
      <c r="F161" s="296"/>
    </row>
    <row r="162">
      <c r="A162" s="296"/>
      <c r="B162" s="297"/>
      <c r="C162" s="299"/>
      <c r="D162" s="296"/>
      <c r="E162" s="296"/>
      <c r="F162" s="296"/>
    </row>
    <row r="163">
      <c r="A163" s="296"/>
      <c r="B163" s="297"/>
      <c r="C163" s="299"/>
      <c r="D163" s="296"/>
      <c r="E163" s="296"/>
      <c r="F163" s="296"/>
    </row>
    <row r="164">
      <c r="A164" s="296"/>
      <c r="B164" s="297"/>
      <c r="C164" s="299"/>
      <c r="D164" s="296"/>
      <c r="E164" s="296"/>
      <c r="F164" s="296"/>
    </row>
    <row r="165">
      <c r="A165" s="296"/>
      <c r="B165" s="297"/>
      <c r="C165" s="299"/>
      <c r="D165" s="296"/>
      <c r="E165" s="296"/>
      <c r="F165" s="296"/>
    </row>
    <row r="166">
      <c r="A166" s="296"/>
      <c r="B166" s="297"/>
      <c r="C166" s="299"/>
      <c r="D166" s="296"/>
      <c r="E166" s="296"/>
      <c r="F166" s="296"/>
    </row>
    <row r="167">
      <c r="A167" s="296"/>
      <c r="B167" s="297"/>
      <c r="C167" s="299"/>
      <c r="D167" s="296"/>
      <c r="E167" s="296"/>
      <c r="F167" s="296"/>
    </row>
    <row r="168">
      <c r="A168" s="296"/>
      <c r="B168" s="297"/>
      <c r="C168" s="299"/>
      <c r="D168" s="296"/>
      <c r="E168" s="296"/>
      <c r="F168" s="296"/>
    </row>
    <row r="169">
      <c r="A169" s="296"/>
      <c r="B169" s="297"/>
      <c r="C169" s="299"/>
      <c r="D169" s="296"/>
      <c r="E169" s="296"/>
      <c r="F169" s="296"/>
    </row>
    <row r="170">
      <c r="A170" s="296"/>
      <c r="B170" s="297"/>
      <c r="C170" s="299"/>
      <c r="D170" s="296"/>
      <c r="E170" s="296"/>
      <c r="F170" s="296"/>
    </row>
    <row r="171">
      <c r="A171" s="296"/>
      <c r="B171" s="297"/>
      <c r="C171" s="299"/>
      <c r="D171" s="296"/>
      <c r="E171" s="296"/>
      <c r="F171" s="296"/>
    </row>
    <row r="172">
      <c r="A172" s="296"/>
      <c r="B172" s="297"/>
      <c r="C172" s="299"/>
      <c r="D172" s="296"/>
      <c r="E172" s="296"/>
      <c r="F172" s="296"/>
    </row>
    <row r="173">
      <c r="A173" s="296"/>
      <c r="B173" s="297"/>
      <c r="C173" s="299"/>
      <c r="D173" s="296"/>
      <c r="E173" s="296"/>
      <c r="F173" s="296"/>
    </row>
    <row r="174">
      <c r="A174" s="296"/>
      <c r="B174" s="297"/>
      <c r="C174" s="299"/>
      <c r="D174" s="296"/>
      <c r="E174" s="296"/>
      <c r="F174" s="296"/>
    </row>
    <row r="175">
      <c r="A175" s="296"/>
      <c r="B175" s="297"/>
      <c r="C175" s="299"/>
      <c r="D175" s="296"/>
      <c r="E175" s="296"/>
      <c r="F175" s="296"/>
    </row>
    <row r="176">
      <c r="A176" s="296"/>
      <c r="B176" s="297"/>
      <c r="C176" s="299"/>
      <c r="D176" s="296"/>
      <c r="E176" s="296"/>
      <c r="F176" s="296"/>
    </row>
    <row r="177">
      <c r="A177" s="296"/>
      <c r="B177" s="297"/>
      <c r="C177" s="299"/>
      <c r="D177" s="296"/>
      <c r="E177" s="296"/>
      <c r="F177" s="296"/>
    </row>
    <row r="178">
      <c r="A178" s="296"/>
      <c r="B178" s="297"/>
      <c r="C178" s="299"/>
      <c r="D178" s="296"/>
      <c r="E178" s="296"/>
      <c r="F178" s="296"/>
    </row>
    <row r="179">
      <c r="A179" s="296"/>
      <c r="B179" s="297"/>
      <c r="C179" s="299"/>
      <c r="D179" s="296"/>
      <c r="E179" s="296"/>
      <c r="F179" s="296"/>
    </row>
    <row r="180">
      <c r="A180" s="296"/>
      <c r="B180" s="297"/>
      <c r="C180" s="299"/>
      <c r="D180" s="296"/>
      <c r="E180" s="296"/>
      <c r="F180" s="296"/>
    </row>
    <row r="181">
      <c r="A181" s="296"/>
      <c r="B181" s="297"/>
      <c r="C181" s="299"/>
      <c r="D181" s="296"/>
      <c r="E181" s="296"/>
      <c r="F181" s="296"/>
    </row>
    <row r="182">
      <c r="A182" s="296"/>
      <c r="B182" s="297"/>
      <c r="C182" s="299"/>
      <c r="D182" s="296"/>
      <c r="E182" s="296"/>
      <c r="F182" s="296"/>
    </row>
    <row r="183">
      <c r="A183" s="296"/>
      <c r="B183" s="297"/>
      <c r="C183" s="299"/>
      <c r="D183" s="296"/>
      <c r="E183" s="296"/>
      <c r="F183" s="296"/>
    </row>
    <row r="184">
      <c r="A184" s="296"/>
      <c r="B184" s="297"/>
      <c r="C184" s="299"/>
      <c r="D184" s="296"/>
      <c r="E184" s="296"/>
      <c r="F184" s="296"/>
    </row>
    <row r="185">
      <c r="A185" s="296"/>
      <c r="B185" s="297"/>
      <c r="C185" s="299"/>
      <c r="D185" s="296"/>
      <c r="E185" s="296"/>
      <c r="F185" s="296"/>
    </row>
    <row r="186">
      <c r="A186" s="296"/>
      <c r="B186" s="297"/>
      <c r="C186" s="299"/>
      <c r="D186" s="296"/>
      <c r="E186" s="296"/>
      <c r="F186" s="296"/>
    </row>
    <row r="187">
      <c r="A187" s="296"/>
      <c r="B187" s="297"/>
      <c r="C187" s="299"/>
      <c r="D187" s="296"/>
      <c r="E187" s="296"/>
      <c r="F187" s="296"/>
    </row>
    <row r="188">
      <c r="A188" s="296"/>
      <c r="B188" s="297"/>
      <c r="C188" s="299"/>
      <c r="D188" s="296"/>
      <c r="E188" s="296"/>
      <c r="F188" s="296"/>
    </row>
    <row r="189">
      <c r="A189" s="296"/>
      <c r="B189" s="297"/>
      <c r="C189" s="299"/>
      <c r="D189" s="296"/>
      <c r="E189" s="296"/>
      <c r="F189" s="296"/>
    </row>
    <row r="190">
      <c r="A190" s="296"/>
      <c r="B190" s="297"/>
      <c r="C190" s="299"/>
      <c r="D190" s="296"/>
      <c r="E190" s="296"/>
      <c r="F190" s="296"/>
    </row>
    <row r="191">
      <c r="A191" s="296"/>
      <c r="B191" s="297"/>
      <c r="C191" s="299"/>
      <c r="D191" s="296"/>
      <c r="E191" s="296"/>
      <c r="F191" s="296"/>
    </row>
    <row r="192">
      <c r="A192" s="296"/>
      <c r="B192" s="297"/>
      <c r="C192" s="299"/>
      <c r="D192" s="296"/>
      <c r="E192" s="296"/>
      <c r="F192" s="296"/>
    </row>
    <row r="193">
      <c r="A193" s="296"/>
      <c r="B193" s="297"/>
      <c r="C193" s="299"/>
      <c r="D193" s="296"/>
      <c r="E193" s="296"/>
      <c r="F193" s="296"/>
    </row>
    <row r="194">
      <c r="A194" s="296"/>
      <c r="B194" s="297"/>
      <c r="C194" s="299"/>
      <c r="D194" s="296"/>
      <c r="E194" s="296"/>
      <c r="F194" s="296"/>
    </row>
    <row r="195">
      <c r="A195" s="296"/>
      <c r="B195" s="297"/>
      <c r="C195" s="299"/>
      <c r="D195" s="296"/>
      <c r="E195" s="296"/>
      <c r="F195" s="296"/>
    </row>
    <row r="196">
      <c r="A196" s="296"/>
      <c r="B196" s="297"/>
      <c r="C196" s="299"/>
      <c r="D196" s="296"/>
      <c r="E196" s="296"/>
      <c r="F196" s="296"/>
    </row>
    <row r="197">
      <c r="A197" s="296"/>
      <c r="B197" s="297"/>
      <c r="C197" s="299"/>
      <c r="D197" s="296"/>
      <c r="E197" s="296"/>
      <c r="F197" s="296"/>
    </row>
    <row r="198">
      <c r="A198" s="296"/>
      <c r="B198" s="297"/>
      <c r="C198" s="299"/>
      <c r="D198" s="296"/>
      <c r="E198" s="296"/>
      <c r="F198" s="296"/>
    </row>
    <row r="199">
      <c r="A199" s="296"/>
      <c r="B199" s="297"/>
      <c r="C199" s="299"/>
      <c r="D199" s="296"/>
      <c r="E199" s="296"/>
      <c r="F199" s="296"/>
    </row>
    <row r="200">
      <c r="A200" s="296"/>
      <c r="B200" s="297"/>
      <c r="C200" s="299"/>
      <c r="D200" s="296"/>
      <c r="E200" s="296"/>
      <c r="F200" s="296"/>
    </row>
    <row r="201">
      <c r="A201" s="296"/>
      <c r="B201" s="297"/>
      <c r="C201" s="299"/>
      <c r="D201" s="296"/>
      <c r="E201" s="296"/>
      <c r="F201" s="296"/>
    </row>
    <row r="202">
      <c r="A202" s="296"/>
      <c r="B202" s="297"/>
      <c r="C202" s="299"/>
      <c r="D202" s="296"/>
      <c r="E202" s="296"/>
      <c r="F202" s="296"/>
    </row>
    <row r="203">
      <c r="A203" s="296"/>
      <c r="B203" s="297"/>
      <c r="C203" s="299"/>
      <c r="D203" s="296"/>
      <c r="E203" s="296"/>
      <c r="F203" s="296"/>
    </row>
    <row r="204">
      <c r="A204" s="296"/>
      <c r="B204" s="297"/>
      <c r="C204" s="299"/>
      <c r="D204" s="296"/>
      <c r="E204" s="296"/>
      <c r="F204" s="296"/>
    </row>
    <row r="205">
      <c r="A205" s="296"/>
      <c r="B205" s="297"/>
      <c r="C205" s="299"/>
      <c r="D205" s="296"/>
      <c r="E205" s="296"/>
      <c r="F205" s="296"/>
    </row>
    <row r="206">
      <c r="A206" s="296"/>
      <c r="B206" s="297"/>
      <c r="C206" s="299"/>
      <c r="D206" s="296"/>
      <c r="E206" s="296"/>
      <c r="F206" s="296"/>
    </row>
    <row r="207">
      <c r="A207" s="296"/>
      <c r="B207" s="297"/>
      <c r="C207" s="299"/>
      <c r="D207" s="296"/>
      <c r="E207" s="296"/>
      <c r="F207" s="296"/>
    </row>
    <row r="208">
      <c r="A208" s="296"/>
      <c r="B208" s="297"/>
      <c r="C208" s="299"/>
      <c r="D208" s="296"/>
      <c r="E208" s="296"/>
      <c r="F208" s="296"/>
    </row>
    <row r="209">
      <c r="A209" s="296"/>
      <c r="B209" s="297"/>
      <c r="C209" s="299"/>
      <c r="D209" s="296"/>
      <c r="E209" s="296"/>
      <c r="F209" s="296"/>
    </row>
    <row r="210">
      <c r="A210" s="296"/>
      <c r="B210" s="297"/>
      <c r="C210" s="299"/>
      <c r="D210" s="296"/>
      <c r="E210" s="296"/>
      <c r="F210" s="296"/>
    </row>
    <row r="211">
      <c r="A211" s="296"/>
      <c r="B211" s="297"/>
      <c r="C211" s="299"/>
      <c r="D211" s="296"/>
      <c r="E211" s="296"/>
      <c r="F211" s="296"/>
    </row>
    <row r="212">
      <c r="A212" s="296"/>
      <c r="B212" s="297"/>
      <c r="C212" s="299"/>
      <c r="D212" s="296"/>
      <c r="E212" s="296"/>
      <c r="F212" s="296"/>
    </row>
    <row r="213">
      <c r="A213" s="296"/>
      <c r="B213" s="297"/>
      <c r="C213" s="299"/>
      <c r="D213" s="296"/>
      <c r="E213" s="296"/>
      <c r="F213" s="296"/>
    </row>
    <row r="214">
      <c r="A214" s="296"/>
      <c r="B214" s="297"/>
      <c r="C214" s="299"/>
      <c r="D214" s="296"/>
      <c r="E214" s="296"/>
      <c r="F214" s="296"/>
    </row>
    <row r="215">
      <c r="A215" s="296"/>
      <c r="B215" s="297"/>
      <c r="C215" s="299"/>
      <c r="D215" s="296"/>
      <c r="E215" s="296"/>
      <c r="F215" s="296"/>
    </row>
    <row r="216">
      <c r="A216" s="296"/>
      <c r="B216" s="297"/>
      <c r="C216" s="299"/>
      <c r="D216" s="296"/>
      <c r="E216" s="296"/>
      <c r="F216" s="296"/>
    </row>
    <row r="217">
      <c r="A217" s="296"/>
      <c r="B217" s="297"/>
      <c r="C217" s="299"/>
      <c r="D217" s="296"/>
      <c r="E217" s="296"/>
      <c r="F217" s="296"/>
    </row>
    <row r="218">
      <c r="A218" s="296"/>
      <c r="B218" s="297"/>
      <c r="C218" s="299"/>
      <c r="D218" s="296"/>
      <c r="E218" s="296"/>
      <c r="F218" s="296"/>
    </row>
    <row r="219">
      <c r="A219" s="296"/>
      <c r="B219" s="297"/>
      <c r="C219" s="299"/>
      <c r="D219" s="296"/>
      <c r="E219" s="296"/>
      <c r="F219" s="296"/>
    </row>
    <row r="220">
      <c r="A220" s="296"/>
      <c r="B220" s="297"/>
      <c r="C220" s="299"/>
      <c r="D220" s="296"/>
      <c r="E220" s="296"/>
      <c r="F220" s="296"/>
    </row>
    <row r="221">
      <c r="A221" s="296"/>
      <c r="B221" s="297"/>
      <c r="C221" s="299"/>
      <c r="D221" s="296"/>
      <c r="E221" s="296"/>
      <c r="F221" s="296"/>
    </row>
    <row r="222">
      <c r="A222" s="296"/>
      <c r="B222" s="297"/>
      <c r="C222" s="299"/>
      <c r="D222" s="296"/>
      <c r="E222" s="296"/>
      <c r="F222" s="296"/>
    </row>
    <row r="223">
      <c r="A223" s="296"/>
      <c r="B223" s="297"/>
      <c r="C223" s="299"/>
      <c r="D223" s="296"/>
      <c r="E223" s="296"/>
      <c r="F223" s="296"/>
    </row>
    <row r="224">
      <c r="A224" s="296"/>
      <c r="B224" s="297"/>
      <c r="C224" s="299"/>
      <c r="D224" s="296"/>
      <c r="E224" s="296"/>
      <c r="F224" s="296"/>
    </row>
    <row r="225">
      <c r="A225" s="296"/>
      <c r="B225" s="297"/>
      <c r="C225" s="299"/>
      <c r="D225" s="296"/>
      <c r="E225" s="296"/>
      <c r="F225" s="296"/>
    </row>
    <row r="226">
      <c r="A226" s="296"/>
      <c r="B226" s="297"/>
      <c r="C226" s="299"/>
      <c r="D226" s="296"/>
      <c r="E226" s="296"/>
      <c r="F226" s="296"/>
    </row>
    <row r="227">
      <c r="A227" s="296"/>
      <c r="B227" s="297"/>
      <c r="C227" s="299"/>
      <c r="D227" s="296"/>
      <c r="E227" s="296"/>
      <c r="F227" s="296"/>
    </row>
    <row r="228">
      <c r="A228" s="296"/>
      <c r="B228" s="297"/>
      <c r="C228" s="299"/>
      <c r="D228" s="296"/>
      <c r="E228" s="296"/>
      <c r="F228" s="296"/>
    </row>
    <row r="229">
      <c r="A229" s="296"/>
      <c r="B229" s="297"/>
      <c r="C229" s="299"/>
      <c r="D229" s="296"/>
      <c r="E229" s="296"/>
      <c r="F229" s="296"/>
    </row>
    <row r="230">
      <c r="A230" s="296"/>
      <c r="B230" s="297"/>
      <c r="C230" s="299"/>
      <c r="D230" s="296"/>
      <c r="E230" s="296"/>
      <c r="F230" s="296"/>
    </row>
    <row r="231">
      <c r="A231" s="296"/>
      <c r="B231" s="297"/>
      <c r="C231" s="299"/>
      <c r="D231" s="296"/>
      <c r="E231" s="296"/>
      <c r="F231" s="296"/>
    </row>
    <row r="232">
      <c r="A232" s="296"/>
      <c r="B232" s="297"/>
      <c r="C232" s="299"/>
      <c r="D232" s="296"/>
      <c r="E232" s="296"/>
      <c r="F232" s="296"/>
    </row>
    <row r="233">
      <c r="A233" s="296"/>
      <c r="B233" s="297"/>
      <c r="C233" s="299"/>
      <c r="D233" s="296"/>
      <c r="E233" s="296"/>
      <c r="F233" s="296"/>
    </row>
    <row r="234">
      <c r="A234" s="296"/>
      <c r="B234" s="297"/>
      <c r="C234" s="299"/>
      <c r="D234" s="296"/>
      <c r="E234" s="296"/>
      <c r="F234" s="296"/>
    </row>
    <row r="235">
      <c r="A235" s="296"/>
      <c r="B235" s="297"/>
      <c r="C235" s="299"/>
      <c r="D235" s="296"/>
      <c r="E235" s="296"/>
      <c r="F235" s="296"/>
    </row>
    <row r="236">
      <c r="A236" s="296"/>
      <c r="B236" s="297"/>
      <c r="C236" s="299"/>
      <c r="D236" s="296"/>
      <c r="E236" s="296"/>
      <c r="F236" s="296"/>
    </row>
    <row r="237">
      <c r="A237" s="296"/>
      <c r="B237" s="297"/>
      <c r="C237" s="299"/>
      <c r="D237" s="296"/>
      <c r="E237" s="296"/>
      <c r="F237" s="296"/>
    </row>
    <row r="238">
      <c r="A238" s="296"/>
      <c r="B238" s="297"/>
      <c r="C238" s="299"/>
      <c r="D238" s="296"/>
      <c r="E238" s="296"/>
      <c r="F238" s="296"/>
    </row>
    <row r="239">
      <c r="A239" s="296"/>
      <c r="B239" s="297"/>
      <c r="C239" s="299"/>
      <c r="D239" s="296"/>
      <c r="E239" s="296"/>
      <c r="F239" s="296"/>
    </row>
    <row r="240">
      <c r="A240" s="296"/>
      <c r="B240" s="297"/>
      <c r="C240" s="299"/>
      <c r="D240" s="296"/>
      <c r="E240" s="296"/>
      <c r="F240" s="296"/>
    </row>
    <row r="241">
      <c r="A241" s="296"/>
      <c r="B241" s="297"/>
      <c r="C241" s="299"/>
      <c r="D241" s="296"/>
      <c r="E241" s="296"/>
      <c r="F241" s="296"/>
    </row>
    <row r="242">
      <c r="A242" s="296"/>
      <c r="B242" s="297"/>
      <c r="C242" s="299"/>
      <c r="D242" s="296"/>
      <c r="E242" s="296"/>
      <c r="F242" s="296"/>
    </row>
    <row r="243">
      <c r="A243" s="296"/>
      <c r="B243" s="297"/>
      <c r="C243" s="299"/>
      <c r="D243" s="296"/>
      <c r="E243" s="296"/>
      <c r="F243" s="296"/>
    </row>
    <row r="244">
      <c r="A244" s="296"/>
      <c r="B244" s="297"/>
      <c r="C244" s="299"/>
      <c r="D244" s="296"/>
      <c r="E244" s="296"/>
      <c r="F244" s="296"/>
    </row>
    <row r="245">
      <c r="A245" s="296"/>
      <c r="B245" s="297"/>
      <c r="C245" s="299"/>
      <c r="D245" s="296"/>
      <c r="E245" s="296"/>
      <c r="F245" s="296"/>
    </row>
    <row r="246">
      <c r="A246" s="296"/>
      <c r="B246" s="297"/>
      <c r="C246" s="299"/>
      <c r="D246" s="296"/>
      <c r="E246" s="296"/>
      <c r="F246" s="296"/>
    </row>
    <row r="247">
      <c r="A247" s="296"/>
      <c r="B247" s="297"/>
      <c r="C247" s="299"/>
      <c r="D247" s="296"/>
      <c r="E247" s="296"/>
      <c r="F247" s="296"/>
    </row>
    <row r="248">
      <c r="A248" s="296"/>
      <c r="B248" s="297"/>
      <c r="C248" s="299"/>
      <c r="D248" s="296"/>
      <c r="E248" s="296"/>
      <c r="F248" s="296"/>
    </row>
    <row r="249">
      <c r="A249" s="296"/>
      <c r="B249" s="297"/>
      <c r="C249" s="299"/>
      <c r="D249" s="296"/>
      <c r="E249" s="296"/>
      <c r="F249" s="296"/>
    </row>
    <row r="250">
      <c r="A250" s="296"/>
      <c r="B250" s="297"/>
      <c r="C250" s="299"/>
      <c r="D250" s="296"/>
      <c r="E250" s="296"/>
      <c r="F250" s="296"/>
    </row>
    <row r="251">
      <c r="A251" s="296"/>
      <c r="B251" s="297"/>
      <c r="C251" s="299"/>
      <c r="D251" s="296"/>
      <c r="E251" s="296"/>
      <c r="F251" s="296"/>
    </row>
    <row r="252">
      <c r="A252" s="296"/>
      <c r="B252" s="297"/>
      <c r="C252" s="299"/>
      <c r="D252" s="296"/>
      <c r="E252" s="296"/>
      <c r="F252" s="296"/>
    </row>
    <row r="253">
      <c r="A253" s="296"/>
      <c r="B253" s="297"/>
      <c r="C253" s="299"/>
      <c r="D253" s="296"/>
      <c r="E253" s="296"/>
      <c r="F253" s="296"/>
    </row>
    <row r="254">
      <c r="A254" s="296"/>
      <c r="B254" s="297"/>
      <c r="C254" s="299"/>
      <c r="D254" s="296"/>
      <c r="E254" s="296"/>
      <c r="F254" s="296"/>
    </row>
    <row r="255">
      <c r="A255" s="296"/>
      <c r="B255" s="297"/>
      <c r="C255" s="299"/>
      <c r="D255" s="296"/>
      <c r="E255" s="296"/>
      <c r="F255" s="296"/>
    </row>
    <row r="256">
      <c r="A256" s="296"/>
      <c r="B256" s="297"/>
      <c r="C256" s="299"/>
      <c r="D256" s="296"/>
      <c r="E256" s="296"/>
      <c r="F256" s="296"/>
    </row>
    <row r="257">
      <c r="A257" s="296"/>
      <c r="B257" s="297"/>
      <c r="C257" s="299"/>
      <c r="D257" s="296"/>
      <c r="E257" s="296"/>
      <c r="F257" s="296"/>
    </row>
    <row r="258">
      <c r="A258" s="296"/>
      <c r="B258" s="297"/>
      <c r="C258" s="299"/>
      <c r="D258" s="296"/>
      <c r="E258" s="296"/>
      <c r="F258" s="296"/>
    </row>
    <row r="259">
      <c r="A259" s="296"/>
      <c r="B259" s="297"/>
      <c r="C259" s="299"/>
      <c r="D259" s="296"/>
      <c r="E259" s="296"/>
      <c r="F259" s="296"/>
    </row>
    <row r="260">
      <c r="A260" s="296"/>
      <c r="B260" s="297"/>
      <c r="C260" s="299"/>
      <c r="D260" s="296"/>
      <c r="E260" s="296"/>
      <c r="F260" s="296"/>
    </row>
    <row r="261">
      <c r="A261" s="296"/>
      <c r="B261" s="297"/>
      <c r="C261" s="299"/>
      <c r="D261" s="296"/>
      <c r="E261" s="296"/>
      <c r="F261" s="296"/>
    </row>
    <row r="262">
      <c r="A262" s="296"/>
      <c r="B262" s="297"/>
      <c r="C262" s="299"/>
      <c r="D262" s="296"/>
      <c r="E262" s="296"/>
      <c r="F262" s="296"/>
    </row>
    <row r="263">
      <c r="A263" s="296"/>
      <c r="B263" s="297"/>
      <c r="C263" s="299"/>
      <c r="D263" s="296"/>
      <c r="E263" s="296"/>
      <c r="F263" s="296"/>
    </row>
    <row r="264">
      <c r="A264" s="296"/>
      <c r="B264" s="297"/>
      <c r="C264" s="299"/>
      <c r="D264" s="296"/>
      <c r="E264" s="296"/>
      <c r="F264" s="296"/>
    </row>
    <row r="265">
      <c r="A265" s="296"/>
      <c r="B265" s="297"/>
      <c r="C265" s="299"/>
      <c r="D265" s="296"/>
      <c r="E265" s="296"/>
      <c r="F265" s="296"/>
    </row>
    <row r="266">
      <c r="A266" s="296"/>
      <c r="B266" s="297"/>
      <c r="C266" s="299"/>
      <c r="D266" s="296"/>
      <c r="E266" s="296"/>
      <c r="F266" s="296"/>
    </row>
    <row r="267">
      <c r="A267" s="296"/>
      <c r="B267" s="297"/>
      <c r="C267" s="299"/>
      <c r="D267" s="296"/>
      <c r="E267" s="296"/>
      <c r="F267" s="296"/>
    </row>
    <row r="268">
      <c r="A268" s="296"/>
      <c r="B268" s="297"/>
      <c r="C268" s="299"/>
      <c r="D268" s="296"/>
      <c r="E268" s="296"/>
      <c r="F268" s="296"/>
    </row>
    <row r="269">
      <c r="A269" s="296"/>
      <c r="B269" s="297"/>
      <c r="C269" s="299"/>
      <c r="D269" s="296"/>
      <c r="E269" s="296"/>
      <c r="F269" s="296"/>
    </row>
    <row r="270">
      <c r="A270" s="296"/>
      <c r="B270" s="297"/>
      <c r="C270" s="299"/>
      <c r="D270" s="296"/>
      <c r="E270" s="296"/>
      <c r="F270" s="296"/>
    </row>
    <row r="271">
      <c r="A271" s="296"/>
      <c r="B271" s="297"/>
      <c r="C271" s="299"/>
      <c r="D271" s="296"/>
      <c r="E271" s="296"/>
      <c r="F271" s="296"/>
    </row>
    <row r="272">
      <c r="A272" s="296"/>
      <c r="B272" s="297"/>
      <c r="C272" s="299"/>
      <c r="D272" s="296"/>
      <c r="E272" s="296"/>
      <c r="F272" s="296"/>
    </row>
    <row r="273">
      <c r="A273" s="296"/>
      <c r="B273" s="297"/>
      <c r="C273" s="299"/>
      <c r="D273" s="296"/>
      <c r="E273" s="296"/>
      <c r="F273" s="296"/>
    </row>
    <row r="274">
      <c r="A274" s="296"/>
      <c r="B274" s="297"/>
      <c r="C274" s="299"/>
      <c r="D274" s="296"/>
      <c r="E274" s="296"/>
      <c r="F274" s="296"/>
    </row>
    <row r="275">
      <c r="A275" s="296"/>
      <c r="B275" s="297"/>
      <c r="C275" s="299"/>
      <c r="D275" s="296"/>
      <c r="E275" s="296"/>
      <c r="F275" s="296"/>
    </row>
    <row r="276">
      <c r="A276" s="296"/>
      <c r="B276" s="297"/>
      <c r="C276" s="299"/>
      <c r="D276" s="296"/>
      <c r="E276" s="296"/>
      <c r="F276" s="296"/>
    </row>
    <row r="277">
      <c r="A277" s="296"/>
      <c r="B277" s="297"/>
      <c r="C277" s="299"/>
      <c r="D277" s="296"/>
      <c r="E277" s="296"/>
      <c r="F277" s="296"/>
    </row>
    <row r="278">
      <c r="A278" s="296"/>
      <c r="B278" s="297"/>
      <c r="C278" s="299"/>
      <c r="D278" s="296"/>
      <c r="E278" s="296"/>
      <c r="F278" s="296"/>
    </row>
    <row r="279">
      <c r="A279" s="296"/>
      <c r="B279" s="297"/>
      <c r="C279" s="299"/>
      <c r="D279" s="296"/>
      <c r="E279" s="296"/>
      <c r="F279" s="296"/>
    </row>
    <row r="280">
      <c r="A280" s="296"/>
      <c r="B280" s="297"/>
      <c r="C280" s="299"/>
      <c r="D280" s="296"/>
      <c r="E280" s="296"/>
      <c r="F280" s="296"/>
    </row>
    <row r="281">
      <c r="A281" s="296"/>
      <c r="B281" s="297"/>
      <c r="C281" s="299"/>
      <c r="D281" s="296"/>
      <c r="E281" s="296"/>
      <c r="F281" s="296"/>
    </row>
    <row r="282">
      <c r="A282" s="296"/>
      <c r="B282" s="297"/>
      <c r="C282" s="299"/>
      <c r="D282" s="296"/>
      <c r="E282" s="296"/>
      <c r="F282" s="296"/>
    </row>
    <row r="283">
      <c r="A283" s="296"/>
      <c r="B283" s="297"/>
      <c r="C283" s="299"/>
      <c r="D283" s="296"/>
      <c r="E283" s="296"/>
      <c r="F283" s="296"/>
    </row>
    <row r="284">
      <c r="A284" s="296"/>
      <c r="B284" s="297"/>
      <c r="C284" s="299"/>
      <c r="D284" s="296"/>
      <c r="E284" s="296"/>
      <c r="F284" s="296"/>
    </row>
    <row r="285">
      <c r="A285" s="296"/>
      <c r="B285" s="297"/>
      <c r="C285" s="299"/>
      <c r="D285" s="296"/>
      <c r="E285" s="296"/>
      <c r="F285" s="296"/>
    </row>
    <row r="286">
      <c r="A286" s="296"/>
      <c r="B286" s="297"/>
      <c r="C286" s="299"/>
      <c r="D286" s="296"/>
      <c r="E286" s="296"/>
      <c r="F286" s="296"/>
    </row>
    <row r="287">
      <c r="A287" s="296"/>
      <c r="B287" s="297"/>
      <c r="C287" s="299"/>
      <c r="D287" s="296"/>
      <c r="E287" s="296"/>
      <c r="F287" s="296"/>
    </row>
    <row r="288">
      <c r="A288" s="296"/>
      <c r="B288" s="297"/>
      <c r="C288" s="299"/>
      <c r="D288" s="296"/>
      <c r="E288" s="296"/>
      <c r="F288" s="296"/>
    </row>
    <row r="289">
      <c r="A289" s="296"/>
      <c r="B289" s="297"/>
      <c r="C289" s="299"/>
      <c r="D289" s="296"/>
      <c r="E289" s="296"/>
      <c r="F289" s="296"/>
    </row>
    <row r="290">
      <c r="A290" s="296"/>
      <c r="B290" s="297"/>
      <c r="C290" s="299"/>
      <c r="D290" s="296"/>
      <c r="E290" s="296"/>
      <c r="F290" s="296"/>
    </row>
    <row r="291">
      <c r="A291" s="296"/>
      <c r="B291" s="297"/>
      <c r="C291" s="299"/>
      <c r="D291" s="296"/>
      <c r="E291" s="296"/>
      <c r="F291" s="296"/>
    </row>
    <row r="292">
      <c r="A292" s="296"/>
      <c r="B292" s="297"/>
      <c r="C292" s="299"/>
      <c r="D292" s="296"/>
      <c r="E292" s="296"/>
      <c r="F292" s="296"/>
    </row>
    <row r="293">
      <c r="A293" s="296"/>
      <c r="B293" s="297"/>
      <c r="C293" s="299"/>
      <c r="D293" s="296"/>
      <c r="E293" s="296"/>
      <c r="F293" s="296"/>
    </row>
    <row r="294">
      <c r="A294" s="296"/>
      <c r="B294" s="297"/>
      <c r="C294" s="299"/>
      <c r="D294" s="296"/>
      <c r="E294" s="296"/>
      <c r="F294" s="296"/>
    </row>
    <row r="295">
      <c r="A295" s="296"/>
      <c r="B295" s="297"/>
      <c r="C295" s="299"/>
      <c r="D295" s="296"/>
      <c r="E295" s="296"/>
      <c r="F295" s="296"/>
    </row>
    <row r="296">
      <c r="A296" s="296"/>
      <c r="B296" s="297"/>
      <c r="C296" s="299"/>
      <c r="D296" s="296"/>
      <c r="E296" s="296"/>
      <c r="F296" s="296"/>
    </row>
    <row r="297">
      <c r="A297" s="296"/>
      <c r="B297" s="297"/>
      <c r="C297" s="299"/>
      <c r="D297" s="296"/>
      <c r="E297" s="296"/>
      <c r="F297" s="296"/>
    </row>
    <row r="298">
      <c r="A298" s="296"/>
      <c r="B298" s="297"/>
      <c r="C298" s="299"/>
      <c r="D298" s="296"/>
      <c r="E298" s="296"/>
      <c r="F298" s="296"/>
    </row>
    <row r="299">
      <c r="A299" s="296"/>
      <c r="B299" s="297"/>
      <c r="C299" s="299"/>
      <c r="D299" s="296"/>
      <c r="E299" s="296"/>
      <c r="F299" s="296"/>
    </row>
    <row r="300">
      <c r="A300" s="296"/>
      <c r="B300" s="297"/>
      <c r="C300" s="299"/>
      <c r="D300" s="296"/>
      <c r="E300" s="296"/>
      <c r="F300" s="296"/>
    </row>
    <row r="301">
      <c r="A301" s="296"/>
      <c r="B301" s="297"/>
      <c r="C301" s="299"/>
      <c r="D301" s="296"/>
      <c r="E301" s="296"/>
      <c r="F301" s="296"/>
    </row>
    <row r="302">
      <c r="A302" s="296"/>
      <c r="B302" s="297"/>
      <c r="C302" s="299"/>
      <c r="D302" s="296"/>
      <c r="E302" s="296"/>
      <c r="F302" s="296"/>
    </row>
    <row r="303">
      <c r="A303" s="296"/>
      <c r="B303" s="297"/>
      <c r="C303" s="299"/>
      <c r="D303" s="296"/>
      <c r="E303" s="296"/>
      <c r="F303" s="296"/>
    </row>
    <row r="304">
      <c r="A304" s="296"/>
      <c r="B304" s="297"/>
      <c r="C304" s="299"/>
      <c r="D304" s="296"/>
      <c r="E304" s="296"/>
      <c r="F304" s="296"/>
    </row>
    <row r="305">
      <c r="A305" s="296"/>
      <c r="B305" s="297"/>
      <c r="C305" s="299"/>
      <c r="D305" s="296"/>
      <c r="E305" s="296"/>
      <c r="F305" s="296"/>
    </row>
    <row r="306">
      <c r="A306" s="296"/>
      <c r="B306" s="297"/>
      <c r="C306" s="299"/>
      <c r="D306" s="296"/>
      <c r="E306" s="296"/>
      <c r="F306" s="296"/>
    </row>
    <row r="307">
      <c r="A307" s="296"/>
      <c r="B307" s="297"/>
      <c r="C307" s="299"/>
      <c r="D307" s="296"/>
      <c r="E307" s="296"/>
      <c r="F307" s="296"/>
    </row>
    <row r="308">
      <c r="A308" s="296"/>
      <c r="B308" s="297"/>
      <c r="C308" s="299"/>
      <c r="D308" s="296"/>
      <c r="E308" s="296"/>
      <c r="F308" s="296"/>
    </row>
    <row r="309">
      <c r="A309" s="296"/>
      <c r="B309" s="297"/>
      <c r="C309" s="299"/>
      <c r="D309" s="296"/>
      <c r="E309" s="296"/>
      <c r="F309" s="296"/>
    </row>
    <row r="310">
      <c r="A310" s="296"/>
      <c r="B310" s="297"/>
      <c r="C310" s="299"/>
      <c r="D310" s="296"/>
      <c r="E310" s="296"/>
      <c r="F310" s="296"/>
    </row>
    <row r="311">
      <c r="A311" s="296"/>
      <c r="B311" s="297"/>
      <c r="C311" s="299"/>
      <c r="D311" s="296"/>
      <c r="E311" s="296"/>
      <c r="F311" s="296"/>
    </row>
    <row r="312">
      <c r="A312" s="296"/>
      <c r="B312" s="297"/>
      <c r="C312" s="299"/>
      <c r="D312" s="296"/>
      <c r="E312" s="296"/>
      <c r="F312" s="296"/>
    </row>
    <row r="313">
      <c r="A313" s="296"/>
      <c r="B313" s="297"/>
      <c r="C313" s="299"/>
      <c r="D313" s="296"/>
      <c r="E313" s="296"/>
      <c r="F313" s="296"/>
    </row>
    <row r="314">
      <c r="A314" s="296"/>
      <c r="B314" s="297"/>
      <c r="C314" s="299"/>
      <c r="D314" s="296"/>
      <c r="E314" s="296"/>
      <c r="F314" s="296"/>
    </row>
    <row r="315">
      <c r="A315" s="296"/>
      <c r="B315" s="297"/>
      <c r="C315" s="299"/>
      <c r="D315" s="296"/>
      <c r="E315" s="296"/>
      <c r="F315" s="296"/>
    </row>
    <row r="316">
      <c r="A316" s="296"/>
      <c r="B316" s="297"/>
      <c r="C316" s="299"/>
      <c r="D316" s="296"/>
      <c r="E316" s="296"/>
      <c r="F316" s="296"/>
    </row>
    <row r="317">
      <c r="A317" s="296"/>
      <c r="B317" s="297"/>
      <c r="C317" s="299"/>
      <c r="D317" s="296"/>
      <c r="E317" s="296"/>
      <c r="F317" s="296"/>
    </row>
    <row r="318">
      <c r="A318" s="296"/>
      <c r="B318" s="297"/>
      <c r="C318" s="299"/>
      <c r="D318" s="296"/>
      <c r="E318" s="296"/>
      <c r="F318" s="296"/>
    </row>
    <row r="319">
      <c r="A319" s="296"/>
      <c r="B319" s="297"/>
      <c r="C319" s="299"/>
      <c r="D319" s="296"/>
      <c r="E319" s="296"/>
      <c r="F319" s="296"/>
    </row>
    <row r="320">
      <c r="A320" s="296"/>
      <c r="B320" s="297"/>
      <c r="C320" s="299"/>
      <c r="D320" s="296"/>
      <c r="E320" s="296"/>
      <c r="F320" s="296"/>
    </row>
    <row r="321">
      <c r="A321" s="296"/>
      <c r="B321" s="297"/>
      <c r="C321" s="299"/>
      <c r="D321" s="296"/>
      <c r="E321" s="296"/>
      <c r="F321" s="296"/>
    </row>
    <row r="322">
      <c r="A322" s="296"/>
      <c r="B322" s="297"/>
      <c r="C322" s="299"/>
      <c r="D322" s="296"/>
      <c r="E322" s="296"/>
      <c r="F322" s="296"/>
    </row>
    <row r="323">
      <c r="A323" s="296"/>
      <c r="B323" s="297"/>
      <c r="C323" s="299"/>
      <c r="D323" s="296"/>
      <c r="E323" s="296"/>
      <c r="F323" s="296"/>
    </row>
    <row r="324">
      <c r="A324" s="296"/>
      <c r="B324" s="297"/>
      <c r="C324" s="299"/>
      <c r="D324" s="296"/>
      <c r="E324" s="296"/>
      <c r="F324" s="296"/>
    </row>
    <row r="325">
      <c r="A325" s="296"/>
      <c r="B325" s="297"/>
      <c r="C325" s="299"/>
      <c r="D325" s="296"/>
      <c r="E325" s="296"/>
      <c r="F325" s="296"/>
    </row>
    <row r="326">
      <c r="A326" s="296"/>
      <c r="B326" s="297"/>
      <c r="C326" s="299"/>
      <c r="D326" s="296"/>
      <c r="E326" s="296"/>
      <c r="F326" s="296"/>
    </row>
    <row r="327">
      <c r="A327" s="296"/>
      <c r="B327" s="297"/>
      <c r="C327" s="299"/>
      <c r="D327" s="296"/>
      <c r="E327" s="296"/>
      <c r="F327" s="296"/>
    </row>
    <row r="328">
      <c r="A328" s="296"/>
      <c r="B328" s="297"/>
      <c r="C328" s="299"/>
      <c r="D328" s="296"/>
      <c r="E328" s="296"/>
      <c r="F328" s="296"/>
    </row>
    <row r="329">
      <c r="A329" s="296"/>
      <c r="B329" s="297"/>
      <c r="C329" s="299"/>
      <c r="D329" s="296"/>
      <c r="E329" s="296"/>
      <c r="F329" s="296"/>
    </row>
    <row r="330">
      <c r="A330" s="296"/>
      <c r="B330" s="297"/>
      <c r="C330" s="299"/>
      <c r="D330" s="296"/>
      <c r="E330" s="296"/>
      <c r="F330" s="296"/>
    </row>
    <row r="331">
      <c r="A331" s="296"/>
      <c r="B331" s="297"/>
      <c r="C331" s="299"/>
      <c r="D331" s="296"/>
      <c r="E331" s="296"/>
      <c r="F331" s="296"/>
    </row>
    <row r="332">
      <c r="A332" s="296"/>
      <c r="B332" s="297"/>
      <c r="C332" s="299"/>
      <c r="D332" s="296"/>
      <c r="E332" s="296"/>
      <c r="F332" s="296"/>
    </row>
    <row r="333">
      <c r="A333" s="296"/>
      <c r="B333" s="297"/>
      <c r="C333" s="299"/>
      <c r="D333" s="296"/>
      <c r="E333" s="296"/>
      <c r="F333" s="296"/>
    </row>
    <row r="334">
      <c r="A334" s="296"/>
      <c r="B334" s="297"/>
      <c r="C334" s="299"/>
      <c r="D334" s="296"/>
      <c r="E334" s="296"/>
      <c r="F334" s="296"/>
    </row>
    <row r="335">
      <c r="A335" s="296"/>
      <c r="B335" s="297"/>
      <c r="C335" s="299"/>
      <c r="D335" s="296"/>
      <c r="E335" s="296"/>
      <c r="F335" s="296"/>
    </row>
    <row r="336">
      <c r="A336" s="296"/>
      <c r="B336" s="297"/>
      <c r="C336" s="299"/>
      <c r="D336" s="296"/>
      <c r="E336" s="296"/>
      <c r="F336" s="296"/>
    </row>
    <row r="337">
      <c r="A337" s="296"/>
      <c r="B337" s="297"/>
      <c r="C337" s="299"/>
      <c r="D337" s="296"/>
      <c r="E337" s="296"/>
      <c r="F337" s="296"/>
    </row>
    <row r="338">
      <c r="A338" s="296"/>
      <c r="B338" s="297"/>
      <c r="C338" s="299"/>
      <c r="D338" s="296"/>
      <c r="E338" s="296"/>
      <c r="F338" s="296"/>
    </row>
    <row r="339">
      <c r="A339" s="296"/>
      <c r="B339" s="297"/>
      <c r="C339" s="299"/>
      <c r="D339" s="296"/>
      <c r="E339" s="296"/>
      <c r="F339" s="296"/>
    </row>
    <row r="340">
      <c r="A340" s="296"/>
      <c r="B340" s="297"/>
      <c r="C340" s="299"/>
      <c r="D340" s="296"/>
      <c r="E340" s="296"/>
      <c r="F340" s="296"/>
    </row>
    <row r="341">
      <c r="A341" s="296"/>
      <c r="B341" s="297"/>
      <c r="C341" s="299"/>
      <c r="D341" s="296"/>
      <c r="E341" s="296"/>
      <c r="F341" s="296"/>
    </row>
    <row r="342">
      <c r="A342" s="296"/>
      <c r="B342" s="297"/>
      <c r="C342" s="299"/>
      <c r="D342" s="296"/>
      <c r="E342" s="296"/>
      <c r="F342" s="296"/>
    </row>
    <row r="343">
      <c r="A343" s="296"/>
      <c r="B343" s="297"/>
      <c r="C343" s="299"/>
      <c r="D343" s="296"/>
      <c r="E343" s="296"/>
      <c r="F343" s="296"/>
    </row>
    <row r="344">
      <c r="A344" s="296"/>
      <c r="B344" s="297"/>
      <c r="C344" s="299"/>
      <c r="D344" s="296"/>
      <c r="E344" s="296"/>
      <c r="F344" s="296"/>
    </row>
    <row r="345">
      <c r="A345" s="296"/>
      <c r="B345" s="297"/>
      <c r="C345" s="299"/>
      <c r="D345" s="296"/>
      <c r="E345" s="296"/>
      <c r="F345" s="296"/>
    </row>
    <row r="346">
      <c r="A346" s="296"/>
      <c r="B346" s="297"/>
      <c r="C346" s="299"/>
      <c r="D346" s="296"/>
      <c r="E346" s="296"/>
      <c r="F346" s="296"/>
    </row>
    <row r="347">
      <c r="A347" s="296"/>
      <c r="B347" s="297"/>
      <c r="C347" s="299"/>
      <c r="D347" s="296"/>
      <c r="E347" s="296"/>
      <c r="F347" s="296"/>
    </row>
    <row r="348">
      <c r="A348" s="296"/>
      <c r="B348" s="297"/>
      <c r="C348" s="299"/>
      <c r="D348" s="296"/>
      <c r="E348" s="296"/>
      <c r="F348" s="296"/>
    </row>
    <row r="349">
      <c r="A349" s="296"/>
      <c r="B349" s="297"/>
      <c r="C349" s="299"/>
      <c r="D349" s="296"/>
      <c r="E349" s="296"/>
      <c r="F349" s="296"/>
    </row>
    <row r="350">
      <c r="A350" s="296"/>
      <c r="B350" s="297"/>
      <c r="C350" s="299"/>
      <c r="D350" s="296"/>
      <c r="E350" s="296"/>
      <c r="F350" s="296"/>
    </row>
    <row r="351">
      <c r="A351" s="296"/>
      <c r="B351" s="297"/>
      <c r="C351" s="299"/>
      <c r="D351" s="296"/>
      <c r="E351" s="296"/>
      <c r="F351" s="296"/>
    </row>
    <row r="352">
      <c r="A352" s="296"/>
      <c r="B352" s="297"/>
      <c r="C352" s="299"/>
      <c r="D352" s="296"/>
      <c r="E352" s="296"/>
      <c r="F352" s="296"/>
    </row>
    <row r="353">
      <c r="A353" s="296"/>
      <c r="B353" s="297"/>
      <c r="C353" s="299"/>
      <c r="D353" s="296"/>
      <c r="E353" s="296"/>
      <c r="F353" s="296"/>
    </row>
    <row r="354">
      <c r="A354" s="296"/>
      <c r="B354" s="297"/>
      <c r="C354" s="299"/>
      <c r="D354" s="296"/>
      <c r="E354" s="296"/>
      <c r="F354" s="296"/>
    </row>
    <row r="355">
      <c r="A355" s="296"/>
      <c r="B355" s="297"/>
      <c r="C355" s="299"/>
      <c r="D355" s="296"/>
      <c r="E355" s="296"/>
      <c r="F355" s="296"/>
    </row>
    <row r="356">
      <c r="A356" s="296"/>
      <c r="B356" s="297"/>
      <c r="C356" s="299"/>
      <c r="D356" s="296"/>
      <c r="E356" s="296"/>
      <c r="F356" s="296"/>
    </row>
    <row r="357">
      <c r="A357" s="296"/>
      <c r="B357" s="297"/>
      <c r="C357" s="299"/>
      <c r="D357" s="296"/>
      <c r="E357" s="296"/>
      <c r="F357" s="296"/>
    </row>
    <row r="358">
      <c r="A358" s="296"/>
      <c r="B358" s="297"/>
      <c r="C358" s="299"/>
      <c r="D358" s="296"/>
      <c r="E358" s="296"/>
      <c r="F358" s="296"/>
    </row>
    <row r="359">
      <c r="A359" s="296"/>
      <c r="B359" s="297"/>
      <c r="C359" s="299"/>
      <c r="D359" s="296"/>
      <c r="E359" s="296"/>
      <c r="F359" s="296"/>
    </row>
    <row r="360">
      <c r="A360" s="296"/>
      <c r="B360" s="297"/>
      <c r="C360" s="299"/>
      <c r="D360" s="296"/>
      <c r="E360" s="296"/>
      <c r="F360" s="296"/>
    </row>
    <row r="361">
      <c r="A361" s="296"/>
      <c r="B361" s="297"/>
      <c r="C361" s="299"/>
      <c r="D361" s="296"/>
      <c r="E361" s="296"/>
      <c r="F361" s="296"/>
    </row>
    <row r="362">
      <c r="A362" s="296"/>
      <c r="B362" s="297"/>
      <c r="C362" s="299"/>
      <c r="D362" s="296"/>
      <c r="E362" s="296"/>
      <c r="F362" s="296"/>
    </row>
    <row r="363">
      <c r="A363" s="296"/>
      <c r="B363" s="297"/>
      <c r="C363" s="299"/>
      <c r="D363" s="296"/>
      <c r="E363" s="296"/>
      <c r="F363" s="296"/>
    </row>
    <row r="364">
      <c r="A364" s="296"/>
      <c r="B364" s="297"/>
      <c r="C364" s="299"/>
      <c r="D364" s="296"/>
      <c r="E364" s="296"/>
      <c r="F364" s="296"/>
    </row>
    <row r="365">
      <c r="A365" s="296"/>
      <c r="B365" s="297"/>
      <c r="C365" s="299"/>
      <c r="D365" s="296"/>
      <c r="E365" s="296"/>
      <c r="F365" s="296"/>
    </row>
    <row r="366">
      <c r="A366" s="296"/>
      <c r="B366" s="297"/>
      <c r="C366" s="299"/>
      <c r="D366" s="296"/>
      <c r="E366" s="296"/>
      <c r="F366" s="296"/>
    </row>
    <row r="367">
      <c r="A367" s="296"/>
      <c r="B367" s="297"/>
      <c r="C367" s="299"/>
      <c r="D367" s="296"/>
      <c r="E367" s="296"/>
      <c r="F367" s="296"/>
    </row>
    <row r="368">
      <c r="A368" s="296"/>
      <c r="B368" s="297"/>
      <c r="C368" s="299"/>
      <c r="D368" s="296"/>
      <c r="E368" s="296"/>
      <c r="F368" s="296"/>
    </row>
    <row r="369">
      <c r="A369" s="296"/>
      <c r="B369" s="297"/>
      <c r="C369" s="299"/>
      <c r="D369" s="296"/>
      <c r="E369" s="296"/>
      <c r="F369" s="296"/>
    </row>
    <row r="370">
      <c r="A370" s="296"/>
      <c r="B370" s="297"/>
      <c r="C370" s="299"/>
      <c r="D370" s="296"/>
      <c r="E370" s="296"/>
      <c r="F370" s="296"/>
    </row>
    <row r="371">
      <c r="A371" s="296"/>
      <c r="B371" s="297"/>
      <c r="C371" s="299"/>
      <c r="D371" s="296"/>
      <c r="E371" s="296"/>
      <c r="F371" s="296"/>
    </row>
    <row r="372">
      <c r="A372" s="296"/>
      <c r="B372" s="297"/>
      <c r="C372" s="299"/>
      <c r="D372" s="296"/>
      <c r="E372" s="296"/>
      <c r="F372" s="296"/>
    </row>
    <row r="373">
      <c r="A373" s="296"/>
      <c r="B373" s="297"/>
      <c r="C373" s="299"/>
      <c r="D373" s="296"/>
      <c r="E373" s="296"/>
      <c r="F373" s="296"/>
    </row>
    <row r="374">
      <c r="A374" s="296"/>
      <c r="B374" s="297"/>
      <c r="C374" s="299"/>
      <c r="D374" s="296"/>
      <c r="E374" s="296"/>
      <c r="F374" s="296"/>
    </row>
    <row r="375">
      <c r="A375" s="296"/>
      <c r="B375" s="297"/>
      <c r="C375" s="299"/>
      <c r="D375" s="296"/>
      <c r="E375" s="296"/>
      <c r="F375" s="296"/>
    </row>
    <row r="376">
      <c r="A376" s="296"/>
      <c r="B376" s="297"/>
      <c r="C376" s="299"/>
      <c r="D376" s="296"/>
      <c r="E376" s="296"/>
      <c r="F376" s="296"/>
    </row>
    <row r="377">
      <c r="A377" s="296"/>
      <c r="B377" s="297"/>
      <c r="C377" s="299"/>
      <c r="D377" s="296"/>
      <c r="E377" s="296"/>
      <c r="F377" s="296"/>
    </row>
    <row r="378">
      <c r="A378" s="296"/>
      <c r="B378" s="297"/>
      <c r="C378" s="299"/>
      <c r="D378" s="296"/>
      <c r="E378" s="296"/>
      <c r="F378" s="296"/>
    </row>
    <row r="379">
      <c r="A379" s="296"/>
      <c r="B379" s="297"/>
      <c r="C379" s="299"/>
      <c r="D379" s="296"/>
      <c r="E379" s="296"/>
      <c r="F379" s="296"/>
    </row>
    <row r="380">
      <c r="A380" s="296"/>
      <c r="B380" s="297"/>
      <c r="C380" s="299"/>
      <c r="D380" s="296"/>
      <c r="E380" s="296"/>
      <c r="F380" s="296"/>
    </row>
    <row r="381">
      <c r="A381" s="296"/>
      <c r="B381" s="297"/>
      <c r="C381" s="299"/>
      <c r="D381" s="296"/>
      <c r="E381" s="296"/>
      <c r="F381" s="296"/>
    </row>
    <row r="382">
      <c r="A382" s="296"/>
      <c r="B382" s="297"/>
      <c r="C382" s="299"/>
      <c r="D382" s="296"/>
      <c r="E382" s="296"/>
      <c r="F382" s="296"/>
    </row>
    <row r="383">
      <c r="A383" s="296"/>
      <c r="B383" s="297"/>
      <c r="C383" s="299"/>
      <c r="D383" s="296"/>
      <c r="E383" s="296"/>
      <c r="F383" s="296"/>
    </row>
    <row r="384">
      <c r="A384" s="296"/>
      <c r="B384" s="297"/>
      <c r="C384" s="299"/>
      <c r="D384" s="296"/>
      <c r="E384" s="296"/>
      <c r="F384" s="296"/>
    </row>
    <row r="385">
      <c r="A385" s="296"/>
      <c r="B385" s="297"/>
      <c r="C385" s="299"/>
      <c r="D385" s="296"/>
      <c r="E385" s="296"/>
      <c r="F385" s="296"/>
    </row>
    <row r="386">
      <c r="A386" s="296"/>
      <c r="B386" s="297"/>
      <c r="C386" s="299"/>
      <c r="D386" s="296"/>
      <c r="E386" s="296"/>
      <c r="F386" s="296"/>
    </row>
    <row r="387">
      <c r="A387" s="296"/>
      <c r="B387" s="297"/>
      <c r="C387" s="299"/>
      <c r="D387" s="296"/>
      <c r="E387" s="296"/>
      <c r="F387" s="296"/>
    </row>
    <row r="388">
      <c r="A388" s="296"/>
      <c r="B388" s="297"/>
      <c r="C388" s="299"/>
      <c r="D388" s="296"/>
      <c r="E388" s="296"/>
      <c r="F388" s="296"/>
    </row>
    <row r="389">
      <c r="A389" s="296"/>
      <c r="B389" s="297"/>
      <c r="C389" s="299"/>
      <c r="D389" s="296"/>
      <c r="E389" s="296"/>
      <c r="F389" s="296"/>
    </row>
    <row r="390">
      <c r="A390" s="296"/>
      <c r="B390" s="297"/>
      <c r="C390" s="299"/>
      <c r="D390" s="296"/>
      <c r="E390" s="296"/>
      <c r="F390" s="296"/>
    </row>
    <row r="391">
      <c r="A391" s="296"/>
      <c r="B391" s="297"/>
      <c r="C391" s="299"/>
      <c r="D391" s="296"/>
      <c r="E391" s="296"/>
      <c r="F391" s="296"/>
    </row>
    <row r="392">
      <c r="A392" s="296"/>
      <c r="B392" s="297"/>
      <c r="C392" s="299"/>
      <c r="D392" s="296"/>
      <c r="E392" s="296"/>
      <c r="F392" s="296"/>
    </row>
    <row r="393">
      <c r="A393" s="296"/>
      <c r="B393" s="297"/>
      <c r="C393" s="299"/>
      <c r="D393" s="296"/>
      <c r="E393" s="296"/>
      <c r="F393" s="296"/>
    </row>
    <row r="394">
      <c r="A394" s="296"/>
      <c r="B394" s="297"/>
      <c r="C394" s="299"/>
      <c r="D394" s="296"/>
      <c r="E394" s="296"/>
      <c r="F394" s="296"/>
    </row>
    <row r="395">
      <c r="A395" s="296"/>
      <c r="B395" s="297"/>
      <c r="C395" s="299"/>
      <c r="D395" s="296"/>
      <c r="E395" s="296"/>
      <c r="F395" s="296"/>
    </row>
    <row r="396">
      <c r="A396" s="296"/>
      <c r="B396" s="297"/>
      <c r="C396" s="299"/>
      <c r="D396" s="296"/>
      <c r="E396" s="296"/>
      <c r="F396" s="296"/>
    </row>
    <row r="397">
      <c r="A397" s="296"/>
      <c r="B397" s="297"/>
      <c r="C397" s="299"/>
      <c r="D397" s="296"/>
      <c r="E397" s="296"/>
      <c r="F397" s="296"/>
    </row>
    <row r="398">
      <c r="A398" s="296"/>
      <c r="B398" s="297"/>
      <c r="C398" s="299"/>
      <c r="D398" s="296"/>
      <c r="E398" s="296"/>
      <c r="F398" s="296"/>
    </row>
    <row r="399">
      <c r="A399" s="296"/>
      <c r="B399" s="297"/>
      <c r="C399" s="299"/>
      <c r="D399" s="296"/>
      <c r="E399" s="296"/>
      <c r="F399" s="296"/>
    </row>
    <row r="400">
      <c r="A400" s="296"/>
      <c r="B400" s="297"/>
      <c r="C400" s="299"/>
      <c r="D400" s="296"/>
      <c r="E400" s="296"/>
      <c r="F400" s="296"/>
    </row>
    <row r="401">
      <c r="A401" s="296"/>
      <c r="B401" s="297"/>
      <c r="C401" s="299"/>
      <c r="D401" s="296"/>
      <c r="E401" s="296"/>
      <c r="F401" s="296"/>
    </row>
    <row r="402">
      <c r="A402" s="296"/>
      <c r="B402" s="297"/>
      <c r="C402" s="299"/>
      <c r="D402" s="296"/>
      <c r="E402" s="296"/>
      <c r="F402" s="296"/>
    </row>
    <row r="403">
      <c r="A403" s="296"/>
      <c r="B403" s="297"/>
      <c r="C403" s="299"/>
      <c r="D403" s="296"/>
      <c r="E403" s="296"/>
      <c r="F403" s="296"/>
    </row>
    <row r="404">
      <c r="A404" s="296"/>
      <c r="B404" s="297"/>
      <c r="C404" s="299"/>
      <c r="D404" s="296"/>
      <c r="E404" s="296"/>
      <c r="F404" s="296"/>
    </row>
    <row r="405">
      <c r="A405" s="296"/>
      <c r="B405" s="297"/>
      <c r="C405" s="299"/>
      <c r="D405" s="296"/>
      <c r="E405" s="296"/>
      <c r="F405" s="296"/>
    </row>
    <row r="406">
      <c r="A406" s="296"/>
      <c r="B406" s="297"/>
      <c r="C406" s="299"/>
      <c r="D406" s="296"/>
      <c r="E406" s="296"/>
      <c r="F406" s="296"/>
    </row>
    <row r="407">
      <c r="A407" s="296"/>
      <c r="B407" s="297"/>
      <c r="C407" s="299"/>
      <c r="D407" s="296"/>
      <c r="E407" s="296"/>
      <c r="F407" s="296"/>
    </row>
    <row r="408">
      <c r="A408" s="296"/>
      <c r="B408" s="297"/>
      <c r="C408" s="299"/>
      <c r="D408" s="296"/>
      <c r="E408" s="296"/>
      <c r="F408" s="296"/>
    </row>
    <row r="409">
      <c r="A409" s="296"/>
      <c r="B409" s="297"/>
      <c r="C409" s="299"/>
      <c r="D409" s="296"/>
      <c r="E409" s="296"/>
      <c r="F409" s="296"/>
    </row>
    <row r="410">
      <c r="A410" s="296"/>
      <c r="B410" s="297"/>
      <c r="C410" s="299"/>
      <c r="D410" s="296"/>
      <c r="E410" s="296"/>
      <c r="F410" s="296"/>
    </row>
    <row r="411">
      <c r="A411" s="296"/>
      <c r="B411" s="297"/>
      <c r="C411" s="299"/>
      <c r="D411" s="296"/>
      <c r="E411" s="296"/>
      <c r="F411" s="296"/>
    </row>
    <row r="412">
      <c r="A412" s="296"/>
      <c r="B412" s="297"/>
      <c r="C412" s="299"/>
      <c r="D412" s="296"/>
      <c r="E412" s="296"/>
      <c r="F412" s="296"/>
    </row>
    <row r="413">
      <c r="A413" s="296"/>
      <c r="B413" s="297"/>
      <c r="C413" s="299"/>
      <c r="D413" s="296"/>
      <c r="E413" s="296"/>
      <c r="F413" s="296"/>
    </row>
    <row r="414">
      <c r="A414" s="296"/>
      <c r="B414" s="297"/>
      <c r="C414" s="299"/>
      <c r="D414" s="296"/>
      <c r="E414" s="296"/>
      <c r="F414" s="296"/>
    </row>
    <row r="415">
      <c r="A415" s="296"/>
      <c r="B415" s="297"/>
      <c r="C415" s="299"/>
      <c r="D415" s="296"/>
      <c r="E415" s="296"/>
      <c r="F415" s="296"/>
    </row>
    <row r="416">
      <c r="A416" s="296"/>
      <c r="B416" s="297"/>
      <c r="C416" s="299"/>
      <c r="D416" s="296"/>
      <c r="E416" s="296"/>
      <c r="F416" s="296"/>
    </row>
    <row r="417">
      <c r="A417" s="296"/>
      <c r="B417" s="297"/>
      <c r="C417" s="299"/>
      <c r="D417" s="296"/>
      <c r="E417" s="296"/>
      <c r="F417" s="296"/>
    </row>
    <row r="418">
      <c r="A418" s="296"/>
      <c r="B418" s="297"/>
      <c r="C418" s="299"/>
      <c r="D418" s="296"/>
      <c r="E418" s="296"/>
      <c r="F418" s="296"/>
    </row>
    <row r="419">
      <c r="A419" s="296"/>
      <c r="B419" s="297"/>
      <c r="C419" s="299"/>
      <c r="D419" s="296"/>
      <c r="E419" s="296"/>
      <c r="F419" s="296"/>
    </row>
    <row r="420">
      <c r="A420" s="296"/>
      <c r="B420" s="297"/>
      <c r="C420" s="299"/>
      <c r="D420" s="296"/>
      <c r="E420" s="296"/>
      <c r="F420" s="296"/>
    </row>
    <row r="421">
      <c r="A421" s="296"/>
      <c r="B421" s="297"/>
      <c r="C421" s="299"/>
      <c r="D421" s="296"/>
      <c r="E421" s="296"/>
      <c r="F421" s="296"/>
    </row>
    <row r="422">
      <c r="A422" s="296"/>
      <c r="B422" s="297"/>
      <c r="C422" s="299"/>
      <c r="D422" s="296"/>
      <c r="E422" s="296"/>
      <c r="F422" s="296"/>
    </row>
    <row r="423">
      <c r="A423" s="296"/>
      <c r="B423" s="297"/>
      <c r="C423" s="299"/>
      <c r="D423" s="296"/>
      <c r="E423" s="296"/>
      <c r="F423" s="296"/>
    </row>
    <row r="424">
      <c r="A424" s="296"/>
      <c r="B424" s="297"/>
      <c r="C424" s="299"/>
      <c r="D424" s="296"/>
      <c r="E424" s="296"/>
      <c r="F424" s="296"/>
    </row>
    <row r="425">
      <c r="A425" s="296"/>
      <c r="B425" s="297"/>
      <c r="C425" s="299"/>
      <c r="D425" s="296"/>
      <c r="E425" s="296"/>
      <c r="F425" s="296"/>
    </row>
    <row r="426">
      <c r="A426" s="296"/>
      <c r="B426" s="297"/>
      <c r="C426" s="299"/>
      <c r="D426" s="296"/>
      <c r="E426" s="296"/>
      <c r="F426" s="296"/>
    </row>
    <row r="427">
      <c r="A427" s="296"/>
      <c r="B427" s="297"/>
      <c r="C427" s="299"/>
      <c r="D427" s="296"/>
      <c r="E427" s="296"/>
      <c r="F427" s="296"/>
    </row>
    <row r="428">
      <c r="A428" s="296"/>
      <c r="B428" s="297"/>
      <c r="C428" s="299"/>
      <c r="D428" s="296"/>
      <c r="E428" s="296"/>
      <c r="F428" s="296"/>
    </row>
    <row r="429">
      <c r="A429" s="296"/>
      <c r="B429" s="297"/>
      <c r="C429" s="299"/>
      <c r="D429" s="296"/>
      <c r="E429" s="296"/>
      <c r="F429" s="296"/>
    </row>
    <row r="430">
      <c r="A430" s="296"/>
      <c r="B430" s="297"/>
      <c r="C430" s="299"/>
      <c r="D430" s="296"/>
      <c r="E430" s="296"/>
      <c r="F430" s="296"/>
    </row>
    <row r="431">
      <c r="A431" s="296"/>
      <c r="B431" s="297"/>
      <c r="C431" s="299"/>
      <c r="D431" s="296"/>
      <c r="E431" s="296"/>
      <c r="F431" s="296"/>
    </row>
    <row r="432">
      <c r="A432" s="296"/>
      <c r="B432" s="297"/>
      <c r="C432" s="299"/>
      <c r="D432" s="296"/>
      <c r="E432" s="296"/>
      <c r="F432" s="296"/>
    </row>
    <row r="433">
      <c r="A433" s="296"/>
      <c r="B433" s="297"/>
      <c r="C433" s="299"/>
      <c r="D433" s="296"/>
      <c r="E433" s="296"/>
      <c r="F433" s="296"/>
    </row>
    <row r="434">
      <c r="A434" s="296"/>
      <c r="B434" s="297"/>
      <c r="C434" s="299"/>
      <c r="D434" s="296"/>
      <c r="E434" s="296"/>
      <c r="F434" s="296"/>
    </row>
    <row r="435">
      <c r="A435" s="296"/>
      <c r="B435" s="297"/>
      <c r="C435" s="299"/>
      <c r="D435" s="296"/>
      <c r="E435" s="296"/>
      <c r="F435" s="296"/>
    </row>
    <row r="436">
      <c r="A436" s="296"/>
      <c r="B436" s="297"/>
      <c r="C436" s="299"/>
      <c r="D436" s="296"/>
      <c r="E436" s="296"/>
      <c r="F436" s="296"/>
    </row>
    <row r="437">
      <c r="A437" s="296"/>
      <c r="B437" s="297"/>
      <c r="C437" s="299"/>
      <c r="D437" s="296"/>
      <c r="E437" s="296"/>
      <c r="F437" s="296"/>
    </row>
    <row r="438">
      <c r="A438" s="296"/>
      <c r="B438" s="297"/>
      <c r="C438" s="299"/>
      <c r="D438" s="296"/>
      <c r="E438" s="296"/>
      <c r="F438" s="296"/>
    </row>
    <row r="439">
      <c r="A439" s="296"/>
      <c r="B439" s="297"/>
      <c r="C439" s="299"/>
      <c r="D439" s="296"/>
      <c r="E439" s="296"/>
      <c r="F439" s="296"/>
    </row>
    <row r="440">
      <c r="A440" s="296"/>
      <c r="B440" s="297"/>
      <c r="C440" s="299"/>
      <c r="D440" s="296"/>
      <c r="E440" s="296"/>
      <c r="F440" s="296"/>
    </row>
    <row r="441">
      <c r="A441" s="296"/>
      <c r="B441" s="297"/>
      <c r="C441" s="299"/>
      <c r="D441" s="296"/>
      <c r="E441" s="296"/>
      <c r="F441" s="296"/>
    </row>
    <row r="442">
      <c r="A442" s="296"/>
      <c r="B442" s="297"/>
      <c r="C442" s="299"/>
      <c r="D442" s="296"/>
      <c r="E442" s="296"/>
      <c r="F442" s="296"/>
    </row>
    <row r="443">
      <c r="A443" s="296"/>
      <c r="B443" s="297"/>
      <c r="C443" s="299"/>
      <c r="D443" s="296"/>
      <c r="E443" s="296"/>
      <c r="F443" s="296"/>
    </row>
    <row r="444">
      <c r="A444" s="296"/>
      <c r="B444" s="297"/>
      <c r="C444" s="299"/>
      <c r="D444" s="296"/>
      <c r="E444" s="296"/>
      <c r="F444" s="296"/>
    </row>
    <row r="445">
      <c r="A445" s="296"/>
      <c r="B445" s="297"/>
      <c r="C445" s="299"/>
      <c r="D445" s="296"/>
      <c r="E445" s="296"/>
      <c r="F445" s="296"/>
    </row>
    <row r="446">
      <c r="A446" s="296"/>
      <c r="B446" s="297"/>
      <c r="C446" s="299"/>
      <c r="D446" s="296"/>
      <c r="E446" s="296"/>
      <c r="F446" s="296"/>
    </row>
    <row r="447">
      <c r="A447" s="296"/>
      <c r="B447" s="297"/>
      <c r="C447" s="299"/>
      <c r="D447" s="296"/>
      <c r="E447" s="296"/>
      <c r="F447" s="296"/>
    </row>
    <row r="448">
      <c r="A448" s="296"/>
      <c r="B448" s="297"/>
      <c r="C448" s="299"/>
      <c r="D448" s="296"/>
      <c r="E448" s="296"/>
      <c r="F448" s="296"/>
    </row>
    <row r="449">
      <c r="A449" s="296"/>
      <c r="B449" s="297"/>
      <c r="C449" s="299"/>
      <c r="D449" s="296"/>
      <c r="E449" s="296"/>
      <c r="F449" s="296"/>
    </row>
    <row r="450">
      <c r="A450" s="296"/>
      <c r="B450" s="297"/>
      <c r="C450" s="299"/>
      <c r="D450" s="296"/>
      <c r="E450" s="296"/>
      <c r="F450" s="296"/>
    </row>
    <row r="451">
      <c r="A451" s="296"/>
      <c r="B451" s="297"/>
      <c r="C451" s="299"/>
      <c r="D451" s="296"/>
      <c r="E451" s="296"/>
      <c r="F451" s="296"/>
    </row>
    <row r="452">
      <c r="A452" s="296"/>
      <c r="B452" s="297"/>
      <c r="C452" s="299"/>
      <c r="D452" s="296"/>
      <c r="E452" s="296"/>
      <c r="F452" s="296"/>
    </row>
    <row r="453">
      <c r="A453" s="296"/>
      <c r="B453" s="297"/>
      <c r="C453" s="299"/>
      <c r="D453" s="296"/>
      <c r="E453" s="296"/>
      <c r="F453" s="296"/>
    </row>
    <row r="454">
      <c r="A454" s="296"/>
      <c r="B454" s="297"/>
      <c r="C454" s="299"/>
      <c r="D454" s="296"/>
      <c r="E454" s="296"/>
      <c r="F454" s="296"/>
    </row>
    <row r="455">
      <c r="A455" s="296"/>
      <c r="B455" s="297"/>
      <c r="C455" s="299"/>
      <c r="D455" s="296"/>
      <c r="E455" s="296"/>
      <c r="F455" s="296"/>
    </row>
    <row r="456">
      <c r="A456" s="296"/>
      <c r="B456" s="297"/>
      <c r="C456" s="299"/>
      <c r="D456" s="296"/>
      <c r="E456" s="296"/>
      <c r="F456" s="296"/>
    </row>
    <row r="457">
      <c r="A457" s="296"/>
      <c r="B457" s="297"/>
      <c r="C457" s="299"/>
      <c r="D457" s="296"/>
      <c r="E457" s="296"/>
      <c r="F457" s="296"/>
    </row>
    <row r="458">
      <c r="A458" s="296"/>
      <c r="B458" s="297"/>
      <c r="C458" s="299"/>
      <c r="D458" s="296"/>
      <c r="E458" s="296"/>
      <c r="F458" s="296"/>
    </row>
    <row r="459">
      <c r="A459" s="296"/>
      <c r="B459" s="297"/>
      <c r="C459" s="299"/>
      <c r="D459" s="296"/>
      <c r="E459" s="296"/>
      <c r="F459" s="296"/>
    </row>
    <row r="460">
      <c r="A460" s="296"/>
      <c r="B460" s="297"/>
      <c r="C460" s="299"/>
      <c r="D460" s="296"/>
      <c r="E460" s="296"/>
      <c r="F460" s="296"/>
    </row>
    <row r="461">
      <c r="A461" s="296"/>
      <c r="B461" s="297"/>
      <c r="C461" s="299"/>
      <c r="D461" s="296"/>
      <c r="E461" s="296"/>
      <c r="F461" s="296"/>
    </row>
    <row r="462">
      <c r="A462" s="296"/>
      <c r="B462" s="297"/>
      <c r="C462" s="299"/>
      <c r="D462" s="296"/>
      <c r="E462" s="296"/>
      <c r="F462" s="296"/>
    </row>
    <row r="463">
      <c r="A463" s="296"/>
      <c r="B463" s="297"/>
      <c r="C463" s="299"/>
      <c r="D463" s="296"/>
      <c r="E463" s="296"/>
      <c r="F463" s="296"/>
    </row>
    <row r="464">
      <c r="A464" s="296"/>
      <c r="B464" s="297"/>
      <c r="C464" s="299"/>
      <c r="D464" s="296"/>
      <c r="E464" s="296"/>
      <c r="F464" s="296"/>
    </row>
    <row r="465">
      <c r="A465" s="296"/>
      <c r="B465" s="297"/>
      <c r="C465" s="299"/>
      <c r="D465" s="296"/>
      <c r="E465" s="296"/>
      <c r="F465" s="296"/>
    </row>
    <row r="466">
      <c r="A466" s="296"/>
      <c r="B466" s="297"/>
      <c r="C466" s="299"/>
      <c r="D466" s="296"/>
      <c r="E466" s="296"/>
      <c r="F466" s="296"/>
    </row>
    <row r="467">
      <c r="A467" s="296"/>
      <c r="B467" s="297"/>
      <c r="C467" s="299"/>
      <c r="D467" s="296"/>
      <c r="E467" s="296"/>
      <c r="F467" s="296"/>
    </row>
    <row r="468">
      <c r="A468" s="296"/>
      <c r="B468" s="297"/>
      <c r="C468" s="299"/>
      <c r="D468" s="296"/>
      <c r="E468" s="296"/>
      <c r="F468" s="296"/>
    </row>
    <row r="469">
      <c r="A469" s="296"/>
      <c r="B469" s="297"/>
      <c r="C469" s="299"/>
      <c r="D469" s="296"/>
      <c r="E469" s="296"/>
      <c r="F469" s="296"/>
    </row>
    <row r="470">
      <c r="A470" s="296"/>
      <c r="B470" s="297"/>
      <c r="C470" s="299"/>
      <c r="D470" s="296"/>
      <c r="E470" s="296"/>
      <c r="F470" s="296"/>
    </row>
    <row r="471">
      <c r="A471" s="296"/>
      <c r="B471" s="297"/>
      <c r="C471" s="299"/>
      <c r="D471" s="296"/>
      <c r="E471" s="296"/>
      <c r="F471" s="296"/>
    </row>
    <row r="472">
      <c r="A472" s="296"/>
      <c r="B472" s="297"/>
      <c r="C472" s="299"/>
      <c r="D472" s="296"/>
      <c r="E472" s="296"/>
      <c r="F472" s="296"/>
    </row>
    <row r="473">
      <c r="A473" s="296"/>
      <c r="B473" s="297"/>
      <c r="C473" s="299"/>
      <c r="D473" s="296"/>
      <c r="E473" s="296"/>
      <c r="F473" s="296"/>
    </row>
    <row r="474">
      <c r="A474" s="296"/>
      <c r="B474" s="297"/>
      <c r="C474" s="299"/>
      <c r="D474" s="296"/>
      <c r="E474" s="296"/>
      <c r="F474" s="296"/>
    </row>
    <row r="475">
      <c r="A475" s="296"/>
      <c r="B475" s="297"/>
      <c r="C475" s="299"/>
      <c r="D475" s="296"/>
      <c r="E475" s="296"/>
      <c r="F475" s="296"/>
    </row>
    <row r="476">
      <c r="A476" s="296"/>
      <c r="B476" s="297"/>
      <c r="C476" s="299"/>
      <c r="D476" s="296"/>
      <c r="E476" s="296"/>
      <c r="F476" s="296"/>
    </row>
    <row r="477">
      <c r="A477" s="296"/>
      <c r="B477" s="297"/>
      <c r="C477" s="299"/>
      <c r="D477" s="296"/>
      <c r="E477" s="296"/>
      <c r="F477" s="296"/>
    </row>
    <row r="478">
      <c r="A478" s="296"/>
      <c r="B478" s="297"/>
      <c r="C478" s="299"/>
      <c r="D478" s="296"/>
      <c r="E478" s="296"/>
      <c r="F478" s="296"/>
    </row>
    <row r="479">
      <c r="A479" s="296"/>
      <c r="B479" s="297"/>
      <c r="C479" s="299"/>
      <c r="D479" s="296"/>
      <c r="E479" s="296"/>
      <c r="F479" s="296"/>
    </row>
    <row r="480">
      <c r="A480" s="296"/>
      <c r="B480" s="297"/>
      <c r="C480" s="299"/>
      <c r="D480" s="296"/>
      <c r="E480" s="296"/>
      <c r="F480" s="296"/>
    </row>
    <row r="481">
      <c r="A481" s="296"/>
      <c r="B481" s="297"/>
      <c r="C481" s="299"/>
      <c r="D481" s="296"/>
      <c r="E481" s="296"/>
      <c r="F481" s="296"/>
    </row>
    <row r="482">
      <c r="A482" s="296"/>
      <c r="B482" s="297"/>
      <c r="C482" s="299"/>
      <c r="D482" s="296"/>
      <c r="E482" s="296"/>
      <c r="F482" s="296"/>
    </row>
    <row r="483">
      <c r="A483" s="296"/>
      <c r="B483" s="297"/>
      <c r="C483" s="299"/>
      <c r="D483" s="296"/>
      <c r="E483" s="296"/>
      <c r="F483" s="296"/>
    </row>
    <row r="484">
      <c r="A484" s="296"/>
      <c r="B484" s="297"/>
      <c r="C484" s="299"/>
      <c r="D484" s="296"/>
      <c r="E484" s="296"/>
      <c r="F484" s="296"/>
    </row>
    <row r="485">
      <c r="A485" s="296"/>
      <c r="B485" s="297"/>
      <c r="C485" s="299"/>
      <c r="D485" s="296"/>
      <c r="E485" s="296"/>
      <c r="F485" s="296"/>
    </row>
    <row r="486">
      <c r="A486" s="296"/>
      <c r="B486" s="297"/>
      <c r="C486" s="299"/>
      <c r="D486" s="296"/>
      <c r="E486" s="296"/>
      <c r="F486" s="296"/>
    </row>
    <row r="487">
      <c r="A487" s="296"/>
      <c r="B487" s="297"/>
      <c r="C487" s="299"/>
      <c r="D487" s="296"/>
      <c r="E487" s="296"/>
      <c r="F487" s="296"/>
    </row>
    <row r="488">
      <c r="A488" s="296"/>
      <c r="B488" s="297"/>
      <c r="C488" s="299"/>
      <c r="D488" s="296"/>
      <c r="E488" s="296"/>
      <c r="F488" s="296"/>
    </row>
    <row r="489">
      <c r="A489" s="296"/>
      <c r="B489" s="297"/>
      <c r="C489" s="299"/>
      <c r="D489" s="296"/>
      <c r="E489" s="296"/>
      <c r="F489" s="296"/>
    </row>
    <row r="490">
      <c r="A490" s="296"/>
      <c r="B490" s="297"/>
      <c r="C490" s="299"/>
      <c r="D490" s="296"/>
      <c r="E490" s="296"/>
      <c r="F490" s="296"/>
    </row>
    <row r="491">
      <c r="A491" s="296"/>
      <c r="B491" s="297"/>
      <c r="C491" s="299"/>
      <c r="D491" s="296"/>
      <c r="E491" s="296"/>
      <c r="F491" s="296"/>
    </row>
    <row r="492">
      <c r="A492" s="296"/>
      <c r="B492" s="297"/>
      <c r="C492" s="299"/>
      <c r="D492" s="296"/>
      <c r="E492" s="296"/>
      <c r="F492" s="296"/>
    </row>
    <row r="493">
      <c r="A493" s="296"/>
      <c r="B493" s="297"/>
      <c r="C493" s="299"/>
      <c r="D493" s="296"/>
      <c r="E493" s="296"/>
      <c r="F493" s="296"/>
    </row>
    <row r="494">
      <c r="A494" s="296"/>
      <c r="B494" s="297"/>
      <c r="C494" s="299"/>
      <c r="D494" s="296"/>
      <c r="E494" s="296"/>
      <c r="F494" s="296"/>
    </row>
    <row r="495">
      <c r="A495" s="296"/>
      <c r="B495" s="297"/>
      <c r="C495" s="299"/>
      <c r="D495" s="296"/>
      <c r="E495" s="296"/>
      <c r="F495" s="296"/>
    </row>
    <row r="496">
      <c r="A496" s="296"/>
      <c r="B496" s="297"/>
      <c r="C496" s="299"/>
      <c r="D496" s="296"/>
      <c r="E496" s="296"/>
      <c r="F496" s="296"/>
    </row>
    <row r="497">
      <c r="A497" s="296"/>
      <c r="B497" s="297"/>
      <c r="C497" s="299"/>
      <c r="D497" s="296"/>
      <c r="E497" s="296"/>
      <c r="F497" s="296"/>
    </row>
    <row r="498">
      <c r="A498" s="296"/>
      <c r="B498" s="297"/>
      <c r="C498" s="299"/>
      <c r="D498" s="296"/>
      <c r="E498" s="296"/>
      <c r="F498" s="296"/>
    </row>
    <row r="499">
      <c r="A499" s="296"/>
      <c r="B499" s="297"/>
      <c r="C499" s="299"/>
      <c r="D499" s="296"/>
      <c r="E499" s="296"/>
      <c r="F499" s="296"/>
    </row>
    <row r="500">
      <c r="A500" s="296"/>
      <c r="B500" s="297"/>
      <c r="C500" s="299"/>
      <c r="D500" s="296"/>
      <c r="E500" s="296"/>
      <c r="F500" s="296"/>
    </row>
    <row r="501">
      <c r="A501" s="296"/>
      <c r="B501" s="297"/>
      <c r="C501" s="299"/>
      <c r="D501" s="296"/>
      <c r="E501" s="296"/>
      <c r="F501" s="296"/>
    </row>
    <row r="502">
      <c r="A502" s="296"/>
      <c r="B502" s="297"/>
      <c r="C502" s="299"/>
      <c r="D502" s="296"/>
      <c r="E502" s="296"/>
      <c r="F502" s="296"/>
    </row>
    <row r="503">
      <c r="A503" s="296"/>
      <c r="B503" s="297"/>
      <c r="C503" s="299"/>
      <c r="D503" s="296"/>
      <c r="E503" s="296"/>
      <c r="F503" s="296"/>
    </row>
    <row r="504">
      <c r="A504" s="296"/>
      <c r="B504" s="297"/>
      <c r="C504" s="299"/>
      <c r="D504" s="296"/>
      <c r="E504" s="296"/>
      <c r="F504" s="296"/>
    </row>
    <row r="505">
      <c r="A505" s="296"/>
      <c r="B505" s="297"/>
      <c r="C505" s="299"/>
      <c r="D505" s="296"/>
      <c r="E505" s="296"/>
      <c r="F505" s="296"/>
    </row>
    <row r="506">
      <c r="A506" s="296"/>
      <c r="B506" s="297"/>
      <c r="C506" s="299"/>
      <c r="D506" s="296"/>
      <c r="E506" s="296"/>
      <c r="F506" s="296"/>
    </row>
    <row r="507">
      <c r="A507" s="296"/>
      <c r="B507" s="297"/>
      <c r="C507" s="299"/>
      <c r="D507" s="296"/>
      <c r="E507" s="296"/>
      <c r="F507" s="296"/>
    </row>
    <row r="508">
      <c r="A508" s="296"/>
      <c r="B508" s="297"/>
      <c r="C508" s="299"/>
      <c r="D508" s="296"/>
      <c r="E508" s="296"/>
      <c r="F508" s="296"/>
    </row>
    <row r="509">
      <c r="A509" s="296"/>
      <c r="B509" s="297"/>
      <c r="C509" s="299"/>
      <c r="D509" s="296"/>
      <c r="E509" s="296"/>
      <c r="F509" s="296"/>
    </row>
    <row r="510">
      <c r="A510" s="296"/>
      <c r="B510" s="297"/>
      <c r="C510" s="299"/>
      <c r="D510" s="296"/>
      <c r="E510" s="296"/>
      <c r="F510" s="296"/>
    </row>
    <row r="511">
      <c r="A511" s="296"/>
      <c r="B511" s="297"/>
      <c r="C511" s="299"/>
      <c r="D511" s="296"/>
      <c r="E511" s="296"/>
      <c r="F511" s="296"/>
    </row>
    <row r="512">
      <c r="A512" s="296"/>
      <c r="B512" s="297"/>
      <c r="C512" s="299"/>
      <c r="D512" s="296"/>
      <c r="E512" s="296"/>
      <c r="F512" s="296"/>
    </row>
    <row r="513">
      <c r="A513" s="296"/>
      <c r="B513" s="297"/>
      <c r="C513" s="299"/>
      <c r="D513" s="296"/>
      <c r="E513" s="296"/>
      <c r="F513" s="296"/>
    </row>
    <row r="514">
      <c r="A514" s="296"/>
      <c r="B514" s="297"/>
      <c r="C514" s="299"/>
      <c r="D514" s="296"/>
      <c r="E514" s="296"/>
      <c r="F514" s="296"/>
    </row>
    <row r="515">
      <c r="A515" s="296"/>
      <c r="B515" s="297"/>
      <c r="C515" s="299"/>
      <c r="D515" s="296"/>
      <c r="E515" s="296"/>
      <c r="F515" s="296"/>
    </row>
    <row r="516">
      <c r="A516" s="296"/>
      <c r="B516" s="297"/>
      <c r="C516" s="299"/>
      <c r="D516" s="296"/>
      <c r="E516" s="296"/>
      <c r="F516" s="296"/>
    </row>
    <row r="517">
      <c r="A517" s="296"/>
      <c r="B517" s="297"/>
      <c r="C517" s="299"/>
      <c r="D517" s="296"/>
      <c r="E517" s="296"/>
      <c r="F517" s="296"/>
    </row>
    <row r="518">
      <c r="A518" s="296"/>
      <c r="B518" s="297"/>
      <c r="C518" s="299"/>
      <c r="D518" s="296"/>
      <c r="E518" s="296"/>
      <c r="F518" s="296"/>
    </row>
    <row r="519">
      <c r="A519" s="296"/>
      <c r="B519" s="297"/>
      <c r="C519" s="299"/>
      <c r="D519" s="296"/>
      <c r="E519" s="296"/>
      <c r="F519" s="296"/>
    </row>
    <row r="520">
      <c r="A520" s="296"/>
      <c r="B520" s="297"/>
      <c r="C520" s="299"/>
      <c r="D520" s="296"/>
      <c r="E520" s="296"/>
      <c r="F520" s="296"/>
    </row>
    <row r="521">
      <c r="A521" s="296"/>
      <c r="B521" s="297"/>
      <c r="C521" s="299"/>
      <c r="D521" s="296"/>
      <c r="E521" s="296"/>
      <c r="F521" s="296"/>
    </row>
    <row r="522">
      <c r="A522" s="296"/>
      <c r="B522" s="297"/>
      <c r="C522" s="299"/>
      <c r="D522" s="296"/>
      <c r="E522" s="296"/>
      <c r="F522" s="296"/>
    </row>
    <row r="523">
      <c r="A523" s="296"/>
      <c r="B523" s="297"/>
      <c r="C523" s="299"/>
      <c r="D523" s="296"/>
      <c r="E523" s="296"/>
      <c r="F523" s="296"/>
    </row>
    <row r="524">
      <c r="A524" s="296"/>
      <c r="B524" s="297"/>
      <c r="C524" s="299"/>
      <c r="D524" s="296"/>
      <c r="E524" s="296"/>
      <c r="F524" s="296"/>
    </row>
    <row r="525">
      <c r="A525" s="296"/>
      <c r="B525" s="297"/>
      <c r="C525" s="299"/>
      <c r="D525" s="296"/>
      <c r="E525" s="296"/>
      <c r="F525" s="296"/>
    </row>
    <row r="526">
      <c r="A526" s="296"/>
      <c r="B526" s="297"/>
      <c r="C526" s="299"/>
      <c r="D526" s="296"/>
      <c r="E526" s="296"/>
      <c r="F526" s="296"/>
    </row>
    <row r="527">
      <c r="A527" s="296"/>
      <c r="B527" s="297"/>
      <c r="C527" s="299"/>
      <c r="D527" s="296"/>
      <c r="E527" s="296"/>
      <c r="F527" s="296"/>
    </row>
    <row r="528">
      <c r="A528" s="296"/>
      <c r="B528" s="297"/>
      <c r="C528" s="299"/>
      <c r="D528" s="296"/>
      <c r="E528" s="296"/>
      <c r="F528" s="296"/>
    </row>
    <row r="529">
      <c r="A529" s="296"/>
      <c r="B529" s="297"/>
      <c r="C529" s="299"/>
      <c r="D529" s="296"/>
      <c r="E529" s="296"/>
      <c r="F529" s="296"/>
    </row>
    <row r="530">
      <c r="A530" s="296"/>
      <c r="B530" s="297"/>
      <c r="C530" s="299"/>
      <c r="D530" s="296"/>
      <c r="E530" s="296"/>
      <c r="F530" s="296"/>
    </row>
    <row r="531">
      <c r="A531" s="296"/>
      <c r="B531" s="297"/>
      <c r="C531" s="299"/>
      <c r="D531" s="296"/>
      <c r="E531" s="296"/>
      <c r="F531" s="296"/>
    </row>
    <row r="532">
      <c r="A532" s="296"/>
      <c r="B532" s="297"/>
      <c r="C532" s="299"/>
      <c r="D532" s="296"/>
      <c r="E532" s="296"/>
      <c r="F532" s="296"/>
    </row>
    <row r="533">
      <c r="A533" s="296"/>
      <c r="B533" s="297"/>
      <c r="C533" s="299"/>
      <c r="D533" s="296"/>
      <c r="E533" s="296"/>
      <c r="F533" s="296"/>
    </row>
    <row r="534">
      <c r="A534" s="296"/>
      <c r="B534" s="297"/>
      <c r="C534" s="299"/>
      <c r="D534" s="296"/>
      <c r="E534" s="296"/>
      <c r="F534" s="296"/>
    </row>
    <row r="535">
      <c r="A535" s="296"/>
      <c r="B535" s="297"/>
      <c r="C535" s="299"/>
      <c r="D535" s="296"/>
      <c r="E535" s="296"/>
      <c r="F535" s="296"/>
    </row>
    <row r="536">
      <c r="A536" s="296"/>
      <c r="B536" s="297"/>
      <c r="C536" s="299"/>
      <c r="D536" s="296"/>
      <c r="E536" s="296"/>
      <c r="F536" s="296"/>
    </row>
    <row r="537">
      <c r="A537" s="296"/>
      <c r="B537" s="297"/>
      <c r="C537" s="299"/>
      <c r="D537" s="296"/>
      <c r="E537" s="296"/>
      <c r="F537" s="296"/>
    </row>
    <row r="538">
      <c r="A538" s="296"/>
      <c r="B538" s="297"/>
      <c r="C538" s="299"/>
      <c r="D538" s="296"/>
      <c r="E538" s="296"/>
      <c r="F538" s="296"/>
    </row>
    <row r="539">
      <c r="A539" s="296"/>
      <c r="B539" s="297"/>
      <c r="C539" s="299"/>
      <c r="D539" s="296"/>
      <c r="E539" s="296"/>
      <c r="F539" s="296"/>
    </row>
    <row r="540">
      <c r="A540" s="296"/>
      <c r="B540" s="297"/>
      <c r="C540" s="299"/>
      <c r="D540" s="296"/>
      <c r="E540" s="296"/>
      <c r="F540" s="296"/>
    </row>
    <row r="541">
      <c r="A541" s="296"/>
      <c r="B541" s="297"/>
      <c r="C541" s="299"/>
      <c r="D541" s="296"/>
      <c r="E541" s="296"/>
      <c r="F541" s="296"/>
    </row>
    <row r="542">
      <c r="A542" s="296"/>
      <c r="B542" s="297"/>
      <c r="C542" s="299"/>
      <c r="D542" s="296"/>
      <c r="E542" s="296"/>
      <c r="F542" s="296"/>
    </row>
    <row r="543">
      <c r="A543" s="296"/>
      <c r="B543" s="297"/>
      <c r="C543" s="299"/>
      <c r="D543" s="296"/>
      <c r="E543" s="296"/>
      <c r="F543" s="296"/>
    </row>
    <row r="544">
      <c r="A544" s="296"/>
      <c r="B544" s="297"/>
      <c r="C544" s="299"/>
      <c r="D544" s="296"/>
      <c r="E544" s="296"/>
      <c r="F544" s="296"/>
    </row>
    <row r="545">
      <c r="A545" s="296"/>
      <c r="B545" s="297"/>
      <c r="C545" s="299"/>
      <c r="D545" s="296"/>
      <c r="E545" s="296"/>
      <c r="F545" s="296"/>
    </row>
    <row r="546">
      <c r="A546" s="296"/>
      <c r="B546" s="297"/>
      <c r="C546" s="299"/>
      <c r="D546" s="296"/>
      <c r="E546" s="296"/>
      <c r="F546" s="296"/>
    </row>
    <row r="547">
      <c r="A547" s="296"/>
      <c r="B547" s="297"/>
      <c r="C547" s="299"/>
      <c r="D547" s="296"/>
      <c r="E547" s="296"/>
      <c r="F547" s="296"/>
    </row>
    <row r="548">
      <c r="A548" s="296"/>
      <c r="B548" s="297"/>
      <c r="C548" s="299"/>
      <c r="D548" s="296"/>
      <c r="E548" s="296"/>
      <c r="F548" s="296"/>
    </row>
    <row r="549">
      <c r="A549" s="296"/>
      <c r="B549" s="297"/>
      <c r="C549" s="299"/>
      <c r="D549" s="296"/>
      <c r="E549" s="296"/>
      <c r="F549" s="296"/>
    </row>
    <row r="550">
      <c r="A550" s="296"/>
      <c r="B550" s="297"/>
      <c r="C550" s="299"/>
      <c r="D550" s="296"/>
      <c r="E550" s="296"/>
      <c r="F550" s="296"/>
    </row>
    <row r="551">
      <c r="A551" s="296"/>
      <c r="B551" s="297"/>
      <c r="C551" s="299"/>
      <c r="D551" s="296"/>
      <c r="E551" s="296"/>
      <c r="F551" s="296"/>
    </row>
    <row r="552">
      <c r="A552" s="296"/>
      <c r="B552" s="297"/>
      <c r="C552" s="299"/>
      <c r="D552" s="296"/>
      <c r="E552" s="296"/>
      <c r="F552" s="296"/>
    </row>
    <row r="553">
      <c r="A553" s="296"/>
      <c r="B553" s="297"/>
      <c r="C553" s="299"/>
      <c r="D553" s="296"/>
      <c r="E553" s="296"/>
      <c r="F553" s="296"/>
    </row>
    <row r="554">
      <c r="A554" s="296"/>
      <c r="B554" s="297"/>
      <c r="C554" s="299"/>
      <c r="D554" s="296"/>
      <c r="E554" s="296"/>
      <c r="F554" s="296"/>
    </row>
    <row r="555">
      <c r="A555" s="296"/>
      <c r="B555" s="297"/>
      <c r="C555" s="299"/>
      <c r="D555" s="296"/>
      <c r="E555" s="296"/>
      <c r="F555" s="296"/>
    </row>
    <row r="556">
      <c r="A556" s="296"/>
      <c r="B556" s="297"/>
      <c r="C556" s="299"/>
      <c r="D556" s="296"/>
      <c r="E556" s="296"/>
      <c r="F556" s="296"/>
    </row>
    <row r="557">
      <c r="A557" s="296"/>
      <c r="B557" s="297"/>
      <c r="C557" s="299"/>
      <c r="D557" s="296"/>
      <c r="E557" s="296"/>
      <c r="F557" s="296"/>
    </row>
    <row r="558">
      <c r="A558" s="296"/>
      <c r="B558" s="297"/>
      <c r="C558" s="299"/>
      <c r="D558" s="296"/>
      <c r="E558" s="296"/>
      <c r="F558" s="296"/>
    </row>
    <row r="559">
      <c r="A559" s="296"/>
      <c r="B559" s="297"/>
      <c r="C559" s="299"/>
      <c r="D559" s="296"/>
      <c r="E559" s="296"/>
      <c r="F559" s="296"/>
    </row>
    <row r="560">
      <c r="A560" s="296"/>
      <c r="B560" s="297"/>
      <c r="C560" s="299"/>
      <c r="D560" s="296"/>
      <c r="E560" s="296"/>
      <c r="F560" s="296"/>
    </row>
    <row r="561">
      <c r="A561" s="296"/>
      <c r="B561" s="297"/>
      <c r="C561" s="299"/>
      <c r="D561" s="296"/>
      <c r="E561" s="296"/>
      <c r="F561" s="296"/>
    </row>
    <row r="562">
      <c r="A562" s="296"/>
      <c r="B562" s="297"/>
      <c r="C562" s="299"/>
      <c r="D562" s="296"/>
      <c r="E562" s="296"/>
      <c r="F562" s="296"/>
    </row>
    <row r="563">
      <c r="A563" s="296"/>
      <c r="B563" s="297"/>
      <c r="C563" s="299"/>
      <c r="D563" s="296"/>
      <c r="E563" s="296"/>
      <c r="F563" s="296"/>
    </row>
    <row r="564">
      <c r="A564" s="296"/>
      <c r="B564" s="297"/>
      <c r="C564" s="299"/>
      <c r="D564" s="296"/>
      <c r="E564" s="296"/>
      <c r="F564" s="296"/>
    </row>
    <row r="565">
      <c r="A565" s="296"/>
      <c r="B565" s="297"/>
      <c r="C565" s="299"/>
      <c r="D565" s="296"/>
      <c r="E565" s="296"/>
      <c r="F565" s="296"/>
    </row>
    <row r="566">
      <c r="A566" s="296"/>
      <c r="B566" s="297"/>
      <c r="C566" s="299"/>
      <c r="D566" s="296"/>
      <c r="E566" s="296"/>
      <c r="F566" s="296"/>
    </row>
    <row r="567">
      <c r="A567" s="296"/>
      <c r="B567" s="297"/>
      <c r="C567" s="299"/>
      <c r="D567" s="296"/>
      <c r="E567" s="296"/>
      <c r="F567" s="296"/>
    </row>
    <row r="568">
      <c r="A568" s="296"/>
      <c r="B568" s="297"/>
      <c r="C568" s="299"/>
      <c r="D568" s="296"/>
      <c r="E568" s="296"/>
      <c r="F568" s="296"/>
    </row>
    <row r="569">
      <c r="A569" s="296"/>
      <c r="B569" s="297"/>
      <c r="C569" s="299"/>
      <c r="D569" s="296"/>
      <c r="E569" s="296"/>
      <c r="F569" s="296"/>
    </row>
    <row r="570">
      <c r="A570" s="296"/>
      <c r="B570" s="297"/>
      <c r="C570" s="299"/>
      <c r="D570" s="296"/>
      <c r="E570" s="296"/>
      <c r="F570" s="296"/>
    </row>
    <row r="571">
      <c r="A571" s="296"/>
      <c r="B571" s="297"/>
      <c r="C571" s="299"/>
      <c r="D571" s="296"/>
      <c r="E571" s="296"/>
      <c r="F571" s="296"/>
    </row>
    <row r="572">
      <c r="A572" s="296"/>
      <c r="B572" s="297"/>
      <c r="C572" s="299"/>
      <c r="D572" s="296"/>
      <c r="E572" s="296"/>
      <c r="F572" s="296"/>
    </row>
    <row r="573">
      <c r="A573" s="296"/>
      <c r="B573" s="297"/>
      <c r="C573" s="299"/>
      <c r="D573" s="296"/>
      <c r="E573" s="296"/>
      <c r="F573" s="296"/>
    </row>
    <row r="574">
      <c r="A574" s="296"/>
      <c r="B574" s="297"/>
      <c r="C574" s="299"/>
      <c r="D574" s="296"/>
      <c r="E574" s="296"/>
      <c r="F574" s="296"/>
    </row>
    <row r="575">
      <c r="A575" s="296"/>
      <c r="B575" s="297"/>
      <c r="C575" s="299"/>
      <c r="D575" s="296"/>
      <c r="E575" s="296"/>
      <c r="F575" s="296"/>
    </row>
    <row r="576">
      <c r="A576" s="296"/>
      <c r="B576" s="297"/>
      <c r="C576" s="299"/>
      <c r="D576" s="296"/>
      <c r="E576" s="296"/>
      <c r="F576" s="296"/>
    </row>
    <row r="577">
      <c r="A577" s="296"/>
      <c r="B577" s="297"/>
      <c r="C577" s="299"/>
      <c r="D577" s="296"/>
      <c r="E577" s="296"/>
      <c r="F577" s="296"/>
    </row>
    <row r="578">
      <c r="A578" s="296"/>
      <c r="B578" s="297"/>
      <c r="C578" s="299"/>
      <c r="D578" s="296"/>
      <c r="E578" s="296"/>
      <c r="F578" s="296"/>
    </row>
    <row r="579">
      <c r="A579" s="296"/>
      <c r="B579" s="297"/>
      <c r="C579" s="299"/>
      <c r="D579" s="296"/>
      <c r="E579" s="296"/>
      <c r="F579" s="296"/>
    </row>
    <row r="580">
      <c r="A580" s="296"/>
      <c r="B580" s="297"/>
      <c r="C580" s="299"/>
      <c r="D580" s="296"/>
      <c r="E580" s="296"/>
      <c r="F580" s="296"/>
    </row>
    <row r="581">
      <c r="A581" s="296"/>
      <c r="B581" s="297"/>
      <c r="C581" s="299"/>
      <c r="D581" s="296"/>
      <c r="E581" s="296"/>
      <c r="F581" s="296"/>
    </row>
    <row r="582">
      <c r="A582" s="296"/>
      <c r="B582" s="297"/>
      <c r="C582" s="299"/>
      <c r="D582" s="296"/>
      <c r="E582" s="296"/>
      <c r="F582" s="296"/>
    </row>
    <row r="583">
      <c r="A583" s="296"/>
      <c r="B583" s="297"/>
      <c r="C583" s="299"/>
      <c r="D583" s="296"/>
      <c r="E583" s="296"/>
      <c r="F583" s="296"/>
    </row>
    <row r="584">
      <c r="A584" s="296"/>
      <c r="B584" s="297"/>
      <c r="C584" s="299"/>
      <c r="D584" s="296"/>
      <c r="E584" s="296"/>
      <c r="F584" s="296"/>
    </row>
    <row r="585">
      <c r="A585" s="296"/>
      <c r="B585" s="297"/>
      <c r="C585" s="299"/>
      <c r="D585" s="296"/>
      <c r="E585" s="296"/>
      <c r="F585" s="296"/>
    </row>
    <row r="586">
      <c r="A586" s="296"/>
      <c r="B586" s="297"/>
      <c r="C586" s="299"/>
      <c r="D586" s="296"/>
      <c r="E586" s="296"/>
      <c r="F586" s="296"/>
    </row>
    <row r="587">
      <c r="A587" s="296"/>
      <c r="B587" s="297"/>
      <c r="C587" s="299"/>
      <c r="D587" s="296"/>
      <c r="E587" s="296"/>
      <c r="F587" s="296"/>
    </row>
    <row r="588">
      <c r="A588" s="296"/>
      <c r="B588" s="297"/>
      <c r="C588" s="299"/>
      <c r="D588" s="296"/>
      <c r="E588" s="296"/>
      <c r="F588" s="296"/>
    </row>
    <row r="589">
      <c r="A589" s="296"/>
      <c r="B589" s="297"/>
      <c r="C589" s="299"/>
      <c r="D589" s="296"/>
      <c r="E589" s="296"/>
      <c r="F589" s="296"/>
    </row>
    <row r="590">
      <c r="A590" s="296"/>
      <c r="B590" s="297"/>
      <c r="C590" s="299"/>
      <c r="D590" s="296"/>
      <c r="E590" s="296"/>
      <c r="F590" s="296"/>
    </row>
    <row r="591">
      <c r="A591" s="296"/>
      <c r="B591" s="297"/>
      <c r="C591" s="299"/>
      <c r="D591" s="296"/>
      <c r="E591" s="296"/>
      <c r="F591" s="296"/>
    </row>
    <row r="592">
      <c r="A592" s="296"/>
      <c r="B592" s="297"/>
      <c r="C592" s="299"/>
      <c r="D592" s="296"/>
      <c r="E592" s="296"/>
      <c r="F592" s="296"/>
    </row>
    <row r="593">
      <c r="A593" s="296"/>
      <c r="B593" s="297"/>
      <c r="C593" s="299"/>
      <c r="D593" s="296"/>
      <c r="E593" s="296"/>
      <c r="F593" s="296"/>
    </row>
    <row r="594">
      <c r="A594" s="296"/>
      <c r="B594" s="297"/>
      <c r="C594" s="299"/>
      <c r="D594" s="296"/>
      <c r="E594" s="296"/>
      <c r="F594" s="296"/>
    </row>
    <row r="595">
      <c r="A595" s="296"/>
      <c r="B595" s="297"/>
      <c r="C595" s="299"/>
      <c r="D595" s="296"/>
      <c r="E595" s="296"/>
      <c r="F595" s="296"/>
    </row>
    <row r="596">
      <c r="A596" s="296"/>
      <c r="B596" s="297"/>
      <c r="C596" s="299"/>
      <c r="D596" s="296"/>
      <c r="E596" s="296"/>
      <c r="F596" s="296"/>
    </row>
    <row r="597">
      <c r="A597" s="296"/>
      <c r="B597" s="297"/>
      <c r="C597" s="299"/>
      <c r="D597" s="296"/>
      <c r="E597" s="296"/>
      <c r="F597" s="296"/>
    </row>
    <row r="598">
      <c r="A598" s="296"/>
      <c r="B598" s="297"/>
      <c r="C598" s="299"/>
      <c r="D598" s="296"/>
      <c r="E598" s="296"/>
      <c r="F598" s="296"/>
    </row>
    <row r="599">
      <c r="A599" s="296"/>
      <c r="B599" s="297"/>
      <c r="C599" s="299"/>
      <c r="D599" s="296"/>
      <c r="E599" s="296"/>
      <c r="F599" s="296"/>
    </row>
    <row r="600">
      <c r="A600" s="296"/>
      <c r="B600" s="297"/>
      <c r="C600" s="299"/>
      <c r="D600" s="296"/>
      <c r="E600" s="296"/>
      <c r="F600" s="296"/>
    </row>
    <row r="601">
      <c r="A601" s="296"/>
      <c r="B601" s="297"/>
      <c r="C601" s="299"/>
      <c r="D601" s="296"/>
      <c r="E601" s="296"/>
      <c r="F601" s="296"/>
    </row>
    <row r="602">
      <c r="A602" s="296"/>
      <c r="B602" s="297"/>
      <c r="C602" s="299"/>
      <c r="D602" s="296"/>
      <c r="E602" s="296"/>
      <c r="F602" s="296"/>
    </row>
    <row r="603">
      <c r="A603" s="296"/>
      <c r="B603" s="297"/>
      <c r="C603" s="299"/>
      <c r="D603" s="296"/>
      <c r="E603" s="296"/>
      <c r="F603" s="296"/>
    </row>
    <row r="604">
      <c r="A604" s="296"/>
      <c r="B604" s="297"/>
      <c r="C604" s="299"/>
      <c r="D604" s="296"/>
      <c r="E604" s="296"/>
      <c r="F604" s="296"/>
    </row>
    <row r="605">
      <c r="A605" s="296"/>
      <c r="B605" s="297"/>
      <c r="C605" s="299"/>
      <c r="D605" s="296"/>
      <c r="E605" s="296"/>
      <c r="F605" s="296"/>
    </row>
    <row r="606">
      <c r="A606" s="296"/>
      <c r="B606" s="297"/>
      <c r="C606" s="299"/>
      <c r="D606" s="296"/>
      <c r="E606" s="296"/>
      <c r="F606" s="296"/>
    </row>
    <row r="607">
      <c r="A607" s="296"/>
      <c r="B607" s="297"/>
      <c r="C607" s="299"/>
      <c r="D607" s="296"/>
      <c r="E607" s="296"/>
      <c r="F607" s="296"/>
    </row>
    <row r="608">
      <c r="A608" s="296"/>
      <c r="B608" s="297"/>
      <c r="C608" s="299"/>
      <c r="D608" s="296"/>
      <c r="E608" s="296"/>
      <c r="F608" s="296"/>
    </row>
    <row r="609">
      <c r="A609" s="296"/>
      <c r="B609" s="297"/>
      <c r="C609" s="299"/>
      <c r="D609" s="296"/>
      <c r="E609" s="296"/>
      <c r="F609" s="296"/>
    </row>
    <row r="610">
      <c r="A610" s="296"/>
      <c r="B610" s="297"/>
      <c r="C610" s="299"/>
      <c r="D610" s="296"/>
      <c r="E610" s="296"/>
      <c r="F610" s="296"/>
    </row>
    <row r="611">
      <c r="A611" s="296"/>
      <c r="B611" s="297"/>
      <c r="C611" s="299"/>
      <c r="D611" s="296"/>
      <c r="E611" s="296"/>
      <c r="F611" s="296"/>
    </row>
    <row r="612">
      <c r="A612" s="296"/>
      <c r="B612" s="297"/>
      <c r="C612" s="299"/>
      <c r="D612" s="296"/>
      <c r="E612" s="296"/>
      <c r="F612" s="296"/>
    </row>
    <row r="613">
      <c r="A613" s="296"/>
      <c r="B613" s="297"/>
      <c r="C613" s="299"/>
      <c r="D613" s="296"/>
      <c r="E613" s="296"/>
      <c r="F613" s="296"/>
    </row>
    <row r="614">
      <c r="A614" s="296"/>
      <c r="B614" s="297"/>
      <c r="C614" s="299"/>
      <c r="D614" s="296"/>
      <c r="E614" s="296"/>
      <c r="F614" s="296"/>
    </row>
    <row r="615">
      <c r="A615" s="296"/>
      <c r="B615" s="297"/>
      <c r="C615" s="299"/>
      <c r="D615" s="296"/>
      <c r="E615" s="296"/>
      <c r="F615" s="296"/>
    </row>
    <row r="616">
      <c r="A616" s="296"/>
      <c r="B616" s="297"/>
      <c r="C616" s="299"/>
      <c r="D616" s="296"/>
      <c r="E616" s="296"/>
      <c r="F616" s="296"/>
    </row>
    <row r="617">
      <c r="A617" s="296"/>
      <c r="B617" s="297"/>
      <c r="C617" s="299"/>
      <c r="D617" s="296"/>
      <c r="E617" s="296"/>
      <c r="F617" s="296"/>
    </row>
    <row r="618">
      <c r="A618" s="296"/>
      <c r="B618" s="297"/>
      <c r="C618" s="299"/>
      <c r="D618" s="296"/>
      <c r="E618" s="296"/>
      <c r="F618" s="296"/>
    </row>
    <row r="619">
      <c r="A619" s="296"/>
      <c r="B619" s="297"/>
      <c r="C619" s="299"/>
      <c r="D619" s="296"/>
      <c r="E619" s="296"/>
      <c r="F619" s="296"/>
    </row>
    <row r="620">
      <c r="A620" s="296"/>
      <c r="B620" s="297"/>
      <c r="C620" s="299"/>
      <c r="D620" s="296"/>
      <c r="E620" s="296"/>
      <c r="F620" s="296"/>
    </row>
    <row r="621">
      <c r="A621" s="296"/>
      <c r="B621" s="297"/>
      <c r="C621" s="299"/>
      <c r="D621" s="296"/>
      <c r="E621" s="296"/>
      <c r="F621" s="296"/>
    </row>
    <row r="622">
      <c r="A622" s="296"/>
      <c r="B622" s="297"/>
      <c r="C622" s="299"/>
      <c r="D622" s="296"/>
      <c r="E622" s="296"/>
      <c r="F622" s="296"/>
    </row>
    <row r="623">
      <c r="A623" s="296"/>
      <c r="B623" s="297"/>
      <c r="C623" s="299"/>
      <c r="D623" s="296"/>
      <c r="E623" s="296"/>
      <c r="F623" s="296"/>
    </row>
    <row r="624">
      <c r="A624" s="296"/>
      <c r="B624" s="297"/>
      <c r="C624" s="299"/>
      <c r="D624" s="296"/>
      <c r="E624" s="296"/>
      <c r="F624" s="296"/>
    </row>
    <row r="625">
      <c r="A625" s="296"/>
      <c r="B625" s="297"/>
      <c r="C625" s="299"/>
      <c r="D625" s="296"/>
      <c r="E625" s="296"/>
      <c r="F625" s="296"/>
    </row>
    <row r="626">
      <c r="A626" s="296"/>
      <c r="B626" s="297"/>
      <c r="C626" s="299"/>
      <c r="D626" s="296"/>
      <c r="E626" s="296"/>
      <c r="F626" s="296"/>
    </row>
    <row r="627">
      <c r="A627" s="296"/>
      <c r="B627" s="297"/>
      <c r="C627" s="299"/>
      <c r="D627" s="296"/>
      <c r="E627" s="296"/>
      <c r="F627" s="296"/>
    </row>
    <row r="628">
      <c r="A628" s="296"/>
      <c r="B628" s="297"/>
      <c r="C628" s="299"/>
      <c r="D628" s="296"/>
      <c r="E628" s="296"/>
      <c r="F628" s="296"/>
    </row>
    <row r="629">
      <c r="A629" s="296"/>
      <c r="B629" s="297"/>
      <c r="C629" s="299"/>
      <c r="D629" s="296"/>
      <c r="E629" s="296"/>
      <c r="F629" s="296"/>
    </row>
    <row r="630">
      <c r="A630" s="296"/>
      <c r="B630" s="297"/>
      <c r="C630" s="299"/>
      <c r="D630" s="296"/>
      <c r="E630" s="296"/>
      <c r="F630" s="296"/>
    </row>
    <row r="631">
      <c r="A631" s="296"/>
      <c r="B631" s="297"/>
      <c r="C631" s="299"/>
      <c r="D631" s="296"/>
      <c r="E631" s="296"/>
      <c r="F631" s="296"/>
    </row>
    <row r="632">
      <c r="A632" s="296"/>
      <c r="B632" s="297"/>
      <c r="C632" s="299"/>
      <c r="D632" s="296"/>
      <c r="E632" s="296"/>
      <c r="F632" s="296"/>
    </row>
    <row r="633">
      <c r="A633" s="296"/>
      <c r="B633" s="297"/>
      <c r="C633" s="299"/>
      <c r="D633" s="296"/>
      <c r="E633" s="296"/>
      <c r="F633" s="296"/>
    </row>
    <row r="634">
      <c r="A634" s="296"/>
      <c r="B634" s="297"/>
      <c r="C634" s="299"/>
      <c r="D634" s="296"/>
      <c r="E634" s="296"/>
      <c r="F634" s="296"/>
    </row>
    <row r="635">
      <c r="A635" s="296"/>
      <c r="B635" s="297"/>
      <c r="C635" s="299"/>
      <c r="D635" s="296"/>
      <c r="E635" s="296"/>
      <c r="F635" s="296"/>
    </row>
    <row r="636">
      <c r="A636" s="296"/>
      <c r="B636" s="297"/>
      <c r="C636" s="299"/>
      <c r="D636" s="296"/>
      <c r="E636" s="296"/>
      <c r="F636" s="296"/>
    </row>
    <row r="637">
      <c r="A637" s="296"/>
      <c r="B637" s="297"/>
      <c r="C637" s="299"/>
      <c r="D637" s="296"/>
      <c r="E637" s="296"/>
      <c r="F637" s="296"/>
    </row>
    <row r="638">
      <c r="A638" s="296"/>
      <c r="B638" s="297"/>
      <c r="C638" s="299"/>
      <c r="D638" s="296"/>
      <c r="E638" s="296"/>
      <c r="F638" s="296"/>
    </row>
    <row r="639">
      <c r="A639" s="296"/>
      <c r="B639" s="297"/>
      <c r="C639" s="299"/>
      <c r="D639" s="296"/>
      <c r="E639" s="296"/>
      <c r="F639" s="296"/>
    </row>
    <row r="640">
      <c r="A640" s="296"/>
      <c r="B640" s="297"/>
      <c r="C640" s="299"/>
      <c r="D640" s="296"/>
      <c r="E640" s="296"/>
      <c r="F640" s="296"/>
    </row>
    <row r="641">
      <c r="A641" s="296"/>
      <c r="B641" s="297"/>
      <c r="C641" s="299"/>
      <c r="D641" s="296"/>
      <c r="E641" s="296"/>
      <c r="F641" s="296"/>
    </row>
    <row r="642">
      <c r="A642" s="296"/>
      <c r="B642" s="297"/>
      <c r="C642" s="299"/>
      <c r="D642" s="296"/>
      <c r="E642" s="296"/>
      <c r="F642" s="296"/>
    </row>
    <row r="643">
      <c r="A643" s="296"/>
      <c r="B643" s="297"/>
      <c r="C643" s="299"/>
      <c r="D643" s="296"/>
      <c r="E643" s="296"/>
      <c r="F643" s="296"/>
    </row>
    <row r="644">
      <c r="A644" s="296"/>
      <c r="B644" s="297"/>
      <c r="C644" s="299"/>
      <c r="D644" s="296"/>
      <c r="E644" s="296"/>
      <c r="F644" s="296"/>
    </row>
    <row r="645">
      <c r="A645" s="296"/>
      <c r="B645" s="297"/>
      <c r="C645" s="299"/>
      <c r="D645" s="296"/>
      <c r="E645" s="296"/>
      <c r="F645" s="296"/>
    </row>
    <row r="646">
      <c r="A646" s="296"/>
      <c r="B646" s="297"/>
      <c r="C646" s="299"/>
      <c r="D646" s="296"/>
      <c r="E646" s="296"/>
      <c r="F646" s="296"/>
    </row>
    <row r="647">
      <c r="A647" s="296"/>
      <c r="B647" s="297"/>
      <c r="C647" s="299"/>
      <c r="D647" s="296"/>
      <c r="E647" s="296"/>
      <c r="F647" s="296"/>
    </row>
    <row r="648">
      <c r="A648" s="296"/>
      <c r="B648" s="297"/>
      <c r="C648" s="299"/>
      <c r="D648" s="296"/>
      <c r="E648" s="296"/>
      <c r="F648" s="296"/>
    </row>
    <row r="649">
      <c r="A649" s="296"/>
      <c r="B649" s="297"/>
      <c r="C649" s="299"/>
      <c r="D649" s="296"/>
      <c r="E649" s="296"/>
      <c r="F649" s="296"/>
    </row>
    <row r="650">
      <c r="A650" s="296"/>
      <c r="B650" s="297"/>
      <c r="C650" s="299"/>
      <c r="D650" s="296"/>
      <c r="E650" s="296"/>
      <c r="F650" s="296"/>
    </row>
    <row r="651">
      <c r="A651" s="296"/>
      <c r="B651" s="297"/>
      <c r="C651" s="299"/>
      <c r="D651" s="296"/>
      <c r="E651" s="296"/>
      <c r="F651" s="296"/>
    </row>
    <row r="652">
      <c r="A652" s="296"/>
      <c r="B652" s="297"/>
      <c r="C652" s="299"/>
      <c r="D652" s="296"/>
      <c r="E652" s="296"/>
      <c r="F652" s="296"/>
    </row>
    <row r="653">
      <c r="A653" s="296"/>
      <c r="B653" s="297"/>
      <c r="C653" s="299"/>
      <c r="D653" s="296"/>
      <c r="E653" s="296"/>
      <c r="F653" s="296"/>
    </row>
    <row r="654">
      <c r="A654" s="296"/>
      <c r="B654" s="297"/>
      <c r="C654" s="299"/>
      <c r="D654" s="296"/>
      <c r="E654" s="296"/>
      <c r="F654" s="296"/>
    </row>
    <row r="655">
      <c r="A655" s="296"/>
      <c r="B655" s="297"/>
      <c r="C655" s="299"/>
      <c r="D655" s="296"/>
      <c r="E655" s="296"/>
      <c r="F655" s="296"/>
    </row>
    <row r="656">
      <c r="A656" s="296"/>
      <c r="B656" s="297"/>
      <c r="C656" s="299"/>
      <c r="D656" s="296"/>
      <c r="E656" s="296"/>
      <c r="F656" s="296"/>
    </row>
    <row r="657">
      <c r="A657" s="296"/>
      <c r="B657" s="297"/>
      <c r="C657" s="299"/>
      <c r="D657" s="296"/>
      <c r="E657" s="296"/>
      <c r="F657" s="296"/>
    </row>
    <row r="658">
      <c r="A658" s="296"/>
      <c r="B658" s="297"/>
      <c r="C658" s="299"/>
      <c r="D658" s="296"/>
      <c r="E658" s="296"/>
      <c r="F658" s="296"/>
    </row>
    <row r="659">
      <c r="A659" s="296"/>
      <c r="B659" s="297"/>
      <c r="C659" s="299"/>
      <c r="D659" s="296"/>
      <c r="E659" s="296"/>
      <c r="F659" s="296"/>
    </row>
    <row r="660">
      <c r="A660" s="296"/>
      <c r="B660" s="297"/>
      <c r="C660" s="299"/>
      <c r="D660" s="296"/>
      <c r="E660" s="296"/>
      <c r="F660" s="296"/>
    </row>
    <row r="661">
      <c r="A661" s="296"/>
      <c r="B661" s="297"/>
      <c r="C661" s="299"/>
      <c r="D661" s="296"/>
      <c r="E661" s="296"/>
      <c r="F661" s="296"/>
    </row>
    <row r="662">
      <c r="A662" s="296"/>
      <c r="B662" s="297"/>
      <c r="C662" s="299"/>
      <c r="D662" s="296"/>
      <c r="E662" s="296"/>
      <c r="F662" s="296"/>
    </row>
    <row r="663">
      <c r="A663" s="296"/>
      <c r="B663" s="297"/>
      <c r="C663" s="299"/>
      <c r="D663" s="296"/>
      <c r="E663" s="296"/>
      <c r="F663" s="296"/>
    </row>
    <row r="664">
      <c r="A664" s="296"/>
      <c r="B664" s="297"/>
      <c r="C664" s="299"/>
      <c r="D664" s="296"/>
      <c r="E664" s="296"/>
      <c r="F664" s="296"/>
    </row>
    <row r="665">
      <c r="A665" s="296"/>
      <c r="B665" s="297"/>
      <c r="C665" s="299"/>
      <c r="D665" s="296"/>
      <c r="E665" s="296"/>
      <c r="F665" s="296"/>
    </row>
    <row r="666">
      <c r="A666" s="296"/>
      <c r="B666" s="297"/>
      <c r="C666" s="299"/>
      <c r="D666" s="296"/>
      <c r="E666" s="296"/>
      <c r="F666" s="296"/>
    </row>
    <row r="667">
      <c r="A667" s="296"/>
      <c r="B667" s="297"/>
      <c r="C667" s="299"/>
      <c r="D667" s="296"/>
      <c r="E667" s="296"/>
      <c r="F667" s="296"/>
    </row>
    <row r="668">
      <c r="A668" s="296"/>
      <c r="B668" s="297"/>
      <c r="C668" s="299"/>
      <c r="D668" s="296"/>
      <c r="E668" s="296"/>
      <c r="F668" s="296"/>
    </row>
    <row r="669">
      <c r="A669" s="296"/>
      <c r="B669" s="297"/>
      <c r="C669" s="299"/>
      <c r="D669" s="296"/>
      <c r="E669" s="296"/>
      <c r="F669" s="296"/>
    </row>
    <row r="670">
      <c r="A670" s="296"/>
      <c r="B670" s="297"/>
      <c r="C670" s="299"/>
      <c r="D670" s="296"/>
      <c r="E670" s="296"/>
      <c r="F670" s="296"/>
    </row>
    <row r="671">
      <c r="A671" s="296"/>
      <c r="B671" s="297"/>
      <c r="C671" s="299"/>
      <c r="D671" s="296"/>
      <c r="E671" s="296"/>
      <c r="F671" s="296"/>
    </row>
    <row r="672">
      <c r="A672" s="296"/>
      <c r="B672" s="297"/>
      <c r="C672" s="299"/>
      <c r="D672" s="296"/>
      <c r="E672" s="296"/>
      <c r="F672" s="296"/>
    </row>
    <row r="673">
      <c r="A673" s="296"/>
      <c r="B673" s="297"/>
      <c r="C673" s="299"/>
      <c r="D673" s="296"/>
      <c r="E673" s="296"/>
      <c r="F673" s="296"/>
    </row>
    <row r="674">
      <c r="A674" s="296"/>
      <c r="B674" s="297"/>
      <c r="C674" s="299"/>
      <c r="D674" s="296"/>
      <c r="E674" s="296"/>
      <c r="F674" s="296"/>
    </row>
    <row r="675">
      <c r="A675" s="296"/>
      <c r="B675" s="297"/>
      <c r="C675" s="299"/>
      <c r="D675" s="296"/>
      <c r="E675" s="296"/>
      <c r="F675" s="296"/>
    </row>
    <row r="676">
      <c r="A676" s="296"/>
      <c r="B676" s="297"/>
      <c r="C676" s="299"/>
      <c r="D676" s="296"/>
      <c r="E676" s="296"/>
      <c r="F676" s="296"/>
    </row>
    <row r="677">
      <c r="A677" s="296"/>
      <c r="B677" s="297"/>
      <c r="C677" s="299"/>
      <c r="D677" s="296"/>
      <c r="E677" s="296"/>
      <c r="F677" s="296"/>
    </row>
    <row r="678">
      <c r="A678" s="296"/>
      <c r="B678" s="297"/>
      <c r="C678" s="299"/>
      <c r="D678" s="296"/>
      <c r="E678" s="296"/>
      <c r="F678" s="296"/>
    </row>
    <row r="679">
      <c r="A679" s="296"/>
      <c r="B679" s="297"/>
      <c r="C679" s="299"/>
      <c r="D679" s="296"/>
      <c r="E679" s="296"/>
      <c r="F679" s="296"/>
    </row>
    <row r="680">
      <c r="A680" s="296"/>
      <c r="B680" s="297"/>
      <c r="C680" s="299"/>
      <c r="D680" s="296"/>
      <c r="E680" s="296"/>
      <c r="F680" s="296"/>
    </row>
    <row r="681">
      <c r="A681" s="296"/>
      <c r="B681" s="297"/>
      <c r="C681" s="299"/>
      <c r="D681" s="296"/>
      <c r="E681" s="296"/>
      <c r="F681" s="296"/>
    </row>
    <row r="682">
      <c r="A682" s="296"/>
      <c r="B682" s="297"/>
      <c r="C682" s="299"/>
      <c r="D682" s="296"/>
      <c r="E682" s="296"/>
      <c r="F682" s="296"/>
    </row>
    <row r="683">
      <c r="A683" s="296"/>
      <c r="B683" s="297"/>
      <c r="C683" s="299"/>
      <c r="D683" s="296"/>
      <c r="E683" s="296"/>
      <c r="F683" s="296"/>
    </row>
    <row r="684">
      <c r="A684" s="296"/>
      <c r="B684" s="297"/>
      <c r="C684" s="299"/>
      <c r="D684" s="296"/>
      <c r="E684" s="296"/>
      <c r="F684" s="296"/>
    </row>
    <row r="685">
      <c r="A685" s="296"/>
      <c r="B685" s="297"/>
      <c r="C685" s="299"/>
      <c r="D685" s="296"/>
      <c r="E685" s="296"/>
      <c r="F685" s="296"/>
    </row>
    <row r="686">
      <c r="A686" s="296"/>
      <c r="B686" s="297"/>
      <c r="C686" s="299"/>
      <c r="D686" s="296"/>
      <c r="E686" s="296"/>
      <c r="F686" s="296"/>
    </row>
    <row r="687">
      <c r="A687" s="296"/>
      <c r="B687" s="297"/>
      <c r="C687" s="299"/>
      <c r="D687" s="296"/>
      <c r="E687" s="296"/>
      <c r="F687" s="296"/>
    </row>
    <row r="688">
      <c r="A688" s="296"/>
      <c r="B688" s="297"/>
      <c r="C688" s="299"/>
      <c r="D688" s="296"/>
      <c r="E688" s="296"/>
      <c r="F688" s="296"/>
    </row>
    <row r="689">
      <c r="A689" s="296"/>
      <c r="B689" s="297"/>
      <c r="C689" s="299"/>
      <c r="D689" s="296"/>
      <c r="E689" s="296"/>
      <c r="F689" s="296"/>
    </row>
    <row r="690">
      <c r="A690" s="296"/>
      <c r="B690" s="297"/>
      <c r="C690" s="299"/>
      <c r="D690" s="296"/>
      <c r="E690" s="296"/>
      <c r="F690" s="296"/>
    </row>
    <row r="691">
      <c r="A691" s="296"/>
      <c r="B691" s="297"/>
      <c r="C691" s="299"/>
      <c r="D691" s="296"/>
      <c r="E691" s="296"/>
      <c r="F691" s="296"/>
    </row>
    <row r="692">
      <c r="A692" s="296"/>
      <c r="B692" s="297"/>
      <c r="C692" s="299"/>
      <c r="D692" s="296"/>
      <c r="E692" s="296"/>
      <c r="F692" s="296"/>
    </row>
    <row r="693">
      <c r="A693" s="296"/>
      <c r="B693" s="297"/>
      <c r="C693" s="299"/>
      <c r="D693" s="296"/>
      <c r="E693" s="296"/>
      <c r="F693" s="296"/>
    </row>
    <row r="694">
      <c r="A694" s="296"/>
      <c r="B694" s="297"/>
      <c r="C694" s="299"/>
      <c r="D694" s="296"/>
      <c r="E694" s="296"/>
      <c r="F694" s="296"/>
    </row>
    <row r="695">
      <c r="A695" s="296"/>
      <c r="B695" s="297"/>
      <c r="C695" s="299"/>
      <c r="D695" s="296"/>
      <c r="E695" s="296"/>
      <c r="F695" s="296"/>
    </row>
    <row r="696">
      <c r="A696" s="296"/>
      <c r="B696" s="297"/>
      <c r="C696" s="299"/>
      <c r="D696" s="296"/>
      <c r="E696" s="296"/>
      <c r="F696" s="296"/>
    </row>
    <row r="697">
      <c r="A697" s="296"/>
      <c r="B697" s="297"/>
      <c r="C697" s="299"/>
      <c r="D697" s="296"/>
      <c r="E697" s="296"/>
      <c r="F697" s="296"/>
    </row>
    <row r="698">
      <c r="A698" s="296"/>
      <c r="B698" s="297"/>
      <c r="C698" s="299"/>
      <c r="D698" s="296"/>
      <c r="E698" s="296"/>
      <c r="F698" s="296"/>
    </row>
    <row r="699">
      <c r="A699" s="296"/>
      <c r="B699" s="297"/>
      <c r="C699" s="299"/>
      <c r="D699" s="296"/>
      <c r="E699" s="296"/>
      <c r="F699" s="296"/>
    </row>
    <row r="700">
      <c r="A700" s="296"/>
      <c r="B700" s="297"/>
      <c r="C700" s="299"/>
      <c r="D700" s="296"/>
      <c r="E700" s="296"/>
      <c r="F700" s="296"/>
    </row>
    <row r="701">
      <c r="A701" s="296"/>
      <c r="B701" s="297"/>
      <c r="C701" s="299"/>
      <c r="D701" s="296"/>
      <c r="E701" s="296"/>
      <c r="F701" s="296"/>
    </row>
    <row r="702">
      <c r="A702" s="296"/>
      <c r="B702" s="297"/>
      <c r="C702" s="299"/>
      <c r="D702" s="296"/>
      <c r="E702" s="296"/>
      <c r="F702" s="296"/>
    </row>
    <row r="703">
      <c r="A703" s="296"/>
      <c r="B703" s="297"/>
      <c r="C703" s="299"/>
      <c r="D703" s="296"/>
      <c r="E703" s="296"/>
      <c r="F703" s="296"/>
    </row>
    <row r="704">
      <c r="A704" s="296"/>
      <c r="B704" s="297"/>
      <c r="C704" s="299"/>
      <c r="D704" s="296"/>
      <c r="E704" s="296"/>
      <c r="F704" s="296"/>
    </row>
    <row r="705">
      <c r="A705" s="296"/>
      <c r="B705" s="297"/>
      <c r="C705" s="299"/>
      <c r="D705" s="296"/>
      <c r="E705" s="296"/>
      <c r="F705" s="296"/>
    </row>
    <row r="706">
      <c r="A706" s="296"/>
      <c r="B706" s="297"/>
      <c r="C706" s="299"/>
      <c r="D706" s="296"/>
      <c r="E706" s="296"/>
      <c r="F706" s="296"/>
    </row>
    <row r="707">
      <c r="A707" s="296"/>
      <c r="B707" s="297"/>
      <c r="C707" s="299"/>
      <c r="D707" s="296"/>
      <c r="E707" s="296"/>
      <c r="F707" s="296"/>
    </row>
    <row r="708">
      <c r="A708" s="296"/>
      <c r="B708" s="297"/>
      <c r="C708" s="299"/>
      <c r="D708" s="296"/>
      <c r="E708" s="296"/>
      <c r="F708" s="296"/>
    </row>
    <row r="709">
      <c r="A709" s="296"/>
      <c r="B709" s="297"/>
      <c r="C709" s="299"/>
      <c r="D709" s="296"/>
      <c r="E709" s="296"/>
      <c r="F709" s="296"/>
    </row>
    <row r="710">
      <c r="A710" s="296"/>
      <c r="B710" s="297"/>
      <c r="C710" s="299"/>
      <c r="D710" s="296"/>
      <c r="E710" s="296"/>
      <c r="F710" s="296"/>
    </row>
    <row r="711">
      <c r="A711" s="296"/>
      <c r="B711" s="297"/>
      <c r="C711" s="299"/>
      <c r="D711" s="296"/>
      <c r="E711" s="296"/>
      <c r="F711" s="296"/>
    </row>
    <row r="712">
      <c r="A712" s="296"/>
      <c r="B712" s="297"/>
      <c r="C712" s="299"/>
      <c r="D712" s="296"/>
      <c r="E712" s="296"/>
      <c r="F712" s="296"/>
    </row>
    <row r="713">
      <c r="A713" s="296"/>
      <c r="B713" s="297"/>
      <c r="C713" s="299"/>
      <c r="D713" s="296"/>
      <c r="E713" s="296"/>
      <c r="F713" s="296"/>
    </row>
    <row r="714">
      <c r="A714" s="296"/>
      <c r="B714" s="297"/>
      <c r="C714" s="299"/>
      <c r="D714" s="296"/>
      <c r="E714" s="296"/>
      <c r="F714" s="296"/>
    </row>
    <row r="715">
      <c r="A715" s="296"/>
      <c r="B715" s="297"/>
      <c r="C715" s="299"/>
      <c r="D715" s="296"/>
      <c r="E715" s="296"/>
      <c r="F715" s="296"/>
    </row>
    <row r="716">
      <c r="A716" s="296"/>
      <c r="B716" s="297"/>
      <c r="C716" s="299"/>
      <c r="D716" s="296"/>
      <c r="E716" s="296"/>
      <c r="F716" s="296"/>
    </row>
    <row r="717">
      <c r="A717" s="296"/>
      <c r="B717" s="297"/>
      <c r="C717" s="299"/>
      <c r="D717" s="296"/>
      <c r="E717" s="296"/>
      <c r="F717" s="296"/>
    </row>
    <row r="718">
      <c r="A718" s="296"/>
      <c r="B718" s="297"/>
      <c r="C718" s="299"/>
      <c r="D718" s="296"/>
      <c r="E718" s="296"/>
      <c r="F718" s="296"/>
    </row>
    <row r="719">
      <c r="A719" s="296"/>
      <c r="B719" s="297"/>
      <c r="C719" s="299"/>
      <c r="D719" s="296"/>
      <c r="E719" s="296"/>
      <c r="F719" s="296"/>
    </row>
    <row r="720">
      <c r="A720" s="296"/>
      <c r="B720" s="297"/>
      <c r="C720" s="299"/>
      <c r="D720" s="296"/>
      <c r="E720" s="296"/>
      <c r="F720" s="296"/>
    </row>
    <row r="721">
      <c r="A721" s="296"/>
      <c r="B721" s="297"/>
      <c r="C721" s="299"/>
      <c r="D721" s="296"/>
      <c r="E721" s="296"/>
      <c r="F721" s="296"/>
    </row>
    <row r="722">
      <c r="A722" s="296"/>
      <c r="B722" s="297"/>
      <c r="C722" s="299"/>
      <c r="D722" s="296"/>
      <c r="E722" s="296"/>
      <c r="F722" s="296"/>
    </row>
    <row r="723">
      <c r="A723" s="296"/>
      <c r="B723" s="297"/>
      <c r="C723" s="299"/>
      <c r="D723" s="296"/>
      <c r="E723" s="296"/>
      <c r="F723" s="296"/>
    </row>
    <row r="724">
      <c r="A724" s="296"/>
      <c r="B724" s="297"/>
      <c r="C724" s="299"/>
      <c r="D724" s="296"/>
      <c r="E724" s="296"/>
      <c r="F724" s="296"/>
    </row>
    <row r="725">
      <c r="A725" s="296"/>
      <c r="B725" s="297"/>
      <c r="C725" s="299"/>
      <c r="D725" s="296"/>
      <c r="E725" s="296"/>
      <c r="F725" s="296"/>
    </row>
    <row r="726">
      <c r="A726" s="296"/>
      <c r="B726" s="297"/>
      <c r="C726" s="299"/>
      <c r="D726" s="296"/>
      <c r="E726" s="296"/>
      <c r="F726" s="296"/>
    </row>
    <row r="727">
      <c r="A727" s="296"/>
      <c r="B727" s="297"/>
      <c r="C727" s="299"/>
      <c r="D727" s="296"/>
      <c r="E727" s="296"/>
      <c r="F727" s="296"/>
    </row>
    <row r="728">
      <c r="A728" s="296"/>
      <c r="B728" s="297"/>
      <c r="C728" s="299"/>
      <c r="D728" s="296"/>
      <c r="E728" s="296"/>
      <c r="F728" s="296"/>
    </row>
    <row r="729">
      <c r="A729" s="296"/>
      <c r="B729" s="297"/>
      <c r="C729" s="299"/>
      <c r="D729" s="296"/>
      <c r="E729" s="296"/>
      <c r="F729" s="296"/>
    </row>
    <row r="730">
      <c r="A730" s="296"/>
      <c r="B730" s="297"/>
      <c r="C730" s="299"/>
      <c r="D730" s="296"/>
      <c r="E730" s="296"/>
      <c r="F730" s="296"/>
    </row>
    <row r="731">
      <c r="A731" s="296"/>
      <c r="B731" s="297"/>
      <c r="C731" s="299"/>
      <c r="D731" s="296"/>
      <c r="E731" s="296"/>
      <c r="F731" s="296"/>
    </row>
    <row r="732">
      <c r="A732" s="296"/>
      <c r="B732" s="297"/>
      <c r="C732" s="299"/>
      <c r="D732" s="296"/>
      <c r="E732" s="296"/>
      <c r="F732" s="296"/>
    </row>
    <row r="733">
      <c r="A733" s="296"/>
      <c r="B733" s="297"/>
      <c r="C733" s="299"/>
      <c r="D733" s="296"/>
      <c r="E733" s="296"/>
      <c r="F733" s="296"/>
    </row>
    <row r="734">
      <c r="A734" s="296"/>
      <c r="B734" s="297"/>
      <c r="C734" s="299"/>
      <c r="D734" s="296"/>
      <c r="E734" s="296"/>
      <c r="F734" s="296"/>
    </row>
    <row r="735">
      <c r="A735" s="296"/>
      <c r="B735" s="297"/>
      <c r="C735" s="299"/>
      <c r="D735" s="296"/>
      <c r="E735" s="296"/>
      <c r="F735" s="296"/>
    </row>
    <row r="736">
      <c r="A736" s="296"/>
      <c r="B736" s="297"/>
      <c r="C736" s="299"/>
      <c r="D736" s="296"/>
      <c r="E736" s="296"/>
      <c r="F736" s="296"/>
    </row>
    <row r="737">
      <c r="A737" s="296"/>
      <c r="B737" s="297"/>
      <c r="C737" s="299"/>
      <c r="D737" s="296"/>
      <c r="E737" s="296"/>
      <c r="F737" s="296"/>
    </row>
    <row r="738">
      <c r="A738" s="296"/>
      <c r="B738" s="297"/>
      <c r="C738" s="299"/>
      <c r="D738" s="296"/>
      <c r="E738" s="296"/>
      <c r="F738" s="296"/>
    </row>
    <row r="739">
      <c r="A739" s="296"/>
      <c r="B739" s="297"/>
      <c r="C739" s="299"/>
      <c r="D739" s="296"/>
      <c r="E739" s="296"/>
      <c r="F739" s="296"/>
    </row>
    <row r="740">
      <c r="A740" s="296"/>
      <c r="B740" s="297"/>
      <c r="C740" s="299"/>
      <c r="D740" s="296"/>
      <c r="E740" s="296"/>
      <c r="F740" s="296"/>
    </row>
    <row r="741">
      <c r="A741" s="296"/>
      <c r="B741" s="297"/>
      <c r="C741" s="299"/>
      <c r="D741" s="296"/>
      <c r="E741" s="296"/>
      <c r="F741" s="296"/>
    </row>
    <row r="742">
      <c r="A742" s="296"/>
      <c r="B742" s="297"/>
      <c r="C742" s="299"/>
      <c r="D742" s="296"/>
      <c r="E742" s="296"/>
      <c r="F742" s="296"/>
    </row>
    <row r="743">
      <c r="A743" s="296"/>
      <c r="B743" s="297"/>
      <c r="C743" s="299"/>
      <c r="D743" s="296"/>
      <c r="E743" s="296"/>
      <c r="F743" s="296"/>
    </row>
    <row r="744">
      <c r="A744" s="296"/>
      <c r="B744" s="297"/>
      <c r="C744" s="299"/>
      <c r="D744" s="296"/>
      <c r="E744" s="296"/>
      <c r="F744" s="296"/>
    </row>
    <row r="745">
      <c r="A745" s="296"/>
      <c r="B745" s="297"/>
      <c r="C745" s="299"/>
      <c r="D745" s="296"/>
      <c r="E745" s="296"/>
      <c r="F745" s="296"/>
    </row>
    <row r="746">
      <c r="A746" s="296"/>
      <c r="B746" s="297"/>
      <c r="C746" s="299"/>
      <c r="D746" s="296"/>
      <c r="E746" s="296"/>
      <c r="F746" s="296"/>
    </row>
    <row r="747">
      <c r="A747" s="296"/>
      <c r="B747" s="297"/>
      <c r="C747" s="299"/>
      <c r="D747" s="296"/>
      <c r="E747" s="296"/>
      <c r="F747" s="296"/>
    </row>
    <row r="748">
      <c r="A748" s="296"/>
      <c r="B748" s="297"/>
      <c r="C748" s="299"/>
      <c r="D748" s="296"/>
      <c r="E748" s="296"/>
      <c r="F748" s="296"/>
    </row>
    <row r="749">
      <c r="A749" s="296"/>
      <c r="B749" s="297"/>
      <c r="C749" s="299"/>
      <c r="D749" s="296"/>
      <c r="E749" s="296"/>
      <c r="F749" s="296"/>
    </row>
    <row r="750">
      <c r="A750" s="296"/>
      <c r="B750" s="297"/>
      <c r="C750" s="299"/>
      <c r="D750" s="296"/>
      <c r="E750" s="296"/>
      <c r="F750" s="296"/>
    </row>
    <row r="751">
      <c r="A751" s="296"/>
      <c r="B751" s="297"/>
      <c r="C751" s="299"/>
      <c r="D751" s="296"/>
      <c r="E751" s="296"/>
      <c r="F751" s="296"/>
    </row>
    <row r="752">
      <c r="A752" s="296"/>
      <c r="B752" s="297"/>
      <c r="C752" s="299"/>
      <c r="D752" s="296"/>
      <c r="E752" s="296"/>
      <c r="F752" s="296"/>
    </row>
    <row r="753">
      <c r="A753" s="296"/>
      <c r="B753" s="297"/>
      <c r="C753" s="299"/>
      <c r="D753" s="296"/>
      <c r="E753" s="296"/>
      <c r="F753" s="296"/>
    </row>
    <row r="754">
      <c r="A754" s="296"/>
      <c r="B754" s="297"/>
      <c r="C754" s="299"/>
      <c r="D754" s="296"/>
      <c r="E754" s="296"/>
      <c r="F754" s="296"/>
    </row>
    <row r="755">
      <c r="A755" s="296"/>
      <c r="B755" s="297"/>
      <c r="C755" s="299"/>
      <c r="D755" s="296"/>
      <c r="E755" s="296"/>
      <c r="F755" s="296"/>
    </row>
    <row r="756">
      <c r="A756" s="296"/>
      <c r="B756" s="297"/>
      <c r="C756" s="299"/>
      <c r="D756" s="296"/>
      <c r="E756" s="296"/>
      <c r="F756" s="296"/>
    </row>
    <row r="757">
      <c r="A757" s="296"/>
      <c r="B757" s="297"/>
      <c r="C757" s="299"/>
      <c r="D757" s="296"/>
      <c r="E757" s="296"/>
      <c r="F757" s="296"/>
    </row>
    <row r="758">
      <c r="A758" s="296"/>
      <c r="B758" s="297"/>
      <c r="C758" s="299"/>
      <c r="D758" s="296"/>
      <c r="E758" s="296"/>
      <c r="F758" s="296"/>
    </row>
    <row r="759">
      <c r="A759" s="296"/>
      <c r="B759" s="297"/>
      <c r="C759" s="299"/>
      <c r="D759" s="296"/>
      <c r="E759" s="296"/>
      <c r="F759" s="296"/>
    </row>
    <row r="760">
      <c r="A760" s="296"/>
      <c r="B760" s="297"/>
      <c r="C760" s="299"/>
      <c r="D760" s="296"/>
      <c r="E760" s="296"/>
      <c r="F760" s="296"/>
    </row>
    <row r="761">
      <c r="A761" s="296"/>
      <c r="B761" s="297"/>
      <c r="C761" s="299"/>
      <c r="D761" s="296"/>
      <c r="E761" s="296"/>
      <c r="F761" s="296"/>
    </row>
    <row r="762">
      <c r="A762" s="296"/>
      <c r="B762" s="297"/>
      <c r="C762" s="299"/>
      <c r="D762" s="296"/>
      <c r="E762" s="296"/>
      <c r="F762" s="296"/>
    </row>
    <row r="763">
      <c r="A763" s="296"/>
      <c r="B763" s="297"/>
      <c r="C763" s="299"/>
      <c r="D763" s="296"/>
      <c r="E763" s="296"/>
      <c r="F763" s="296"/>
    </row>
    <row r="764">
      <c r="A764" s="296"/>
      <c r="B764" s="297"/>
      <c r="C764" s="299"/>
      <c r="D764" s="296"/>
      <c r="E764" s="296"/>
      <c r="F764" s="296"/>
    </row>
    <row r="765">
      <c r="A765" s="296"/>
      <c r="B765" s="297"/>
      <c r="C765" s="299"/>
      <c r="D765" s="296"/>
      <c r="E765" s="296"/>
      <c r="F765" s="296"/>
    </row>
    <row r="766">
      <c r="A766" s="296"/>
      <c r="B766" s="297"/>
      <c r="C766" s="299"/>
      <c r="D766" s="296"/>
      <c r="E766" s="296"/>
      <c r="F766" s="296"/>
    </row>
    <row r="767">
      <c r="A767" s="296"/>
      <c r="B767" s="297"/>
      <c r="C767" s="299"/>
      <c r="D767" s="296"/>
      <c r="E767" s="296"/>
      <c r="F767" s="296"/>
    </row>
    <row r="768">
      <c r="A768" s="296"/>
      <c r="B768" s="297"/>
      <c r="C768" s="299"/>
      <c r="D768" s="296"/>
      <c r="E768" s="296"/>
      <c r="F768" s="296"/>
    </row>
    <row r="769">
      <c r="A769" s="296"/>
      <c r="B769" s="297"/>
      <c r="C769" s="299"/>
      <c r="D769" s="296"/>
      <c r="E769" s="296"/>
      <c r="F769" s="296"/>
    </row>
    <row r="770">
      <c r="A770" s="296"/>
      <c r="B770" s="297"/>
      <c r="C770" s="299"/>
      <c r="D770" s="296"/>
      <c r="E770" s="296"/>
      <c r="F770" s="296"/>
    </row>
    <row r="771">
      <c r="A771" s="296"/>
      <c r="B771" s="297"/>
      <c r="C771" s="299"/>
      <c r="D771" s="296"/>
      <c r="E771" s="296"/>
      <c r="F771" s="296"/>
    </row>
    <row r="772">
      <c r="A772" s="296"/>
      <c r="B772" s="297"/>
      <c r="C772" s="299"/>
      <c r="D772" s="296"/>
      <c r="E772" s="296"/>
      <c r="F772" s="296"/>
    </row>
    <row r="773">
      <c r="A773" s="296"/>
      <c r="B773" s="297"/>
      <c r="C773" s="299"/>
      <c r="D773" s="296"/>
      <c r="E773" s="296"/>
      <c r="F773" s="296"/>
    </row>
    <row r="774">
      <c r="A774" s="296"/>
      <c r="B774" s="297"/>
      <c r="C774" s="299"/>
      <c r="D774" s="296"/>
      <c r="E774" s="296"/>
      <c r="F774" s="296"/>
    </row>
    <row r="775">
      <c r="A775" s="296"/>
      <c r="B775" s="297"/>
      <c r="C775" s="299"/>
      <c r="D775" s="296"/>
      <c r="E775" s="296"/>
      <c r="F775" s="296"/>
    </row>
    <row r="776">
      <c r="A776" s="296"/>
      <c r="B776" s="297"/>
      <c r="C776" s="299"/>
      <c r="D776" s="296"/>
      <c r="E776" s="296"/>
      <c r="F776" s="296"/>
    </row>
    <row r="777">
      <c r="A777" s="296"/>
      <c r="B777" s="297"/>
      <c r="C777" s="299"/>
      <c r="D777" s="296"/>
      <c r="E777" s="296"/>
      <c r="F777" s="296"/>
    </row>
    <row r="778">
      <c r="A778" s="296"/>
      <c r="B778" s="297"/>
      <c r="C778" s="299"/>
      <c r="D778" s="296"/>
      <c r="E778" s="296"/>
      <c r="F778" s="296"/>
    </row>
    <row r="779">
      <c r="A779" s="296"/>
      <c r="B779" s="297"/>
      <c r="C779" s="299"/>
      <c r="D779" s="296"/>
      <c r="E779" s="296"/>
      <c r="F779" s="296"/>
    </row>
    <row r="780">
      <c r="A780" s="296"/>
      <c r="B780" s="297"/>
      <c r="C780" s="299"/>
      <c r="D780" s="296"/>
      <c r="E780" s="296"/>
      <c r="F780" s="296"/>
    </row>
    <row r="781">
      <c r="A781" s="296"/>
      <c r="B781" s="297"/>
      <c r="C781" s="299"/>
      <c r="D781" s="296"/>
      <c r="E781" s="296"/>
      <c r="F781" s="296"/>
    </row>
    <row r="782">
      <c r="A782" s="296"/>
      <c r="B782" s="297"/>
      <c r="C782" s="299"/>
      <c r="D782" s="296"/>
      <c r="E782" s="296"/>
      <c r="F782" s="296"/>
    </row>
    <row r="783">
      <c r="A783" s="296"/>
      <c r="B783" s="297"/>
      <c r="C783" s="299"/>
      <c r="D783" s="296"/>
      <c r="E783" s="296"/>
      <c r="F783" s="296"/>
    </row>
    <row r="784">
      <c r="A784" s="296"/>
      <c r="B784" s="297"/>
      <c r="C784" s="299"/>
      <c r="D784" s="296"/>
      <c r="E784" s="296"/>
      <c r="F784" s="296"/>
    </row>
    <row r="785">
      <c r="A785" s="296"/>
      <c r="B785" s="297"/>
      <c r="C785" s="299"/>
      <c r="D785" s="296"/>
      <c r="E785" s="296"/>
      <c r="F785" s="296"/>
    </row>
    <row r="786">
      <c r="A786" s="296"/>
      <c r="B786" s="297"/>
      <c r="C786" s="299"/>
      <c r="D786" s="296"/>
      <c r="E786" s="296"/>
      <c r="F786" s="296"/>
    </row>
    <row r="787">
      <c r="A787" s="296"/>
      <c r="B787" s="297"/>
      <c r="C787" s="299"/>
      <c r="D787" s="296"/>
      <c r="E787" s="296"/>
      <c r="F787" s="296"/>
    </row>
    <row r="788">
      <c r="A788" s="296"/>
      <c r="B788" s="297"/>
      <c r="C788" s="299"/>
      <c r="D788" s="296"/>
      <c r="E788" s="296"/>
      <c r="F788" s="296"/>
    </row>
    <row r="789">
      <c r="A789" s="296"/>
      <c r="B789" s="297"/>
      <c r="C789" s="299"/>
      <c r="D789" s="296"/>
      <c r="E789" s="296"/>
      <c r="F789" s="296"/>
    </row>
    <row r="790">
      <c r="A790" s="296"/>
      <c r="B790" s="297"/>
      <c r="C790" s="299"/>
      <c r="D790" s="296"/>
      <c r="E790" s="296"/>
      <c r="F790" s="296"/>
    </row>
    <row r="791">
      <c r="A791" s="296"/>
      <c r="B791" s="297"/>
      <c r="C791" s="299"/>
      <c r="D791" s="296"/>
      <c r="E791" s="296"/>
      <c r="F791" s="296"/>
    </row>
    <row r="792">
      <c r="A792" s="296"/>
      <c r="B792" s="297"/>
      <c r="C792" s="299"/>
      <c r="D792" s="296"/>
      <c r="E792" s="296"/>
      <c r="F792" s="296"/>
    </row>
    <row r="793">
      <c r="A793" s="296"/>
      <c r="B793" s="297"/>
      <c r="C793" s="299"/>
      <c r="D793" s="296"/>
      <c r="E793" s="296"/>
      <c r="F793" s="296"/>
    </row>
    <row r="794">
      <c r="A794" s="296"/>
      <c r="B794" s="297"/>
      <c r="C794" s="299"/>
      <c r="D794" s="296"/>
      <c r="E794" s="296"/>
      <c r="F794" s="296"/>
    </row>
    <row r="795">
      <c r="A795" s="296"/>
      <c r="B795" s="297"/>
      <c r="C795" s="299"/>
      <c r="D795" s="296"/>
      <c r="E795" s="296"/>
      <c r="F795" s="296"/>
    </row>
    <row r="796">
      <c r="A796" s="296"/>
      <c r="B796" s="297"/>
      <c r="C796" s="299"/>
      <c r="D796" s="296"/>
      <c r="E796" s="296"/>
      <c r="F796" s="296"/>
    </row>
    <row r="797">
      <c r="A797" s="296"/>
      <c r="B797" s="297"/>
      <c r="C797" s="299"/>
      <c r="D797" s="296"/>
      <c r="E797" s="296"/>
      <c r="F797" s="296"/>
    </row>
    <row r="798">
      <c r="A798" s="296"/>
      <c r="B798" s="297"/>
      <c r="C798" s="299"/>
      <c r="D798" s="296"/>
      <c r="E798" s="296"/>
      <c r="F798" s="296"/>
    </row>
    <row r="799">
      <c r="A799" s="296"/>
      <c r="B799" s="297"/>
      <c r="C799" s="299"/>
      <c r="D799" s="296"/>
      <c r="E799" s="296"/>
      <c r="F799" s="296"/>
    </row>
    <row r="800">
      <c r="A800" s="296"/>
      <c r="B800" s="297"/>
      <c r="C800" s="299"/>
      <c r="D800" s="296"/>
      <c r="E800" s="296"/>
      <c r="F800" s="296"/>
    </row>
    <row r="801">
      <c r="A801" s="296"/>
      <c r="B801" s="297"/>
      <c r="C801" s="299"/>
      <c r="D801" s="296"/>
      <c r="E801" s="296"/>
      <c r="F801" s="296"/>
    </row>
    <row r="802">
      <c r="A802" s="296"/>
      <c r="B802" s="297"/>
      <c r="C802" s="299"/>
      <c r="D802" s="296"/>
      <c r="E802" s="296"/>
      <c r="F802" s="296"/>
    </row>
    <row r="803">
      <c r="A803" s="296"/>
      <c r="B803" s="297"/>
      <c r="C803" s="299"/>
      <c r="D803" s="296"/>
      <c r="E803" s="296"/>
      <c r="F803" s="296"/>
    </row>
    <row r="804">
      <c r="A804" s="296"/>
      <c r="B804" s="297"/>
      <c r="C804" s="299"/>
      <c r="D804" s="296"/>
      <c r="E804" s="296"/>
      <c r="F804" s="296"/>
    </row>
    <row r="805">
      <c r="A805" s="296"/>
      <c r="B805" s="297"/>
      <c r="C805" s="299"/>
      <c r="D805" s="296"/>
      <c r="E805" s="296"/>
      <c r="F805" s="296"/>
    </row>
    <row r="806">
      <c r="A806" s="296"/>
      <c r="B806" s="297"/>
      <c r="C806" s="299"/>
      <c r="D806" s="296"/>
      <c r="E806" s="296"/>
      <c r="F806" s="296"/>
    </row>
    <row r="807">
      <c r="A807" s="296"/>
      <c r="B807" s="297"/>
      <c r="C807" s="299"/>
      <c r="D807" s="296"/>
      <c r="E807" s="296"/>
      <c r="F807" s="296"/>
    </row>
    <row r="808">
      <c r="A808" s="296"/>
      <c r="B808" s="297"/>
      <c r="C808" s="299"/>
      <c r="D808" s="296"/>
      <c r="E808" s="296"/>
      <c r="F808" s="296"/>
    </row>
    <row r="809">
      <c r="A809" s="296"/>
      <c r="B809" s="297"/>
      <c r="C809" s="299"/>
      <c r="D809" s="296"/>
      <c r="E809" s="296"/>
      <c r="F809" s="296"/>
    </row>
    <row r="810">
      <c r="A810" s="296"/>
      <c r="B810" s="297"/>
      <c r="C810" s="299"/>
      <c r="D810" s="296"/>
      <c r="E810" s="296"/>
      <c r="F810" s="296"/>
    </row>
    <row r="811">
      <c r="A811" s="296"/>
      <c r="B811" s="297"/>
      <c r="C811" s="299"/>
      <c r="D811" s="296"/>
      <c r="E811" s="296"/>
      <c r="F811" s="296"/>
    </row>
    <row r="812">
      <c r="A812" s="296"/>
      <c r="B812" s="297"/>
      <c r="C812" s="299"/>
      <c r="D812" s="296"/>
      <c r="E812" s="296"/>
      <c r="F812" s="296"/>
    </row>
    <row r="813">
      <c r="A813" s="296"/>
      <c r="B813" s="297"/>
      <c r="C813" s="299"/>
      <c r="D813" s="296"/>
      <c r="E813" s="296"/>
      <c r="F813" s="296"/>
    </row>
    <row r="814">
      <c r="A814" s="296"/>
      <c r="B814" s="297"/>
      <c r="C814" s="299"/>
      <c r="D814" s="296"/>
      <c r="E814" s="296"/>
      <c r="F814" s="296"/>
    </row>
    <row r="815">
      <c r="A815" s="296"/>
      <c r="B815" s="297"/>
      <c r="C815" s="299"/>
      <c r="D815" s="296"/>
      <c r="E815" s="296"/>
      <c r="F815" s="296"/>
    </row>
    <row r="816">
      <c r="A816" s="296"/>
      <c r="B816" s="297"/>
      <c r="C816" s="299"/>
      <c r="D816" s="296"/>
      <c r="E816" s="296"/>
      <c r="F816" s="296"/>
    </row>
    <row r="817">
      <c r="A817" s="296"/>
      <c r="B817" s="297"/>
      <c r="C817" s="299"/>
      <c r="D817" s="296"/>
      <c r="E817" s="296"/>
      <c r="F817" s="296"/>
    </row>
    <row r="818">
      <c r="A818" s="296"/>
      <c r="B818" s="297"/>
      <c r="C818" s="299"/>
      <c r="D818" s="296"/>
      <c r="E818" s="296"/>
      <c r="F818" s="296"/>
    </row>
    <row r="819">
      <c r="A819" s="296"/>
      <c r="B819" s="297"/>
      <c r="C819" s="299"/>
      <c r="D819" s="296"/>
      <c r="E819" s="296"/>
      <c r="F819" s="296"/>
    </row>
    <row r="820">
      <c r="A820" s="296"/>
      <c r="B820" s="297"/>
      <c r="C820" s="299"/>
      <c r="D820" s="296"/>
      <c r="E820" s="296"/>
      <c r="F820" s="296"/>
    </row>
    <row r="821">
      <c r="A821" s="296"/>
      <c r="B821" s="297"/>
      <c r="C821" s="299"/>
      <c r="D821" s="296"/>
      <c r="E821" s="296"/>
      <c r="F821" s="296"/>
    </row>
    <row r="822">
      <c r="A822" s="296"/>
      <c r="B822" s="297"/>
      <c r="C822" s="299"/>
      <c r="D822" s="296"/>
      <c r="E822" s="296"/>
      <c r="F822" s="296"/>
    </row>
    <row r="823">
      <c r="A823" s="296"/>
      <c r="B823" s="297"/>
      <c r="C823" s="299"/>
      <c r="D823" s="296"/>
      <c r="E823" s="296"/>
      <c r="F823" s="296"/>
    </row>
    <row r="824">
      <c r="A824" s="296"/>
      <c r="B824" s="297"/>
      <c r="C824" s="299"/>
      <c r="D824" s="296"/>
      <c r="E824" s="296"/>
      <c r="F824" s="296"/>
    </row>
    <row r="825">
      <c r="A825" s="296"/>
      <c r="B825" s="297"/>
      <c r="C825" s="299"/>
      <c r="D825" s="296"/>
      <c r="E825" s="296"/>
      <c r="F825" s="296"/>
    </row>
    <row r="826">
      <c r="A826" s="296"/>
      <c r="B826" s="297"/>
      <c r="C826" s="299"/>
      <c r="D826" s="296"/>
      <c r="E826" s="296"/>
      <c r="F826" s="296"/>
    </row>
    <row r="827">
      <c r="A827" s="296"/>
      <c r="B827" s="297"/>
      <c r="C827" s="299"/>
      <c r="D827" s="296"/>
      <c r="E827" s="296"/>
      <c r="F827" s="296"/>
    </row>
    <row r="828">
      <c r="A828" s="296"/>
      <c r="B828" s="297"/>
      <c r="C828" s="299"/>
      <c r="D828" s="296"/>
      <c r="E828" s="296"/>
      <c r="F828" s="296"/>
    </row>
    <row r="829">
      <c r="A829" s="296"/>
      <c r="B829" s="297"/>
      <c r="C829" s="299"/>
      <c r="D829" s="296"/>
      <c r="E829" s="296"/>
      <c r="F829" s="296"/>
    </row>
    <row r="830">
      <c r="A830" s="296"/>
      <c r="B830" s="297"/>
      <c r="C830" s="299"/>
      <c r="D830" s="296"/>
      <c r="E830" s="296"/>
      <c r="F830" s="296"/>
    </row>
    <row r="831">
      <c r="A831" s="296"/>
      <c r="B831" s="297"/>
      <c r="C831" s="299"/>
      <c r="D831" s="296"/>
      <c r="E831" s="296"/>
      <c r="F831" s="296"/>
    </row>
    <row r="832">
      <c r="A832" s="296"/>
      <c r="B832" s="297"/>
      <c r="C832" s="299"/>
      <c r="D832" s="296"/>
      <c r="E832" s="296"/>
      <c r="F832" s="296"/>
    </row>
    <row r="833">
      <c r="A833" s="296"/>
      <c r="B833" s="297"/>
      <c r="C833" s="299"/>
      <c r="D833" s="296"/>
      <c r="E833" s="296"/>
      <c r="F833" s="296"/>
    </row>
    <row r="834">
      <c r="A834" s="296"/>
      <c r="B834" s="297"/>
      <c r="C834" s="299"/>
      <c r="D834" s="296"/>
      <c r="E834" s="296"/>
      <c r="F834" s="296"/>
    </row>
    <row r="835">
      <c r="A835" s="296"/>
      <c r="B835" s="297"/>
      <c r="C835" s="299"/>
      <c r="D835" s="296"/>
      <c r="E835" s="296"/>
      <c r="F835" s="296"/>
    </row>
    <row r="836">
      <c r="A836" s="296"/>
      <c r="B836" s="297"/>
      <c r="C836" s="299"/>
      <c r="D836" s="296"/>
      <c r="E836" s="296"/>
      <c r="F836" s="296"/>
    </row>
    <row r="837">
      <c r="A837" s="296"/>
      <c r="B837" s="297"/>
      <c r="C837" s="299"/>
      <c r="D837" s="296"/>
      <c r="E837" s="296"/>
      <c r="F837" s="296"/>
    </row>
    <row r="838">
      <c r="A838" s="296"/>
      <c r="B838" s="297"/>
      <c r="C838" s="299"/>
      <c r="D838" s="296"/>
      <c r="E838" s="296"/>
      <c r="F838" s="296"/>
    </row>
    <row r="839">
      <c r="A839" s="296"/>
      <c r="B839" s="297"/>
      <c r="C839" s="299"/>
      <c r="D839" s="296"/>
      <c r="E839" s="296"/>
      <c r="F839" s="296"/>
    </row>
    <row r="840">
      <c r="A840" s="296"/>
      <c r="B840" s="297"/>
      <c r="C840" s="299"/>
      <c r="D840" s="296"/>
      <c r="E840" s="296"/>
      <c r="F840" s="296"/>
    </row>
    <row r="841">
      <c r="A841" s="296"/>
      <c r="B841" s="297"/>
      <c r="C841" s="299"/>
      <c r="D841" s="296"/>
      <c r="E841" s="296"/>
      <c r="F841" s="296"/>
    </row>
    <row r="842">
      <c r="A842" s="296"/>
      <c r="B842" s="297"/>
      <c r="C842" s="299"/>
      <c r="D842" s="296"/>
      <c r="E842" s="296"/>
      <c r="F842" s="296"/>
    </row>
    <row r="843">
      <c r="A843" s="296"/>
      <c r="B843" s="297"/>
      <c r="C843" s="299"/>
      <c r="D843" s="296"/>
      <c r="E843" s="296"/>
      <c r="F843" s="296"/>
    </row>
    <row r="844">
      <c r="A844" s="296"/>
      <c r="B844" s="297"/>
      <c r="C844" s="299"/>
      <c r="D844" s="296"/>
      <c r="E844" s="296"/>
      <c r="F844" s="296"/>
    </row>
    <row r="845">
      <c r="A845" s="296"/>
      <c r="B845" s="297"/>
      <c r="C845" s="299"/>
      <c r="D845" s="296"/>
      <c r="E845" s="296"/>
      <c r="F845" s="296"/>
    </row>
    <row r="846">
      <c r="A846" s="296"/>
      <c r="B846" s="297"/>
      <c r="C846" s="299"/>
      <c r="D846" s="296"/>
      <c r="E846" s="296"/>
      <c r="F846" s="296"/>
    </row>
    <row r="847">
      <c r="A847" s="296"/>
      <c r="B847" s="297"/>
      <c r="C847" s="299"/>
      <c r="D847" s="296"/>
      <c r="E847" s="296"/>
      <c r="F847" s="296"/>
    </row>
    <row r="848">
      <c r="A848" s="296"/>
      <c r="B848" s="297"/>
      <c r="C848" s="299"/>
      <c r="D848" s="296"/>
      <c r="E848" s="296"/>
      <c r="F848" s="296"/>
    </row>
    <row r="849">
      <c r="A849" s="296"/>
      <c r="B849" s="297"/>
      <c r="C849" s="299"/>
      <c r="D849" s="296"/>
      <c r="E849" s="296"/>
      <c r="F849" s="296"/>
    </row>
    <row r="850">
      <c r="A850" s="296"/>
      <c r="B850" s="297"/>
      <c r="C850" s="299"/>
      <c r="D850" s="296"/>
      <c r="E850" s="296"/>
      <c r="F850" s="296"/>
    </row>
    <row r="851">
      <c r="A851" s="296"/>
      <c r="B851" s="297"/>
      <c r="C851" s="299"/>
      <c r="D851" s="296"/>
      <c r="E851" s="296"/>
      <c r="F851" s="296"/>
    </row>
    <row r="852">
      <c r="A852" s="296"/>
      <c r="B852" s="297"/>
      <c r="C852" s="299"/>
      <c r="D852" s="296"/>
      <c r="E852" s="296"/>
      <c r="F852" s="296"/>
    </row>
    <row r="853">
      <c r="A853" s="296"/>
      <c r="B853" s="297"/>
      <c r="C853" s="299"/>
      <c r="D853" s="296"/>
      <c r="E853" s="296"/>
      <c r="F853" s="296"/>
    </row>
    <row r="854">
      <c r="A854" s="296"/>
      <c r="B854" s="297"/>
      <c r="C854" s="299"/>
      <c r="D854" s="296"/>
      <c r="E854" s="296"/>
      <c r="F854" s="296"/>
    </row>
    <row r="855">
      <c r="A855" s="296"/>
      <c r="B855" s="297"/>
      <c r="C855" s="299"/>
      <c r="D855" s="296"/>
      <c r="E855" s="296"/>
      <c r="F855" s="296"/>
    </row>
    <row r="856">
      <c r="A856" s="296"/>
      <c r="B856" s="297"/>
      <c r="C856" s="299"/>
      <c r="D856" s="296"/>
      <c r="E856" s="296"/>
      <c r="F856" s="296"/>
    </row>
    <row r="857">
      <c r="A857" s="296"/>
      <c r="B857" s="297"/>
      <c r="C857" s="299"/>
      <c r="D857" s="296"/>
      <c r="E857" s="296"/>
      <c r="F857" s="296"/>
    </row>
    <row r="858">
      <c r="A858" s="296"/>
      <c r="B858" s="297"/>
      <c r="C858" s="299"/>
      <c r="D858" s="296"/>
      <c r="E858" s="296"/>
      <c r="F858" s="296"/>
    </row>
    <row r="859">
      <c r="A859" s="296"/>
      <c r="B859" s="297"/>
      <c r="C859" s="299"/>
      <c r="D859" s="296"/>
      <c r="E859" s="296"/>
      <c r="F859" s="296"/>
    </row>
    <row r="860">
      <c r="A860" s="296"/>
      <c r="B860" s="297"/>
      <c r="C860" s="299"/>
      <c r="D860" s="296"/>
      <c r="E860" s="296"/>
      <c r="F860" s="296"/>
    </row>
    <row r="861">
      <c r="A861" s="296"/>
      <c r="B861" s="297"/>
      <c r="C861" s="299"/>
      <c r="D861" s="296"/>
      <c r="E861" s="296"/>
      <c r="F861" s="296"/>
    </row>
    <row r="862">
      <c r="A862" s="296"/>
      <c r="B862" s="297"/>
      <c r="C862" s="299"/>
      <c r="D862" s="296"/>
      <c r="E862" s="296"/>
      <c r="F862" s="296"/>
    </row>
    <row r="863">
      <c r="A863" s="296"/>
      <c r="B863" s="297"/>
      <c r="C863" s="299"/>
      <c r="D863" s="296"/>
      <c r="E863" s="296"/>
      <c r="F863" s="296"/>
    </row>
    <row r="864">
      <c r="A864" s="296"/>
      <c r="B864" s="297"/>
      <c r="C864" s="299"/>
      <c r="D864" s="296"/>
      <c r="E864" s="296"/>
      <c r="F864" s="296"/>
    </row>
    <row r="865">
      <c r="A865" s="296"/>
      <c r="B865" s="297"/>
      <c r="C865" s="299"/>
      <c r="D865" s="296"/>
      <c r="E865" s="296"/>
      <c r="F865" s="296"/>
    </row>
    <row r="866">
      <c r="A866" s="296"/>
      <c r="B866" s="297"/>
      <c r="C866" s="299"/>
      <c r="D866" s="296"/>
      <c r="E866" s="296"/>
      <c r="F866" s="296"/>
    </row>
    <row r="867">
      <c r="A867" s="296"/>
      <c r="B867" s="297"/>
      <c r="C867" s="299"/>
      <c r="D867" s="296"/>
      <c r="E867" s="296"/>
      <c r="F867" s="296"/>
    </row>
    <row r="868">
      <c r="A868" s="296"/>
      <c r="B868" s="297"/>
      <c r="C868" s="299"/>
      <c r="D868" s="296"/>
      <c r="E868" s="296"/>
      <c r="F868" s="296"/>
    </row>
    <row r="869">
      <c r="A869" s="296"/>
      <c r="B869" s="297"/>
      <c r="C869" s="299"/>
      <c r="D869" s="296"/>
      <c r="E869" s="296"/>
      <c r="F869" s="296"/>
    </row>
    <row r="870">
      <c r="A870" s="296"/>
      <c r="B870" s="297"/>
      <c r="C870" s="299"/>
      <c r="D870" s="296"/>
      <c r="E870" s="296"/>
      <c r="F870" s="296"/>
    </row>
    <row r="871">
      <c r="A871" s="296"/>
      <c r="B871" s="297"/>
      <c r="C871" s="299"/>
      <c r="D871" s="296"/>
      <c r="E871" s="296"/>
      <c r="F871" s="296"/>
    </row>
    <row r="872">
      <c r="A872" s="296"/>
      <c r="B872" s="297"/>
      <c r="C872" s="299"/>
      <c r="D872" s="296"/>
      <c r="E872" s="296"/>
      <c r="F872" s="296"/>
    </row>
    <row r="873">
      <c r="A873" s="296"/>
      <c r="B873" s="297"/>
      <c r="C873" s="299"/>
      <c r="D873" s="296"/>
      <c r="E873" s="296"/>
      <c r="F873" s="296"/>
    </row>
    <row r="874">
      <c r="A874" s="296"/>
      <c r="B874" s="297"/>
      <c r="C874" s="299"/>
      <c r="D874" s="296"/>
      <c r="E874" s="296"/>
      <c r="F874" s="296"/>
    </row>
    <row r="875">
      <c r="A875" s="296"/>
      <c r="B875" s="297"/>
      <c r="C875" s="299"/>
      <c r="D875" s="296"/>
      <c r="E875" s="296"/>
      <c r="F875" s="296"/>
    </row>
    <row r="876">
      <c r="A876" s="296"/>
      <c r="B876" s="297"/>
      <c r="C876" s="299"/>
      <c r="D876" s="296"/>
      <c r="E876" s="296"/>
      <c r="F876" s="296"/>
    </row>
    <row r="877">
      <c r="A877" s="296"/>
      <c r="B877" s="297"/>
      <c r="C877" s="299"/>
      <c r="D877" s="296"/>
      <c r="E877" s="296"/>
      <c r="F877" s="296"/>
    </row>
    <row r="878">
      <c r="A878" s="296"/>
      <c r="B878" s="297"/>
      <c r="C878" s="299"/>
      <c r="D878" s="296"/>
      <c r="E878" s="296"/>
      <c r="F878" s="296"/>
    </row>
    <row r="879">
      <c r="A879" s="296"/>
      <c r="B879" s="297"/>
      <c r="C879" s="299"/>
      <c r="D879" s="296"/>
      <c r="E879" s="296"/>
      <c r="F879" s="296"/>
    </row>
    <row r="880">
      <c r="A880" s="296"/>
      <c r="B880" s="297"/>
      <c r="C880" s="299"/>
      <c r="D880" s="296"/>
      <c r="E880" s="296"/>
      <c r="F880" s="296"/>
    </row>
    <row r="881">
      <c r="A881" s="296"/>
      <c r="B881" s="297"/>
      <c r="C881" s="299"/>
      <c r="D881" s="296"/>
      <c r="E881" s="296"/>
      <c r="F881" s="296"/>
    </row>
    <row r="882">
      <c r="A882" s="296"/>
      <c r="B882" s="297"/>
      <c r="C882" s="299"/>
      <c r="D882" s="296"/>
      <c r="E882" s="296"/>
      <c r="F882" s="296"/>
    </row>
    <row r="883">
      <c r="A883" s="296"/>
      <c r="B883" s="297"/>
      <c r="C883" s="299"/>
      <c r="D883" s="296"/>
      <c r="E883" s="296"/>
      <c r="F883" s="296"/>
    </row>
    <row r="884">
      <c r="A884" s="296"/>
      <c r="B884" s="297"/>
      <c r="C884" s="299"/>
      <c r="D884" s="296"/>
      <c r="E884" s="296"/>
      <c r="F884" s="296"/>
    </row>
    <row r="885">
      <c r="A885" s="296"/>
      <c r="B885" s="297"/>
      <c r="C885" s="299"/>
      <c r="D885" s="296"/>
      <c r="E885" s="296"/>
      <c r="F885" s="296"/>
    </row>
    <row r="886">
      <c r="A886" s="296"/>
      <c r="B886" s="297"/>
      <c r="C886" s="299"/>
      <c r="D886" s="296"/>
      <c r="E886" s="296"/>
      <c r="F886" s="296"/>
    </row>
    <row r="887">
      <c r="A887" s="296"/>
      <c r="B887" s="297"/>
      <c r="C887" s="299"/>
      <c r="D887" s="296"/>
      <c r="E887" s="296"/>
      <c r="F887" s="296"/>
    </row>
    <row r="888">
      <c r="A888" s="296"/>
      <c r="B888" s="297"/>
      <c r="C888" s="299"/>
      <c r="D888" s="296"/>
      <c r="E888" s="296"/>
      <c r="F888" s="296"/>
    </row>
    <row r="889">
      <c r="A889" s="296"/>
      <c r="B889" s="297"/>
      <c r="C889" s="299"/>
      <c r="D889" s="296"/>
      <c r="E889" s="296"/>
      <c r="F889" s="296"/>
    </row>
    <row r="890">
      <c r="A890" s="296"/>
      <c r="B890" s="297"/>
      <c r="C890" s="299"/>
      <c r="D890" s="296"/>
      <c r="E890" s="296"/>
      <c r="F890" s="296"/>
    </row>
    <row r="891">
      <c r="A891" s="296"/>
      <c r="B891" s="297"/>
      <c r="C891" s="299"/>
      <c r="D891" s="296"/>
      <c r="E891" s="296"/>
      <c r="F891" s="296"/>
    </row>
    <row r="892">
      <c r="A892" s="296"/>
      <c r="B892" s="297"/>
      <c r="C892" s="299"/>
      <c r="D892" s="296"/>
      <c r="E892" s="296"/>
      <c r="F892" s="296"/>
    </row>
    <row r="893">
      <c r="A893" s="296"/>
      <c r="B893" s="297"/>
      <c r="C893" s="299"/>
      <c r="D893" s="296"/>
      <c r="E893" s="296"/>
      <c r="F893" s="296"/>
    </row>
    <row r="894">
      <c r="A894" s="296"/>
      <c r="B894" s="297"/>
      <c r="C894" s="299"/>
      <c r="D894" s="296"/>
      <c r="E894" s="296"/>
      <c r="F894" s="296"/>
    </row>
    <row r="895">
      <c r="A895" s="296"/>
      <c r="B895" s="297"/>
      <c r="C895" s="299"/>
      <c r="D895" s="296"/>
      <c r="E895" s="296"/>
      <c r="F895" s="296"/>
    </row>
    <row r="896">
      <c r="A896" s="296"/>
      <c r="B896" s="297"/>
      <c r="C896" s="299"/>
      <c r="D896" s="296"/>
      <c r="E896" s="296"/>
      <c r="F896" s="296"/>
    </row>
    <row r="897">
      <c r="A897" s="296"/>
      <c r="B897" s="297"/>
      <c r="C897" s="299"/>
      <c r="D897" s="296"/>
      <c r="E897" s="296"/>
      <c r="F897" s="296"/>
    </row>
    <row r="898">
      <c r="A898" s="296"/>
      <c r="B898" s="297"/>
      <c r="C898" s="299"/>
      <c r="D898" s="296"/>
      <c r="E898" s="296"/>
      <c r="F898" s="296"/>
    </row>
    <row r="899">
      <c r="A899" s="296"/>
      <c r="B899" s="297"/>
      <c r="C899" s="299"/>
      <c r="D899" s="296"/>
      <c r="E899" s="296"/>
      <c r="F899" s="296"/>
    </row>
    <row r="900">
      <c r="A900" s="296"/>
      <c r="B900" s="297"/>
      <c r="C900" s="299"/>
      <c r="D900" s="296"/>
      <c r="E900" s="296"/>
      <c r="F900" s="296"/>
    </row>
    <row r="901">
      <c r="A901" s="296"/>
      <c r="B901" s="297"/>
      <c r="C901" s="299"/>
      <c r="D901" s="296"/>
      <c r="E901" s="296"/>
      <c r="F901" s="296"/>
    </row>
    <row r="902">
      <c r="A902" s="296"/>
      <c r="B902" s="297"/>
      <c r="C902" s="299"/>
      <c r="D902" s="296"/>
      <c r="E902" s="296"/>
      <c r="F902" s="296"/>
    </row>
    <row r="903">
      <c r="A903" s="296"/>
      <c r="B903" s="297"/>
      <c r="C903" s="299"/>
      <c r="D903" s="296"/>
      <c r="E903" s="296"/>
      <c r="F903" s="296"/>
    </row>
    <row r="904">
      <c r="A904" s="296"/>
      <c r="B904" s="297"/>
      <c r="C904" s="299"/>
      <c r="D904" s="296"/>
      <c r="E904" s="296"/>
      <c r="F904" s="296"/>
    </row>
    <row r="905">
      <c r="A905" s="296"/>
      <c r="B905" s="297"/>
      <c r="C905" s="299"/>
      <c r="D905" s="296"/>
      <c r="E905" s="296"/>
      <c r="F905" s="296"/>
    </row>
    <row r="906">
      <c r="A906" s="296"/>
      <c r="B906" s="297"/>
      <c r="C906" s="299"/>
      <c r="D906" s="296"/>
      <c r="E906" s="296"/>
      <c r="F906" s="296"/>
    </row>
    <row r="907">
      <c r="A907" s="296"/>
      <c r="B907" s="297"/>
      <c r="C907" s="299"/>
      <c r="D907" s="296"/>
      <c r="E907" s="296"/>
      <c r="F907" s="296"/>
    </row>
    <row r="908">
      <c r="A908" s="296"/>
      <c r="B908" s="297"/>
      <c r="C908" s="299"/>
      <c r="D908" s="296"/>
      <c r="E908" s="296"/>
      <c r="F908" s="296"/>
    </row>
    <row r="909">
      <c r="A909" s="296"/>
      <c r="B909" s="297"/>
      <c r="C909" s="299"/>
      <c r="D909" s="296"/>
      <c r="E909" s="296"/>
      <c r="F909" s="296"/>
    </row>
    <row r="910">
      <c r="A910" s="296"/>
      <c r="B910" s="297"/>
      <c r="C910" s="299"/>
      <c r="D910" s="296"/>
      <c r="E910" s="296"/>
      <c r="F910" s="296"/>
    </row>
    <row r="911">
      <c r="A911" s="296"/>
      <c r="B911" s="297"/>
      <c r="C911" s="299"/>
      <c r="D911" s="296"/>
      <c r="E911" s="296"/>
      <c r="F911" s="296"/>
    </row>
    <row r="912">
      <c r="A912" s="296"/>
      <c r="B912" s="297"/>
      <c r="C912" s="299"/>
      <c r="D912" s="296"/>
      <c r="E912" s="296"/>
      <c r="F912" s="296"/>
    </row>
    <row r="913">
      <c r="A913" s="296"/>
      <c r="B913" s="297"/>
      <c r="C913" s="299"/>
      <c r="D913" s="296"/>
      <c r="E913" s="296"/>
      <c r="F913" s="296"/>
    </row>
    <row r="914">
      <c r="A914" s="296"/>
      <c r="B914" s="297"/>
      <c r="C914" s="299"/>
      <c r="D914" s="296"/>
      <c r="E914" s="296"/>
      <c r="F914" s="296"/>
    </row>
    <row r="915">
      <c r="A915" s="296"/>
      <c r="B915" s="297"/>
      <c r="C915" s="299"/>
      <c r="D915" s="296"/>
      <c r="E915" s="296"/>
      <c r="F915" s="296"/>
    </row>
    <row r="916">
      <c r="A916" s="296"/>
      <c r="B916" s="297"/>
      <c r="C916" s="299"/>
      <c r="D916" s="296"/>
      <c r="E916" s="296"/>
      <c r="F916" s="296"/>
    </row>
    <row r="917">
      <c r="A917" s="296"/>
      <c r="B917" s="297"/>
      <c r="C917" s="299"/>
      <c r="D917" s="296"/>
      <c r="E917" s="296"/>
      <c r="F917" s="296"/>
    </row>
    <row r="918">
      <c r="A918" s="296"/>
      <c r="B918" s="297"/>
      <c r="C918" s="299"/>
      <c r="D918" s="296"/>
      <c r="E918" s="296"/>
      <c r="F918" s="296"/>
    </row>
    <row r="919">
      <c r="A919" s="296"/>
      <c r="B919" s="297"/>
      <c r="C919" s="299"/>
      <c r="D919" s="296"/>
      <c r="E919" s="296"/>
      <c r="F919" s="296"/>
    </row>
    <row r="920">
      <c r="A920" s="296"/>
      <c r="B920" s="297"/>
      <c r="C920" s="299"/>
      <c r="D920" s="296"/>
      <c r="E920" s="296"/>
      <c r="F920" s="296"/>
    </row>
    <row r="921">
      <c r="A921" s="296"/>
      <c r="B921" s="297"/>
      <c r="C921" s="299"/>
      <c r="D921" s="296"/>
      <c r="E921" s="296"/>
      <c r="F921" s="296"/>
    </row>
    <row r="922">
      <c r="A922" s="296"/>
      <c r="B922" s="297"/>
      <c r="C922" s="299"/>
      <c r="D922" s="296"/>
      <c r="E922" s="296"/>
      <c r="F922" s="296"/>
    </row>
    <row r="923">
      <c r="A923" s="296"/>
      <c r="B923" s="297"/>
      <c r="C923" s="299"/>
      <c r="D923" s="296"/>
      <c r="E923" s="296"/>
      <c r="F923" s="296"/>
    </row>
    <row r="924">
      <c r="A924" s="296"/>
      <c r="B924" s="297"/>
      <c r="C924" s="299"/>
      <c r="D924" s="296"/>
      <c r="E924" s="296"/>
      <c r="F924" s="296"/>
    </row>
    <row r="925">
      <c r="A925" s="296"/>
      <c r="B925" s="297"/>
      <c r="C925" s="299"/>
      <c r="D925" s="296"/>
      <c r="E925" s="296"/>
      <c r="F925" s="296"/>
    </row>
    <row r="926">
      <c r="A926" s="296"/>
      <c r="B926" s="297"/>
      <c r="C926" s="299"/>
      <c r="D926" s="296"/>
      <c r="E926" s="296"/>
      <c r="F926" s="296"/>
    </row>
    <row r="927">
      <c r="A927" s="296"/>
      <c r="B927" s="297"/>
      <c r="C927" s="299"/>
      <c r="D927" s="296"/>
      <c r="E927" s="296"/>
      <c r="F927" s="296"/>
    </row>
    <row r="928">
      <c r="A928" s="296"/>
      <c r="B928" s="297"/>
      <c r="C928" s="299"/>
      <c r="D928" s="296"/>
      <c r="E928" s="296"/>
      <c r="F928" s="296"/>
    </row>
    <row r="929">
      <c r="A929" s="296"/>
      <c r="B929" s="297"/>
      <c r="C929" s="299"/>
      <c r="D929" s="296"/>
      <c r="E929" s="296"/>
      <c r="F929" s="296"/>
    </row>
    <row r="930">
      <c r="A930" s="296"/>
      <c r="B930" s="297"/>
      <c r="C930" s="299"/>
      <c r="D930" s="296"/>
      <c r="E930" s="296"/>
      <c r="F930" s="296"/>
    </row>
    <row r="931">
      <c r="A931" s="296"/>
      <c r="B931" s="297"/>
      <c r="C931" s="299"/>
      <c r="D931" s="296"/>
      <c r="E931" s="296"/>
      <c r="F931" s="296"/>
    </row>
    <row r="932">
      <c r="A932" s="296"/>
      <c r="B932" s="297"/>
      <c r="C932" s="299"/>
      <c r="D932" s="296"/>
      <c r="E932" s="296"/>
      <c r="F932" s="296"/>
    </row>
    <row r="933">
      <c r="A933" s="296"/>
      <c r="B933" s="297"/>
      <c r="C933" s="299"/>
      <c r="D933" s="296"/>
      <c r="E933" s="296"/>
      <c r="F933" s="296"/>
    </row>
    <row r="934">
      <c r="A934" s="296"/>
      <c r="B934" s="297"/>
      <c r="C934" s="299"/>
      <c r="D934" s="296"/>
      <c r="E934" s="296"/>
      <c r="F934" s="296"/>
    </row>
    <row r="935">
      <c r="A935" s="296"/>
      <c r="B935" s="297"/>
      <c r="C935" s="299"/>
      <c r="D935" s="296"/>
      <c r="E935" s="296"/>
      <c r="F935" s="296"/>
    </row>
    <row r="936">
      <c r="A936" s="296"/>
      <c r="B936" s="297"/>
      <c r="C936" s="299"/>
      <c r="D936" s="296"/>
      <c r="E936" s="296"/>
      <c r="F936" s="296"/>
    </row>
    <row r="937">
      <c r="A937" s="296"/>
      <c r="B937" s="297"/>
      <c r="C937" s="299"/>
      <c r="D937" s="296"/>
      <c r="E937" s="296"/>
      <c r="F937" s="296"/>
    </row>
    <row r="938">
      <c r="A938" s="296"/>
      <c r="B938" s="297"/>
      <c r="C938" s="299"/>
      <c r="D938" s="296"/>
      <c r="E938" s="296"/>
      <c r="F938" s="296"/>
    </row>
    <row r="939">
      <c r="A939" s="296"/>
      <c r="B939" s="297"/>
      <c r="C939" s="299"/>
      <c r="D939" s="296"/>
      <c r="E939" s="296"/>
      <c r="F939" s="296"/>
    </row>
    <row r="940">
      <c r="A940" s="296"/>
      <c r="B940" s="297"/>
      <c r="C940" s="299"/>
      <c r="D940" s="296"/>
      <c r="E940" s="296"/>
      <c r="F940" s="296"/>
    </row>
    <row r="941">
      <c r="A941" s="296"/>
      <c r="B941" s="297"/>
      <c r="C941" s="299"/>
      <c r="D941" s="296"/>
      <c r="E941" s="296"/>
      <c r="F941" s="296"/>
    </row>
    <row r="942">
      <c r="A942" s="296"/>
      <c r="B942" s="297"/>
      <c r="C942" s="299"/>
      <c r="D942" s="296"/>
      <c r="E942" s="296"/>
      <c r="F942" s="296"/>
    </row>
    <row r="943">
      <c r="A943" s="296"/>
      <c r="B943" s="297"/>
      <c r="C943" s="299"/>
      <c r="D943" s="296"/>
      <c r="E943" s="296"/>
      <c r="F943" s="296"/>
    </row>
    <row r="944">
      <c r="A944" s="296"/>
      <c r="B944" s="297"/>
      <c r="C944" s="299"/>
      <c r="D944" s="296"/>
      <c r="E944" s="296"/>
      <c r="F944" s="296"/>
    </row>
    <row r="945">
      <c r="A945" s="296"/>
      <c r="B945" s="297"/>
      <c r="C945" s="299"/>
      <c r="D945" s="296"/>
      <c r="E945" s="296"/>
      <c r="F945" s="296"/>
    </row>
    <row r="946">
      <c r="A946" s="296"/>
      <c r="B946" s="297"/>
      <c r="C946" s="299"/>
      <c r="D946" s="296"/>
      <c r="E946" s="296"/>
      <c r="F946" s="296"/>
    </row>
    <row r="947">
      <c r="A947" s="296"/>
      <c r="B947" s="297"/>
      <c r="C947" s="299"/>
      <c r="D947" s="296"/>
      <c r="E947" s="296"/>
      <c r="F947" s="296"/>
    </row>
    <row r="948">
      <c r="A948" s="296"/>
      <c r="B948" s="297"/>
      <c r="C948" s="299"/>
      <c r="D948" s="296"/>
      <c r="E948" s="296"/>
      <c r="F948" s="296"/>
    </row>
    <row r="949">
      <c r="A949" s="296"/>
      <c r="B949" s="297"/>
      <c r="C949" s="299"/>
      <c r="D949" s="296"/>
      <c r="E949" s="296"/>
      <c r="F949" s="296"/>
    </row>
    <row r="950">
      <c r="A950" s="296"/>
      <c r="B950" s="297"/>
      <c r="C950" s="299"/>
      <c r="D950" s="296"/>
      <c r="E950" s="296"/>
      <c r="F950" s="296"/>
    </row>
    <row r="951">
      <c r="A951" s="296"/>
      <c r="B951" s="297"/>
      <c r="C951" s="299"/>
      <c r="D951" s="296"/>
      <c r="E951" s="296"/>
      <c r="F951" s="296"/>
    </row>
    <row r="952">
      <c r="A952" s="296"/>
      <c r="B952" s="297"/>
      <c r="C952" s="299"/>
      <c r="D952" s="296"/>
      <c r="E952" s="296"/>
      <c r="F952" s="296"/>
    </row>
    <row r="953">
      <c r="A953" s="296"/>
      <c r="B953" s="297"/>
      <c r="C953" s="299"/>
      <c r="D953" s="296"/>
      <c r="E953" s="296"/>
      <c r="F953" s="296"/>
    </row>
    <row r="954">
      <c r="A954" s="296"/>
      <c r="B954" s="297"/>
      <c r="C954" s="299"/>
      <c r="D954" s="296"/>
      <c r="E954" s="296"/>
      <c r="F954" s="296"/>
    </row>
    <row r="955">
      <c r="A955" s="296"/>
      <c r="B955" s="297"/>
      <c r="C955" s="299"/>
      <c r="D955" s="296"/>
      <c r="E955" s="296"/>
      <c r="F955" s="296"/>
    </row>
    <row r="956">
      <c r="A956" s="296"/>
      <c r="B956" s="297"/>
      <c r="C956" s="299"/>
      <c r="D956" s="296"/>
      <c r="E956" s="296"/>
      <c r="F956" s="296"/>
    </row>
    <row r="957">
      <c r="A957" s="296"/>
      <c r="B957" s="297"/>
      <c r="C957" s="299"/>
      <c r="D957" s="296"/>
      <c r="E957" s="296"/>
      <c r="F957" s="296"/>
    </row>
    <row r="958">
      <c r="A958" s="296"/>
      <c r="B958" s="297"/>
      <c r="C958" s="299"/>
      <c r="D958" s="296"/>
      <c r="E958" s="296"/>
      <c r="F958" s="296"/>
    </row>
    <row r="959">
      <c r="A959" s="296"/>
      <c r="B959" s="297"/>
      <c r="C959" s="299"/>
      <c r="D959" s="296"/>
      <c r="E959" s="296"/>
      <c r="F959" s="296"/>
    </row>
    <row r="960">
      <c r="A960" s="296"/>
      <c r="B960" s="297"/>
      <c r="C960" s="299"/>
      <c r="D960" s="296"/>
      <c r="E960" s="296"/>
      <c r="F960" s="296"/>
    </row>
    <row r="961">
      <c r="A961" s="296"/>
      <c r="B961" s="297"/>
      <c r="C961" s="299"/>
      <c r="D961" s="296"/>
      <c r="E961" s="296"/>
      <c r="F961" s="296"/>
    </row>
    <row r="962">
      <c r="A962" s="296"/>
      <c r="B962" s="297"/>
      <c r="C962" s="299"/>
      <c r="D962" s="296"/>
      <c r="E962" s="296"/>
      <c r="F962" s="296"/>
    </row>
    <row r="963">
      <c r="A963" s="296"/>
      <c r="B963" s="297"/>
      <c r="C963" s="299"/>
      <c r="D963" s="296"/>
      <c r="E963" s="296"/>
      <c r="F963" s="296"/>
    </row>
    <row r="964">
      <c r="A964" s="296"/>
      <c r="B964" s="297"/>
      <c r="C964" s="299"/>
      <c r="D964" s="296"/>
      <c r="E964" s="296"/>
      <c r="F964" s="296"/>
    </row>
    <row r="965">
      <c r="A965" s="296"/>
      <c r="B965" s="297"/>
      <c r="C965" s="299"/>
      <c r="D965" s="296"/>
      <c r="E965" s="296"/>
      <c r="F965" s="296"/>
    </row>
    <row r="966">
      <c r="A966" s="296"/>
      <c r="B966" s="297"/>
      <c r="C966" s="299"/>
      <c r="D966" s="296"/>
      <c r="E966" s="296"/>
      <c r="F966" s="296"/>
    </row>
    <row r="967">
      <c r="A967" s="296"/>
      <c r="B967" s="297"/>
      <c r="C967" s="299"/>
      <c r="D967" s="296"/>
      <c r="E967" s="296"/>
      <c r="F967" s="296"/>
    </row>
    <row r="968">
      <c r="A968" s="296"/>
      <c r="B968" s="297"/>
      <c r="C968" s="299"/>
      <c r="D968" s="296"/>
      <c r="E968" s="296"/>
      <c r="F968" s="296"/>
    </row>
    <row r="969">
      <c r="A969" s="296"/>
      <c r="B969" s="297"/>
      <c r="C969" s="299"/>
      <c r="D969" s="296"/>
      <c r="E969" s="296"/>
      <c r="F969" s="296"/>
    </row>
    <row r="970">
      <c r="A970" s="296"/>
      <c r="B970" s="297"/>
      <c r="C970" s="299"/>
      <c r="D970" s="296"/>
      <c r="E970" s="296"/>
      <c r="F970" s="296"/>
    </row>
    <row r="971">
      <c r="A971" s="296"/>
      <c r="B971" s="297"/>
      <c r="C971" s="299"/>
      <c r="D971" s="296"/>
      <c r="E971" s="296"/>
      <c r="F971" s="296"/>
    </row>
    <row r="972">
      <c r="A972" s="296"/>
      <c r="B972" s="297"/>
      <c r="C972" s="299"/>
      <c r="D972" s="296"/>
      <c r="E972" s="296"/>
      <c r="F972" s="296"/>
    </row>
    <row r="973">
      <c r="A973" s="296"/>
      <c r="B973" s="297"/>
      <c r="C973" s="299"/>
      <c r="D973" s="296"/>
      <c r="E973" s="296"/>
      <c r="F973" s="296"/>
    </row>
    <row r="974">
      <c r="A974" s="296"/>
      <c r="B974" s="297"/>
      <c r="C974" s="299"/>
      <c r="D974" s="296"/>
      <c r="E974" s="296"/>
      <c r="F974" s="296"/>
    </row>
    <row r="975">
      <c r="A975" s="296"/>
      <c r="B975" s="297"/>
      <c r="C975" s="299"/>
      <c r="D975" s="296"/>
      <c r="E975" s="296"/>
      <c r="F975" s="296"/>
    </row>
    <row r="976">
      <c r="A976" s="296"/>
      <c r="B976" s="297"/>
      <c r="C976" s="299"/>
      <c r="D976" s="296"/>
      <c r="E976" s="296"/>
      <c r="F976" s="296"/>
    </row>
    <row r="977">
      <c r="A977" s="296"/>
      <c r="B977" s="297"/>
      <c r="C977" s="299"/>
      <c r="D977" s="296"/>
      <c r="E977" s="296"/>
      <c r="F977" s="296"/>
    </row>
    <row r="978">
      <c r="A978" s="296"/>
      <c r="B978" s="297"/>
      <c r="C978" s="299"/>
      <c r="D978" s="296"/>
      <c r="E978" s="296"/>
      <c r="F978" s="296"/>
    </row>
    <row r="979">
      <c r="A979" s="296"/>
      <c r="B979" s="297"/>
      <c r="C979" s="299"/>
      <c r="D979" s="296"/>
      <c r="E979" s="296"/>
      <c r="F979" s="296"/>
    </row>
    <row r="980">
      <c r="A980" s="296"/>
      <c r="B980" s="297"/>
      <c r="C980" s="299"/>
      <c r="D980" s="296"/>
      <c r="E980" s="296"/>
      <c r="F980" s="296"/>
    </row>
    <row r="981">
      <c r="A981" s="296"/>
      <c r="B981" s="297"/>
      <c r="C981" s="299"/>
      <c r="D981" s="296"/>
      <c r="E981" s="296"/>
      <c r="F981" s="296"/>
    </row>
    <row r="982">
      <c r="A982" s="296"/>
      <c r="B982" s="297"/>
      <c r="C982" s="299"/>
      <c r="D982" s="296"/>
      <c r="E982" s="296"/>
      <c r="F982" s="296"/>
    </row>
    <row r="983">
      <c r="A983" s="296"/>
      <c r="B983" s="297"/>
      <c r="C983" s="299"/>
      <c r="D983" s="296"/>
      <c r="E983" s="296"/>
      <c r="F983" s="296"/>
    </row>
    <row r="984">
      <c r="A984" s="296"/>
      <c r="B984" s="297"/>
      <c r="C984" s="299"/>
      <c r="D984" s="296"/>
      <c r="E984" s="296"/>
      <c r="F984" s="296"/>
    </row>
    <row r="985">
      <c r="A985" s="296"/>
      <c r="B985" s="297"/>
      <c r="C985" s="299"/>
      <c r="D985" s="296"/>
      <c r="E985" s="296"/>
      <c r="F985" s="296"/>
    </row>
    <row r="986">
      <c r="A986" s="296"/>
      <c r="B986" s="297"/>
      <c r="C986" s="299"/>
      <c r="D986" s="296"/>
      <c r="E986" s="296"/>
      <c r="F986" s="296"/>
    </row>
    <row r="987">
      <c r="A987" s="296"/>
      <c r="B987" s="297"/>
      <c r="C987" s="299"/>
      <c r="D987" s="296"/>
      <c r="E987" s="296"/>
      <c r="F987" s="296"/>
    </row>
    <row r="988">
      <c r="A988" s="296"/>
      <c r="B988" s="297"/>
      <c r="C988" s="299"/>
      <c r="D988" s="296"/>
      <c r="E988" s="296"/>
      <c r="F988" s="296"/>
    </row>
    <row r="989">
      <c r="A989" s="296"/>
      <c r="B989" s="297"/>
      <c r="C989" s="299"/>
      <c r="D989" s="296"/>
      <c r="E989" s="296"/>
      <c r="F989" s="296"/>
    </row>
    <row r="990">
      <c r="A990" s="296"/>
      <c r="B990" s="297"/>
      <c r="C990" s="299"/>
      <c r="D990" s="296"/>
      <c r="E990" s="296"/>
      <c r="F990" s="296"/>
    </row>
    <row r="991">
      <c r="A991" s="296"/>
      <c r="B991" s="297"/>
      <c r="C991" s="299"/>
      <c r="D991" s="296"/>
      <c r="E991" s="296"/>
      <c r="F991" s="296"/>
    </row>
    <row r="992">
      <c r="A992" s="296"/>
      <c r="B992" s="297"/>
      <c r="C992" s="299"/>
      <c r="D992" s="296"/>
      <c r="E992" s="296"/>
      <c r="F992" s="296"/>
    </row>
    <row r="993">
      <c r="A993" s="296"/>
      <c r="B993" s="297"/>
      <c r="C993" s="299"/>
      <c r="D993" s="296"/>
      <c r="E993" s="296"/>
      <c r="F993" s="296"/>
    </row>
    <row r="994">
      <c r="A994" s="296"/>
      <c r="B994" s="297"/>
      <c r="C994" s="299"/>
      <c r="D994" s="296"/>
      <c r="E994" s="296"/>
      <c r="F994" s="296"/>
    </row>
    <row r="995">
      <c r="A995" s="296"/>
      <c r="B995" s="297"/>
      <c r="C995" s="299"/>
      <c r="D995" s="296"/>
      <c r="E995" s="296"/>
      <c r="F995" s="296"/>
    </row>
    <row r="996">
      <c r="A996" s="296"/>
      <c r="B996" s="297"/>
      <c r="C996" s="299"/>
      <c r="D996" s="296"/>
      <c r="E996" s="296"/>
      <c r="F996" s="296"/>
    </row>
    <row r="997">
      <c r="A997" s="296"/>
      <c r="B997" s="297"/>
      <c r="C997" s="299"/>
      <c r="D997" s="296"/>
      <c r="E997" s="296"/>
      <c r="F997" s="296"/>
    </row>
    <row r="998">
      <c r="A998" s="296"/>
      <c r="B998" s="297"/>
      <c r="C998" s="299"/>
      <c r="D998" s="296"/>
      <c r="E998" s="296"/>
      <c r="F998" s="296"/>
    </row>
    <row r="999">
      <c r="A999" s="296"/>
      <c r="B999" s="297"/>
      <c r="C999" s="299"/>
      <c r="D999" s="296"/>
      <c r="E999" s="296"/>
      <c r="F999" s="296"/>
    </row>
    <row r="1000">
      <c r="A1000" s="296"/>
      <c r="B1000" s="297"/>
      <c r="C1000" s="299"/>
      <c r="D1000" s="296"/>
      <c r="E1000" s="296"/>
      <c r="F1000" s="296"/>
    </row>
  </sheetData>
  <conditionalFormatting sqref="E45">
    <cfRule type="notContainsBlanks" dxfId="5" priority="1">
      <formula>LEN(TRIM(E45))&gt;0</formula>
    </cfRule>
  </conditionalFormatting>
  <conditionalFormatting sqref="E45">
    <cfRule type="containsBlanks" dxfId="6" priority="2">
      <formula>LEN(TRIM(E45))=0</formula>
    </cfRule>
  </conditionalFormatting>
  <conditionalFormatting sqref="E3:E121">
    <cfRule type="containsText" dxfId="8" priority="3" operator="containsText" text="CAMISETA">
      <formula>NOT(ISERROR(SEARCH(("CAMISETA"),(E3))))</formula>
    </cfRule>
  </conditionalFormatting>
  <conditionalFormatting sqref="E3:E121">
    <cfRule type="containsText" dxfId="7" priority="4" operator="containsText" text="MENSALIDADE">
      <formula>NOT(ISERROR(SEARCH(("MENSALIDADE"),(E3))))</formula>
    </cfRule>
  </conditionalFormatting>
  <conditionalFormatting sqref="E3:E121">
    <cfRule type="containsText" dxfId="8" priority="5" operator="containsText" text="UNIFORME">
      <formula>NOT(ISERROR(SEARCH(("UNIFORME"),(E3))))</formula>
    </cfRule>
  </conditionalFormatting>
  <conditionalFormatting sqref="E3:E121">
    <cfRule type="containsText" dxfId="8" priority="6" operator="containsText" text="CALÇÃO">
      <formula>NOT(ISERROR(SEARCH(("CALÇÃO"),(E3))))</formula>
    </cfRule>
  </conditionalFormatting>
  <conditionalFormatting sqref="E3:E121">
    <cfRule type="containsText" dxfId="8" priority="7" operator="containsText" text="CAMISA">
      <formula>NOT(ISERROR(SEARCH(("CAMISA"),(E3))))</formula>
    </cfRule>
  </conditionalFormatting>
  <conditionalFormatting sqref="E3:E121">
    <cfRule type="containsText" dxfId="8" priority="8" operator="containsText" text="MEIÃO">
      <formula>NOT(ISERROR(SEARCH(("MEIÃO"),(E3))))</formula>
    </cfRule>
  </conditionalFormatting>
  <dataValidations>
    <dataValidation type="list" allowBlank="1" sqref="F3:F58">
      <formula1>"MENSALIDADE,UNIFORME,OUTROS"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75"/>
    <col customWidth="1" min="3" max="3" width="14.0"/>
    <col customWidth="1" min="4" max="4" width="9.75"/>
    <col customWidth="1" min="5" max="5" width="65.38"/>
    <col customWidth="1" min="6" max="6" width="17.13"/>
    <col customWidth="1" min="7" max="7" width="21.75"/>
    <col customWidth="1" min="8" max="8" width="20.5"/>
    <col customWidth="1" min="9" max="9" width="27.13"/>
    <col customWidth="1" min="10" max="10" width="21.13"/>
  </cols>
  <sheetData>
    <row r="1">
      <c r="A1" s="100"/>
      <c r="B1" s="320"/>
      <c r="C1" s="320"/>
      <c r="D1" s="320"/>
      <c r="E1" s="320"/>
    </row>
    <row r="2" ht="22.5" customHeight="1">
      <c r="A2" s="164" t="s">
        <v>248</v>
      </c>
      <c r="B2" s="165" t="s">
        <v>250</v>
      </c>
      <c r="C2" s="164" t="s">
        <v>253</v>
      </c>
      <c r="D2" s="164" t="s">
        <v>254</v>
      </c>
      <c r="E2" s="164" t="s">
        <v>255</v>
      </c>
      <c r="F2" s="167" t="s">
        <v>5</v>
      </c>
    </row>
    <row r="3" ht="22.5" customHeight="1">
      <c r="A3" s="171">
        <v>46237.0</v>
      </c>
      <c r="B3" s="173">
        <v>170.0</v>
      </c>
      <c r="C3" s="174"/>
      <c r="D3" s="175" t="s">
        <v>60</v>
      </c>
      <c r="E3" s="223" t="s">
        <v>807</v>
      </c>
      <c r="F3" s="177" t="s">
        <v>15</v>
      </c>
      <c r="G3" s="320"/>
      <c r="H3" s="321" t="s">
        <v>17</v>
      </c>
      <c r="I3" s="322" t="s">
        <v>19</v>
      </c>
      <c r="J3" s="323" t="s">
        <v>21</v>
      </c>
    </row>
    <row r="4" ht="22.5" customHeight="1">
      <c r="A4" s="171">
        <v>46237.0</v>
      </c>
      <c r="B4" s="173">
        <v>170.0</v>
      </c>
      <c r="C4" s="174"/>
      <c r="D4" s="175" t="s">
        <v>60</v>
      </c>
      <c r="E4" s="223" t="s">
        <v>808</v>
      </c>
      <c r="F4" s="177" t="s">
        <v>15</v>
      </c>
      <c r="G4" s="320"/>
      <c r="H4" s="324">
        <f>SUM(B3:B51)</f>
        <v>17401</v>
      </c>
      <c r="I4" s="325">
        <f>SUM(C3:C43)</f>
        <v>0</v>
      </c>
      <c r="J4" s="326">
        <f>H4-I4</f>
        <v>17401</v>
      </c>
    </row>
    <row r="5" ht="22.5" customHeight="1">
      <c r="A5" s="171">
        <v>46237.0</v>
      </c>
      <c r="B5" s="173">
        <v>225.0</v>
      </c>
      <c r="C5" s="174"/>
      <c r="D5" s="175" t="s">
        <v>51</v>
      </c>
      <c r="E5" s="223" t="s">
        <v>810</v>
      </c>
      <c r="F5" s="177" t="s">
        <v>15</v>
      </c>
    </row>
    <row r="6" ht="22.5" customHeight="1">
      <c r="A6" s="171">
        <v>46237.0</v>
      </c>
      <c r="B6" s="173">
        <v>275.0</v>
      </c>
      <c r="C6" s="174"/>
      <c r="D6" s="175" t="s">
        <v>51</v>
      </c>
      <c r="E6" s="223" t="s">
        <v>812</v>
      </c>
      <c r="F6" s="177" t="s">
        <v>15</v>
      </c>
    </row>
    <row r="7" ht="22.5" customHeight="1">
      <c r="A7" s="171">
        <v>46237.0</v>
      </c>
      <c r="B7" s="173">
        <v>350.0</v>
      </c>
      <c r="C7" s="174"/>
      <c r="D7" s="175" t="s">
        <v>51</v>
      </c>
      <c r="E7" s="223" t="s">
        <v>814</v>
      </c>
      <c r="F7" s="177" t="s">
        <v>62</v>
      </c>
    </row>
    <row r="8" ht="22.5" customHeight="1">
      <c r="A8" s="171">
        <v>46238.0</v>
      </c>
      <c r="B8" s="173">
        <v>270.0</v>
      </c>
      <c r="C8" s="199"/>
      <c r="D8" s="175" t="s">
        <v>60</v>
      </c>
      <c r="E8" s="223" t="s">
        <v>815</v>
      </c>
      <c r="F8" s="177" t="s">
        <v>15</v>
      </c>
    </row>
    <row r="9" ht="22.5" customHeight="1">
      <c r="A9" s="171">
        <v>46238.0</v>
      </c>
      <c r="B9" s="173">
        <v>230.0</v>
      </c>
      <c r="C9" s="174"/>
      <c r="D9" s="175" t="s">
        <v>11</v>
      </c>
      <c r="E9" s="223" t="s">
        <v>816</v>
      </c>
      <c r="F9" s="177" t="s">
        <v>15</v>
      </c>
    </row>
    <row r="10" ht="22.5" customHeight="1">
      <c r="A10" s="171">
        <v>46240.0</v>
      </c>
      <c r="B10" s="173">
        <v>140.0</v>
      </c>
      <c r="C10" s="174"/>
      <c r="D10" s="175" t="s">
        <v>66</v>
      </c>
      <c r="E10" s="223" t="s">
        <v>819</v>
      </c>
      <c r="F10" s="328" t="s">
        <v>62</v>
      </c>
    </row>
    <row r="11" ht="22.5" customHeight="1">
      <c r="A11" s="171">
        <v>46240.0</v>
      </c>
      <c r="B11" s="173">
        <v>900.0</v>
      </c>
      <c r="C11" s="174"/>
      <c r="D11" s="175" t="s">
        <v>324</v>
      </c>
      <c r="E11" s="285" t="s">
        <v>820</v>
      </c>
      <c r="F11" s="177" t="s">
        <v>15</v>
      </c>
    </row>
    <row r="12" ht="22.5" customHeight="1">
      <c r="A12" s="171">
        <v>46240.0</v>
      </c>
      <c r="B12" s="173">
        <v>195.0</v>
      </c>
      <c r="C12" s="174"/>
      <c r="D12" s="175" t="s">
        <v>307</v>
      </c>
      <c r="E12" s="223" t="s">
        <v>823</v>
      </c>
      <c r="F12" s="177" t="s">
        <v>62</v>
      </c>
    </row>
    <row r="13" ht="22.5" customHeight="1">
      <c r="A13" s="171">
        <v>46240.0</v>
      </c>
      <c r="B13" s="173">
        <v>280.0</v>
      </c>
      <c r="C13" s="174"/>
      <c r="D13" s="175" t="s">
        <v>11</v>
      </c>
      <c r="E13" s="223" t="s">
        <v>824</v>
      </c>
      <c r="F13" s="177" t="s">
        <v>15</v>
      </c>
    </row>
    <row r="14" ht="22.5" customHeight="1">
      <c r="A14" s="171">
        <v>46241.0</v>
      </c>
      <c r="B14" s="173">
        <v>140.0</v>
      </c>
      <c r="C14" s="174"/>
      <c r="D14" s="175" t="s">
        <v>66</v>
      </c>
      <c r="E14" s="223" t="s">
        <v>825</v>
      </c>
      <c r="F14" s="177" t="s">
        <v>62</v>
      </c>
    </row>
    <row r="15" ht="22.5" customHeight="1">
      <c r="A15" s="171">
        <v>46241.0</v>
      </c>
      <c r="B15" s="173">
        <v>350.0</v>
      </c>
      <c r="C15" s="174"/>
      <c r="D15" s="175" t="s">
        <v>11</v>
      </c>
      <c r="E15" s="223" t="s">
        <v>828</v>
      </c>
      <c r="F15" s="177" t="s">
        <v>15</v>
      </c>
    </row>
    <row r="16" ht="22.5" customHeight="1">
      <c r="A16" s="171">
        <v>46244.0</v>
      </c>
      <c r="B16" s="173">
        <v>180.0</v>
      </c>
      <c r="C16" s="174"/>
      <c r="D16" s="175" t="s">
        <v>11</v>
      </c>
      <c r="E16" s="223" t="s">
        <v>829</v>
      </c>
      <c r="F16" s="177" t="s">
        <v>15</v>
      </c>
    </row>
    <row r="17" ht="22.5" customHeight="1">
      <c r="A17" s="171">
        <v>46244.0</v>
      </c>
      <c r="B17" s="173">
        <v>250.0</v>
      </c>
      <c r="C17" s="174"/>
      <c r="D17" s="175" t="s">
        <v>51</v>
      </c>
      <c r="E17" s="223" t="s">
        <v>831</v>
      </c>
      <c r="F17" s="177" t="s">
        <v>15</v>
      </c>
    </row>
    <row r="18" ht="22.5" customHeight="1">
      <c r="A18" s="171">
        <v>46246.0</v>
      </c>
      <c r="B18" s="173">
        <v>330.0</v>
      </c>
      <c r="C18" s="174"/>
      <c r="D18" s="175" t="s">
        <v>11</v>
      </c>
      <c r="E18" s="223" t="s">
        <v>833</v>
      </c>
      <c r="F18" s="177" t="s">
        <v>15</v>
      </c>
    </row>
    <row r="19" ht="22.5" customHeight="1">
      <c r="A19" s="171">
        <v>46246.0</v>
      </c>
      <c r="B19" s="173">
        <v>1026.0</v>
      </c>
      <c r="C19" s="174"/>
      <c r="D19" s="175" t="s">
        <v>66</v>
      </c>
      <c r="E19" s="223" t="s">
        <v>835</v>
      </c>
      <c r="F19" s="177" t="s">
        <v>15</v>
      </c>
    </row>
    <row r="20" ht="22.5" customHeight="1">
      <c r="A20" s="171">
        <v>46246.0</v>
      </c>
      <c r="B20" s="173">
        <v>300.0</v>
      </c>
      <c r="C20" s="174"/>
      <c r="D20" s="175" t="s">
        <v>471</v>
      </c>
      <c r="E20" s="223" t="s">
        <v>836</v>
      </c>
      <c r="F20" s="177" t="s">
        <v>15</v>
      </c>
    </row>
    <row r="21" ht="22.5" customHeight="1">
      <c r="A21" s="171">
        <v>46245.0</v>
      </c>
      <c r="B21" s="173">
        <v>500.0</v>
      </c>
      <c r="C21" s="174"/>
      <c r="D21" s="175" t="s">
        <v>11</v>
      </c>
      <c r="E21" s="223" t="s">
        <v>837</v>
      </c>
      <c r="F21" s="177" t="s">
        <v>15</v>
      </c>
    </row>
    <row r="22" ht="22.5" customHeight="1">
      <c r="A22" s="171">
        <v>46247.0</v>
      </c>
      <c r="B22" s="173">
        <v>250.0</v>
      </c>
      <c r="C22" s="174"/>
      <c r="D22" s="175" t="s">
        <v>307</v>
      </c>
      <c r="E22" s="223" t="s">
        <v>842</v>
      </c>
      <c r="F22" s="177" t="s">
        <v>15</v>
      </c>
    </row>
    <row r="23" ht="22.5" customHeight="1">
      <c r="A23" s="171">
        <v>46247.0</v>
      </c>
      <c r="B23" s="173">
        <v>25.0</v>
      </c>
      <c r="C23" s="174"/>
      <c r="D23" s="175" t="s">
        <v>307</v>
      </c>
      <c r="E23" s="223" t="s">
        <v>546</v>
      </c>
      <c r="F23" s="177" t="s">
        <v>550</v>
      </c>
    </row>
    <row r="24" ht="22.5" customHeight="1">
      <c r="A24" s="171">
        <v>46247.0</v>
      </c>
      <c r="B24" s="173">
        <v>80.0</v>
      </c>
      <c r="C24" s="174"/>
      <c r="D24" s="175" t="s">
        <v>11</v>
      </c>
      <c r="E24" s="223" t="s">
        <v>845</v>
      </c>
      <c r="F24" s="177" t="s">
        <v>62</v>
      </c>
    </row>
    <row r="25" ht="22.5" customHeight="1">
      <c r="A25" s="171">
        <v>46247.0</v>
      </c>
      <c r="B25" s="173">
        <v>250.0</v>
      </c>
      <c r="C25" s="174"/>
      <c r="D25" s="175" t="s">
        <v>11</v>
      </c>
      <c r="E25" s="223" t="s">
        <v>848</v>
      </c>
      <c r="F25" s="177" t="s">
        <v>15</v>
      </c>
    </row>
    <row r="26" ht="22.5" customHeight="1">
      <c r="A26" s="171">
        <v>46247.0</v>
      </c>
      <c r="B26" s="173">
        <v>20.0</v>
      </c>
      <c r="C26" s="174"/>
      <c r="D26" s="175" t="s">
        <v>66</v>
      </c>
      <c r="E26" s="285" t="s">
        <v>849</v>
      </c>
      <c r="F26" s="177" t="s">
        <v>15</v>
      </c>
    </row>
    <row r="27" ht="22.5" customHeight="1">
      <c r="A27" s="171">
        <v>46247.0</v>
      </c>
      <c r="B27" s="173">
        <v>210.0</v>
      </c>
      <c r="C27" s="174"/>
      <c r="D27" s="175" t="s">
        <v>60</v>
      </c>
      <c r="E27" s="285" t="s">
        <v>849</v>
      </c>
      <c r="F27" s="177" t="s">
        <v>15</v>
      </c>
    </row>
    <row r="28" ht="22.5" customHeight="1">
      <c r="A28" s="171">
        <v>46248.0</v>
      </c>
      <c r="B28" s="173">
        <v>285.0</v>
      </c>
      <c r="C28" s="174"/>
      <c r="D28" s="175" t="s">
        <v>51</v>
      </c>
      <c r="E28" s="333" t="s">
        <v>850</v>
      </c>
      <c r="F28" s="177" t="s">
        <v>15</v>
      </c>
    </row>
    <row r="29" ht="22.5" customHeight="1">
      <c r="A29" s="171">
        <v>46248.0</v>
      </c>
      <c r="B29" s="173">
        <v>250.0</v>
      </c>
      <c r="C29" s="174"/>
      <c r="D29" s="175" t="s">
        <v>11</v>
      </c>
      <c r="E29" s="223" t="s">
        <v>853</v>
      </c>
      <c r="F29" s="177" t="s">
        <v>15</v>
      </c>
    </row>
    <row r="30" ht="22.5" customHeight="1">
      <c r="A30" s="171">
        <v>46248.0</v>
      </c>
      <c r="B30" s="173">
        <v>180.0</v>
      </c>
      <c r="C30" s="174"/>
      <c r="D30" s="175" t="s">
        <v>11</v>
      </c>
      <c r="E30" s="223" t="s">
        <v>855</v>
      </c>
      <c r="F30" s="177" t="s">
        <v>15</v>
      </c>
    </row>
    <row r="31" ht="22.5" customHeight="1">
      <c r="A31" s="171">
        <v>46248.0</v>
      </c>
      <c r="B31" s="173">
        <v>65.0</v>
      </c>
      <c r="C31" s="174"/>
      <c r="D31" s="175" t="s">
        <v>51</v>
      </c>
      <c r="E31" s="223" t="s">
        <v>858</v>
      </c>
      <c r="F31" s="177" t="s">
        <v>62</v>
      </c>
    </row>
    <row r="32" ht="22.5" customHeight="1">
      <c r="A32" s="171">
        <v>46248.0</v>
      </c>
      <c r="B32" s="173">
        <v>250.0</v>
      </c>
      <c r="C32" s="174"/>
      <c r="D32" s="175" t="s">
        <v>60</v>
      </c>
      <c r="E32" s="333" t="s">
        <v>860</v>
      </c>
      <c r="F32" s="177" t="s">
        <v>15</v>
      </c>
    </row>
    <row r="33" ht="22.5" customHeight="1">
      <c r="A33" s="171">
        <v>46248.0</v>
      </c>
      <c r="B33" s="173">
        <v>3240.0</v>
      </c>
      <c r="C33" s="174"/>
      <c r="D33" s="175" t="s">
        <v>319</v>
      </c>
      <c r="E33" s="223" t="s">
        <v>864</v>
      </c>
      <c r="F33" s="177" t="s">
        <v>15</v>
      </c>
    </row>
    <row r="34" ht="22.5" customHeight="1">
      <c r="A34" s="171">
        <v>46248.0</v>
      </c>
      <c r="B34" s="173">
        <v>185.0</v>
      </c>
      <c r="C34" s="174"/>
      <c r="D34" s="175" t="s">
        <v>66</v>
      </c>
      <c r="E34" s="223" t="s">
        <v>868</v>
      </c>
      <c r="F34" s="177" t="s">
        <v>62</v>
      </c>
    </row>
    <row r="35" ht="22.5" customHeight="1">
      <c r="A35" s="171">
        <v>46251.0</v>
      </c>
      <c r="B35" s="173">
        <v>180.0</v>
      </c>
      <c r="C35" s="174"/>
      <c r="D35" s="175" t="s">
        <v>471</v>
      </c>
      <c r="E35" s="223" t="s">
        <v>879</v>
      </c>
      <c r="F35" s="177" t="s">
        <v>15</v>
      </c>
    </row>
    <row r="36" ht="22.5" customHeight="1">
      <c r="A36" s="219">
        <v>46251.0</v>
      </c>
      <c r="B36" s="173">
        <v>185.0</v>
      </c>
      <c r="C36" s="174"/>
      <c r="D36" s="175" t="s">
        <v>66</v>
      </c>
      <c r="E36" s="223" t="s">
        <v>886</v>
      </c>
      <c r="F36" s="177" t="s">
        <v>62</v>
      </c>
    </row>
    <row r="37" ht="22.5" customHeight="1">
      <c r="A37" s="219">
        <v>46252.0</v>
      </c>
      <c r="B37" s="173">
        <v>332.0</v>
      </c>
      <c r="C37" s="174"/>
      <c r="D37" s="175" t="s">
        <v>51</v>
      </c>
      <c r="E37" s="285" t="s">
        <v>895</v>
      </c>
      <c r="F37" s="177" t="s">
        <v>15</v>
      </c>
    </row>
    <row r="38" ht="22.5" customHeight="1">
      <c r="A38" s="219">
        <v>46253.0</v>
      </c>
      <c r="B38" s="173">
        <v>250.0</v>
      </c>
      <c r="C38" s="174"/>
      <c r="D38" s="175" t="s">
        <v>11</v>
      </c>
      <c r="E38" s="223" t="s">
        <v>900</v>
      </c>
      <c r="F38" s="177" t="s">
        <v>15</v>
      </c>
    </row>
    <row r="39" ht="22.5" customHeight="1">
      <c r="A39" s="219">
        <v>46253.0</v>
      </c>
      <c r="B39" s="221">
        <v>300.0</v>
      </c>
      <c r="C39" s="199"/>
      <c r="D39" s="222" t="s">
        <v>11</v>
      </c>
      <c r="E39" s="223" t="s">
        <v>458</v>
      </c>
      <c r="F39" s="224" t="s">
        <v>15</v>
      </c>
    </row>
    <row r="40" ht="22.5" customHeight="1">
      <c r="A40" s="219">
        <v>46253.0</v>
      </c>
      <c r="B40" s="221">
        <v>230.0</v>
      </c>
      <c r="C40" s="199"/>
      <c r="D40" s="222" t="s">
        <v>60</v>
      </c>
      <c r="E40" s="223" t="s">
        <v>916</v>
      </c>
      <c r="F40" s="224" t="s">
        <v>15</v>
      </c>
    </row>
    <row r="41" ht="22.5" customHeight="1">
      <c r="A41" s="219">
        <v>46253.0</v>
      </c>
      <c r="B41" s="221">
        <v>350.0</v>
      </c>
      <c r="C41" s="199"/>
      <c r="D41" s="222" t="s">
        <v>11</v>
      </c>
      <c r="E41" s="223" t="s">
        <v>924</v>
      </c>
      <c r="F41" s="224" t="s">
        <v>15</v>
      </c>
    </row>
    <row r="42" ht="22.5" customHeight="1">
      <c r="A42" s="219">
        <v>46254.0</v>
      </c>
      <c r="B42" s="221">
        <v>250.0</v>
      </c>
      <c r="C42" s="199"/>
      <c r="D42" s="222" t="s">
        <v>11</v>
      </c>
      <c r="E42" s="223" t="s">
        <v>932</v>
      </c>
      <c r="F42" s="224" t="s">
        <v>15</v>
      </c>
    </row>
    <row r="43" ht="22.5" customHeight="1">
      <c r="A43" s="219">
        <v>46254.0</v>
      </c>
      <c r="B43" s="221">
        <v>180.0</v>
      </c>
      <c r="C43" s="199"/>
      <c r="D43" s="222" t="s">
        <v>11</v>
      </c>
      <c r="E43" s="223" t="s">
        <v>934</v>
      </c>
      <c r="F43" s="224" t="s">
        <v>15</v>
      </c>
    </row>
    <row r="44" ht="22.5" customHeight="1">
      <c r="A44" s="219">
        <v>46254.0</v>
      </c>
      <c r="B44" s="221">
        <v>280.0</v>
      </c>
      <c r="C44" s="199"/>
      <c r="D44" s="222" t="s">
        <v>11</v>
      </c>
      <c r="E44" s="223" t="s">
        <v>935</v>
      </c>
      <c r="F44" s="224" t="s">
        <v>15</v>
      </c>
    </row>
    <row r="45" ht="22.5" customHeight="1">
      <c r="A45" s="219">
        <v>46254.0</v>
      </c>
      <c r="B45" s="221">
        <v>350.0</v>
      </c>
      <c r="C45" s="199"/>
      <c r="D45" s="222" t="s">
        <v>11</v>
      </c>
      <c r="E45" s="223" t="s">
        <v>938</v>
      </c>
      <c r="F45" s="224" t="s">
        <v>15</v>
      </c>
    </row>
    <row r="46" ht="22.5" customHeight="1">
      <c r="A46" s="219">
        <v>46254.0</v>
      </c>
      <c r="B46" s="221">
        <v>500.0</v>
      </c>
      <c r="C46" s="199"/>
      <c r="D46" s="222" t="s">
        <v>11</v>
      </c>
      <c r="E46" s="223" t="s">
        <v>939</v>
      </c>
      <c r="F46" s="224" t="s">
        <v>15</v>
      </c>
    </row>
    <row r="47" ht="22.5" customHeight="1">
      <c r="A47" s="219">
        <v>46255.0</v>
      </c>
      <c r="B47" s="221">
        <v>1425.0</v>
      </c>
      <c r="C47" s="199"/>
      <c r="D47" s="222" t="s">
        <v>66</v>
      </c>
      <c r="E47" s="223" t="s">
        <v>941</v>
      </c>
      <c r="F47" s="224" t="s">
        <v>15</v>
      </c>
    </row>
    <row r="48" ht="22.5" customHeight="1">
      <c r="A48" s="219">
        <v>46258.0</v>
      </c>
      <c r="B48" s="221">
        <v>243.0</v>
      </c>
      <c r="C48" s="199"/>
      <c r="D48" s="222" t="s">
        <v>60</v>
      </c>
      <c r="E48" s="223" t="s">
        <v>942</v>
      </c>
      <c r="F48" s="224" t="s">
        <v>15</v>
      </c>
    </row>
    <row r="49" ht="22.5" customHeight="1">
      <c r="A49" s="219">
        <v>46258.0</v>
      </c>
      <c r="B49" s="221">
        <v>250.0</v>
      </c>
      <c r="C49" s="199"/>
      <c r="D49" s="222" t="s">
        <v>11</v>
      </c>
      <c r="E49" s="223" t="s">
        <v>943</v>
      </c>
      <c r="F49" s="224" t="s">
        <v>15</v>
      </c>
    </row>
    <row r="50" ht="22.5" customHeight="1">
      <c r="A50" s="219">
        <v>46259.0</v>
      </c>
      <c r="B50" s="221">
        <v>300.0</v>
      </c>
      <c r="C50" s="199"/>
      <c r="D50" s="222" t="s">
        <v>11</v>
      </c>
      <c r="E50" s="285" t="s">
        <v>944</v>
      </c>
      <c r="F50" s="224" t="s">
        <v>15</v>
      </c>
    </row>
    <row r="51" ht="22.5" customHeight="1">
      <c r="A51" s="219">
        <v>46290.0</v>
      </c>
      <c r="B51" s="221">
        <v>225.0</v>
      </c>
      <c r="C51" s="199"/>
      <c r="D51" s="222" t="s">
        <v>60</v>
      </c>
      <c r="E51" s="223" t="s">
        <v>945</v>
      </c>
      <c r="F51" s="224" t="s">
        <v>15</v>
      </c>
    </row>
    <row r="52" ht="22.5" customHeight="1">
      <c r="A52" s="219">
        <v>46290.0</v>
      </c>
      <c r="B52" s="221"/>
      <c r="C52" s="199"/>
      <c r="D52" s="222" t="s">
        <v>66</v>
      </c>
      <c r="E52" s="223" t="s">
        <v>947</v>
      </c>
      <c r="F52" s="224" t="s">
        <v>62</v>
      </c>
    </row>
    <row r="53" ht="22.5" customHeight="1">
      <c r="A53" s="219">
        <v>46290.0</v>
      </c>
      <c r="B53" s="221"/>
      <c r="C53" s="199"/>
      <c r="D53" s="222" t="s">
        <v>60</v>
      </c>
      <c r="E53" s="223" t="s">
        <v>950</v>
      </c>
      <c r="F53" s="224" t="s">
        <v>15</v>
      </c>
    </row>
    <row r="54" ht="22.5" customHeight="1">
      <c r="A54" s="219">
        <v>46261.0</v>
      </c>
      <c r="B54" s="221">
        <v>230.0</v>
      </c>
      <c r="C54" s="199"/>
      <c r="D54" s="222" t="s">
        <v>11</v>
      </c>
      <c r="E54" s="223" t="s">
        <v>953</v>
      </c>
      <c r="F54" s="224" t="s">
        <v>62</v>
      </c>
    </row>
    <row r="55" ht="22.5" customHeight="1">
      <c r="A55" s="219">
        <v>46262.0</v>
      </c>
      <c r="B55" s="221">
        <v>225.0</v>
      </c>
      <c r="C55" s="199"/>
      <c r="D55" s="222" t="s">
        <v>60</v>
      </c>
      <c r="E55" s="223" t="s">
        <v>954</v>
      </c>
      <c r="F55" s="224" t="s">
        <v>15</v>
      </c>
    </row>
    <row r="56" ht="22.5" customHeight="1">
      <c r="A56" s="219">
        <v>46246.0</v>
      </c>
      <c r="B56" s="221">
        <v>300.0</v>
      </c>
      <c r="C56" s="199"/>
      <c r="D56" s="222" t="s">
        <v>11</v>
      </c>
      <c r="E56" s="223" t="s">
        <v>957</v>
      </c>
      <c r="F56" s="224" t="s">
        <v>15</v>
      </c>
    </row>
    <row r="57" ht="22.5" customHeight="1">
      <c r="A57" s="219">
        <v>46254.0</v>
      </c>
      <c r="B57" s="221">
        <v>200.0</v>
      </c>
      <c r="C57" s="199"/>
      <c r="D57" s="222" t="s">
        <v>11</v>
      </c>
      <c r="E57" s="223" t="s">
        <v>958</v>
      </c>
      <c r="F57" s="224" t="s">
        <v>15</v>
      </c>
    </row>
    <row r="58" ht="22.5" customHeight="1">
      <c r="A58" s="219"/>
      <c r="B58" s="221"/>
      <c r="C58" s="199"/>
      <c r="D58" s="222"/>
      <c r="E58" s="223"/>
      <c r="F58" s="289"/>
    </row>
    <row r="59" ht="22.5" customHeight="1">
      <c r="A59" s="219"/>
      <c r="B59" s="221"/>
      <c r="C59" s="199"/>
      <c r="D59" s="222"/>
      <c r="E59" s="223"/>
      <c r="F59" s="289"/>
    </row>
    <row r="60" ht="22.5" customHeight="1">
      <c r="A60" s="219"/>
      <c r="B60" s="221"/>
      <c r="C60" s="199"/>
      <c r="D60" s="222"/>
      <c r="E60" s="223"/>
      <c r="F60" s="289"/>
    </row>
    <row r="61" ht="22.5" customHeight="1">
      <c r="A61" s="219"/>
      <c r="B61" s="221"/>
      <c r="C61" s="199"/>
      <c r="D61" s="222"/>
      <c r="E61" s="223"/>
      <c r="F61" s="289"/>
    </row>
    <row r="62" ht="22.5" customHeight="1">
      <c r="A62" s="219"/>
      <c r="B62" s="221"/>
      <c r="C62" s="199"/>
      <c r="D62" s="222"/>
      <c r="E62" s="223"/>
      <c r="F62" s="289"/>
    </row>
    <row r="63" ht="22.5" customHeight="1">
      <c r="A63" s="219"/>
      <c r="B63" s="221"/>
      <c r="C63" s="199"/>
      <c r="D63" s="222"/>
      <c r="E63" s="223"/>
      <c r="F63" s="289"/>
    </row>
    <row r="64" ht="22.5" customHeight="1">
      <c r="A64" s="219"/>
      <c r="B64" s="221"/>
      <c r="C64" s="199"/>
      <c r="D64" s="222"/>
      <c r="E64" s="223"/>
      <c r="F64" s="289"/>
    </row>
    <row r="65" ht="22.5" customHeight="1">
      <c r="A65" s="219"/>
      <c r="B65" s="221"/>
      <c r="C65" s="199"/>
      <c r="D65" s="222"/>
      <c r="E65" s="223"/>
      <c r="F65" s="289"/>
    </row>
    <row r="66">
      <c r="A66" s="100"/>
      <c r="B66" s="320"/>
      <c r="C66" s="320"/>
      <c r="D66" s="320"/>
    </row>
    <row r="67">
      <c r="A67" s="100"/>
      <c r="B67" s="320"/>
      <c r="C67" s="320"/>
      <c r="D67" s="320"/>
    </row>
    <row r="68">
      <c r="A68" s="100"/>
      <c r="B68" s="320"/>
      <c r="C68" s="320"/>
      <c r="D68" s="320"/>
    </row>
    <row r="69">
      <c r="A69" s="100"/>
      <c r="B69" s="320"/>
      <c r="C69" s="320"/>
      <c r="D69" s="320"/>
    </row>
    <row r="70">
      <c r="A70" s="100"/>
      <c r="B70" s="320"/>
      <c r="C70" s="320"/>
      <c r="D70" s="320"/>
    </row>
    <row r="71">
      <c r="A71" s="100"/>
      <c r="B71" s="320"/>
      <c r="C71" s="320"/>
      <c r="D71" s="320"/>
    </row>
    <row r="72">
      <c r="A72" s="100"/>
      <c r="B72" s="320"/>
      <c r="C72" s="320"/>
      <c r="D72" s="320"/>
    </row>
    <row r="73">
      <c r="A73" s="100"/>
      <c r="B73" s="320"/>
      <c r="C73" s="320"/>
      <c r="D73" s="320"/>
    </row>
    <row r="74">
      <c r="A74" s="100"/>
      <c r="B74" s="320"/>
      <c r="C74" s="320"/>
      <c r="D74" s="320"/>
    </row>
    <row r="75">
      <c r="A75" s="100"/>
      <c r="B75" s="320"/>
      <c r="C75" s="320"/>
      <c r="D75" s="320"/>
    </row>
    <row r="76">
      <c r="A76" s="100"/>
      <c r="B76" s="320"/>
      <c r="C76" s="320"/>
      <c r="D76" s="320"/>
    </row>
    <row r="77">
      <c r="A77" s="100"/>
      <c r="B77" s="320"/>
      <c r="C77" s="320"/>
      <c r="D77" s="320"/>
    </row>
    <row r="78">
      <c r="A78" s="100"/>
      <c r="B78" s="320"/>
      <c r="C78" s="320"/>
      <c r="D78" s="320"/>
    </row>
    <row r="79">
      <c r="A79" s="100"/>
      <c r="B79" s="320"/>
      <c r="C79" s="320"/>
      <c r="D79" s="320"/>
    </row>
    <row r="80">
      <c r="A80" s="100"/>
      <c r="B80" s="320"/>
      <c r="C80" s="320"/>
      <c r="D80" s="320"/>
    </row>
    <row r="81">
      <c r="A81" s="100"/>
      <c r="B81" s="320"/>
      <c r="C81" s="320"/>
      <c r="D81" s="320"/>
    </row>
    <row r="82">
      <c r="A82" s="100"/>
      <c r="B82" s="320"/>
      <c r="C82" s="320"/>
      <c r="D82" s="320"/>
    </row>
    <row r="83">
      <c r="A83" s="100"/>
      <c r="B83" s="320"/>
      <c r="C83" s="320"/>
      <c r="D83" s="320"/>
    </row>
    <row r="84">
      <c r="A84" s="100"/>
      <c r="B84" s="320"/>
      <c r="C84" s="320"/>
      <c r="D84" s="320"/>
    </row>
    <row r="85">
      <c r="A85" s="100"/>
      <c r="B85" s="320"/>
      <c r="C85" s="320"/>
      <c r="D85" s="320"/>
    </row>
    <row r="86">
      <c r="A86" s="100"/>
      <c r="B86" s="320"/>
      <c r="C86" s="320"/>
      <c r="D86" s="320"/>
    </row>
    <row r="87">
      <c r="A87" s="100"/>
      <c r="B87" s="320"/>
      <c r="C87" s="320"/>
      <c r="D87" s="320"/>
    </row>
    <row r="88">
      <c r="A88" s="100"/>
      <c r="B88" s="320"/>
      <c r="C88" s="320"/>
      <c r="D88" s="320"/>
    </row>
    <row r="89">
      <c r="A89" s="100"/>
      <c r="B89" s="320"/>
      <c r="C89" s="320"/>
      <c r="D89" s="320"/>
    </row>
    <row r="90">
      <c r="A90" s="100"/>
      <c r="B90" s="320"/>
      <c r="C90" s="320"/>
      <c r="D90" s="320"/>
    </row>
    <row r="91">
      <c r="A91" s="100"/>
      <c r="B91" s="320"/>
      <c r="C91" s="320"/>
      <c r="D91" s="320"/>
    </row>
    <row r="92">
      <c r="A92" s="100"/>
      <c r="B92" s="320"/>
      <c r="C92" s="320"/>
      <c r="D92" s="320"/>
    </row>
    <row r="93">
      <c r="A93" s="100"/>
      <c r="B93" s="320"/>
      <c r="C93" s="320"/>
      <c r="D93" s="320"/>
    </row>
    <row r="94">
      <c r="A94" s="100"/>
      <c r="B94" s="320"/>
      <c r="C94" s="320"/>
      <c r="D94" s="320"/>
    </row>
    <row r="95">
      <c r="A95" s="100"/>
      <c r="B95" s="320"/>
      <c r="C95" s="320"/>
      <c r="D95" s="320"/>
    </row>
    <row r="96">
      <c r="A96" s="100"/>
      <c r="B96" s="320"/>
      <c r="C96" s="320"/>
      <c r="D96" s="320"/>
    </row>
    <row r="97">
      <c r="A97" s="100"/>
      <c r="B97" s="320"/>
      <c r="C97" s="320"/>
      <c r="D97" s="320"/>
    </row>
    <row r="98">
      <c r="A98" s="100"/>
      <c r="B98" s="320"/>
      <c r="C98" s="320"/>
      <c r="D98" s="320"/>
    </row>
    <row r="99">
      <c r="A99" s="100"/>
      <c r="B99" s="320"/>
      <c r="C99" s="320"/>
      <c r="D99" s="320"/>
    </row>
    <row r="100">
      <c r="A100" s="100"/>
      <c r="B100" s="320"/>
      <c r="C100" s="320"/>
      <c r="D100" s="320"/>
    </row>
    <row r="101">
      <c r="A101" s="100"/>
      <c r="B101" s="320"/>
      <c r="C101" s="320"/>
      <c r="D101" s="320"/>
    </row>
    <row r="102">
      <c r="A102" s="100"/>
      <c r="B102" s="320"/>
      <c r="C102" s="320"/>
      <c r="D102" s="320"/>
    </row>
    <row r="103">
      <c r="A103" s="100"/>
      <c r="B103" s="320"/>
      <c r="C103" s="320"/>
      <c r="D103" s="320"/>
    </row>
    <row r="104">
      <c r="A104" s="100"/>
      <c r="B104" s="320"/>
      <c r="C104" s="320"/>
      <c r="D104" s="320"/>
    </row>
    <row r="105">
      <c r="A105" s="100"/>
      <c r="B105" s="320"/>
      <c r="C105" s="320"/>
      <c r="D105" s="320"/>
    </row>
    <row r="106">
      <c r="A106" s="100"/>
      <c r="B106" s="320"/>
      <c r="C106" s="320"/>
      <c r="D106" s="320"/>
    </row>
    <row r="107">
      <c r="A107" s="100"/>
      <c r="B107" s="320"/>
      <c r="C107" s="320"/>
      <c r="D107" s="320"/>
    </row>
    <row r="108">
      <c r="A108" s="100"/>
      <c r="B108" s="320"/>
      <c r="C108" s="320"/>
      <c r="D108" s="320"/>
    </row>
    <row r="109">
      <c r="A109" s="100"/>
      <c r="B109" s="320"/>
      <c r="C109" s="320"/>
      <c r="D109" s="320"/>
    </row>
    <row r="110">
      <c r="A110" s="100"/>
      <c r="B110" s="320"/>
      <c r="C110" s="320"/>
      <c r="D110" s="320"/>
    </row>
    <row r="111">
      <c r="A111" s="100"/>
      <c r="B111" s="320"/>
      <c r="C111" s="320"/>
      <c r="D111" s="320"/>
    </row>
    <row r="112">
      <c r="A112" s="100"/>
      <c r="B112" s="320"/>
      <c r="C112" s="320"/>
      <c r="D112" s="320"/>
    </row>
    <row r="113">
      <c r="A113" s="100"/>
      <c r="B113" s="320"/>
      <c r="C113" s="320"/>
      <c r="D113" s="320"/>
    </row>
    <row r="114">
      <c r="A114" s="100"/>
      <c r="B114" s="320"/>
      <c r="C114" s="320"/>
      <c r="D114" s="320"/>
    </row>
    <row r="115">
      <c r="A115" s="100"/>
      <c r="B115" s="320"/>
      <c r="C115" s="320"/>
      <c r="D115" s="320"/>
    </row>
    <row r="116">
      <c r="A116" s="100"/>
      <c r="B116" s="320"/>
      <c r="C116" s="320"/>
      <c r="D116" s="320"/>
    </row>
    <row r="117">
      <c r="A117" s="100"/>
      <c r="B117" s="320"/>
      <c r="C117" s="320"/>
      <c r="D117" s="320"/>
    </row>
    <row r="118">
      <c r="A118" s="100"/>
      <c r="B118" s="320"/>
      <c r="C118" s="320"/>
      <c r="D118" s="320"/>
    </row>
    <row r="119">
      <c r="A119" s="100"/>
      <c r="B119" s="320"/>
      <c r="C119" s="320"/>
      <c r="D119" s="320"/>
    </row>
    <row r="120">
      <c r="A120" s="100"/>
      <c r="B120" s="320"/>
      <c r="C120" s="320"/>
      <c r="D120" s="320"/>
    </row>
    <row r="121">
      <c r="A121" s="100"/>
      <c r="B121" s="320"/>
      <c r="C121" s="320"/>
      <c r="D121" s="320"/>
    </row>
    <row r="122">
      <c r="A122" s="100"/>
      <c r="B122" s="320"/>
      <c r="C122" s="320"/>
      <c r="D122" s="320"/>
    </row>
    <row r="123">
      <c r="A123" s="100"/>
      <c r="B123" s="320"/>
      <c r="C123" s="320"/>
      <c r="D123" s="320"/>
    </row>
    <row r="124">
      <c r="A124" s="100"/>
      <c r="B124" s="320"/>
      <c r="C124" s="320"/>
      <c r="D124" s="320"/>
    </row>
    <row r="125">
      <c r="A125" s="100"/>
      <c r="B125" s="320"/>
      <c r="C125" s="320"/>
      <c r="D125" s="320"/>
    </row>
    <row r="126">
      <c r="A126" s="100"/>
      <c r="B126" s="320"/>
      <c r="C126" s="320"/>
      <c r="D126" s="320"/>
    </row>
    <row r="127">
      <c r="A127" s="100"/>
      <c r="B127" s="320"/>
      <c r="C127" s="320"/>
      <c r="D127" s="320"/>
    </row>
    <row r="128">
      <c r="A128" s="100"/>
      <c r="B128" s="320"/>
      <c r="C128" s="320"/>
      <c r="D128" s="320"/>
    </row>
    <row r="129">
      <c r="A129" s="100"/>
      <c r="B129" s="320"/>
      <c r="C129" s="320"/>
      <c r="D129" s="320"/>
    </row>
    <row r="130">
      <c r="A130" s="100"/>
      <c r="B130" s="320"/>
      <c r="C130" s="320"/>
      <c r="D130" s="320"/>
    </row>
    <row r="131">
      <c r="A131" s="100"/>
      <c r="B131" s="320"/>
      <c r="C131" s="320"/>
      <c r="D131" s="320"/>
    </row>
    <row r="132">
      <c r="A132" s="100"/>
      <c r="B132" s="320"/>
      <c r="C132" s="320"/>
      <c r="D132" s="320"/>
    </row>
    <row r="133">
      <c r="A133" s="100"/>
      <c r="B133" s="320"/>
      <c r="C133" s="320"/>
      <c r="D133" s="320"/>
    </row>
    <row r="134">
      <c r="A134" s="100"/>
      <c r="B134" s="320"/>
      <c r="C134" s="320"/>
      <c r="D134" s="320"/>
    </row>
    <row r="135">
      <c r="A135" s="100"/>
      <c r="B135" s="320"/>
      <c r="C135" s="320"/>
      <c r="D135" s="320"/>
    </row>
    <row r="136">
      <c r="A136" s="100"/>
      <c r="B136" s="320"/>
      <c r="C136" s="320"/>
      <c r="D136" s="320"/>
    </row>
    <row r="137">
      <c r="A137" s="100"/>
      <c r="B137" s="320"/>
      <c r="C137" s="320"/>
      <c r="D137" s="320"/>
    </row>
    <row r="138">
      <c r="A138" s="100"/>
      <c r="B138" s="320"/>
      <c r="C138" s="320"/>
      <c r="D138" s="320"/>
    </row>
    <row r="139">
      <c r="A139" s="100"/>
      <c r="B139" s="320"/>
      <c r="C139" s="320"/>
      <c r="D139" s="320"/>
    </row>
    <row r="140">
      <c r="A140" s="100"/>
      <c r="B140" s="320"/>
      <c r="C140" s="320"/>
      <c r="D140" s="320"/>
    </row>
    <row r="141">
      <c r="A141" s="100"/>
      <c r="B141" s="320"/>
      <c r="C141" s="320"/>
      <c r="D141" s="320"/>
    </row>
    <row r="142">
      <c r="A142" s="100"/>
      <c r="B142" s="320"/>
      <c r="C142" s="320"/>
      <c r="D142" s="320"/>
    </row>
    <row r="143">
      <c r="A143" s="100"/>
      <c r="B143" s="320"/>
      <c r="C143" s="320"/>
      <c r="D143" s="320"/>
    </row>
    <row r="144">
      <c r="A144" s="100"/>
      <c r="B144" s="320"/>
      <c r="C144" s="320"/>
      <c r="D144" s="320"/>
    </row>
    <row r="145">
      <c r="A145" s="100"/>
      <c r="B145" s="320"/>
      <c r="C145" s="320"/>
      <c r="D145" s="320"/>
    </row>
    <row r="146">
      <c r="A146" s="100"/>
      <c r="B146" s="320"/>
      <c r="C146" s="320"/>
      <c r="D146" s="320"/>
    </row>
    <row r="147">
      <c r="A147" s="100"/>
      <c r="B147" s="320"/>
      <c r="C147" s="320"/>
      <c r="D147" s="320"/>
    </row>
    <row r="148">
      <c r="A148" s="100"/>
      <c r="B148" s="320"/>
      <c r="C148" s="320"/>
      <c r="D148" s="320"/>
    </row>
    <row r="149">
      <c r="A149" s="100"/>
      <c r="B149" s="320"/>
      <c r="C149" s="320"/>
      <c r="D149" s="320"/>
    </row>
    <row r="150">
      <c r="A150" s="100"/>
      <c r="B150" s="320"/>
      <c r="C150" s="320"/>
      <c r="D150" s="320"/>
    </row>
    <row r="151">
      <c r="A151" s="100"/>
      <c r="B151" s="320"/>
      <c r="C151" s="320"/>
      <c r="D151" s="320"/>
    </row>
    <row r="152">
      <c r="A152" s="100"/>
      <c r="B152" s="320"/>
      <c r="C152" s="320"/>
      <c r="D152" s="320"/>
    </row>
    <row r="153">
      <c r="A153" s="100"/>
      <c r="B153" s="320"/>
      <c r="C153" s="320"/>
      <c r="D153" s="320"/>
    </row>
    <row r="154">
      <c r="A154" s="100"/>
      <c r="B154" s="320"/>
      <c r="C154" s="320"/>
      <c r="D154" s="320"/>
    </row>
    <row r="155">
      <c r="A155" s="100"/>
      <c r="B155" s="320"/>
      <c r="C155" s="320"/>
      <c r="D155" s="320"/>
    </row>
    <row r="156">
      <c r="A156" s="100"/>
      <c r="B156" s="320"/>
      <c r="C156" s="320"/>
      <c r="D156" s="320"/>
    </row>
    <row r="157">
      <c r="A157" s="100"/>
      <c r="B157" s="320"/>
      <c r="C157" s="320"/>
      <c r="D157" s="320"/>
    </row>
    <row r="158">
      <c r="A158" s="100"/>
      <c r="B158" s="320"/>
      <c r="C158" s="320"/>
      <c r="D158" s="320"/>
    </row>
    <row r="159">
      <c r="A159" s="100"/>
      <c r="B159" s="320"/>
      <c r="C159" s="320"/>
      <c r="D159" s="320"/>
    </row>
    <row r="160">
      <c r="A160" s="100"/>
      <c r="B160" s="320"/>
      <c r="C160" s="320"/>
      <c r="D160" s="320"/>
    </row>
    <row r="161">
      <c r="A161" s="100"/>
      <c r="B161" s="320"/>
      <c r="C161" s="320"/>
      <c r="D161" s="320"/>
    </row>
    <row r="162">
      <c r="A162" s="100"/>
      <c r="B162" s="320"/>
      <c r="C162" s="320"/>
      <c r="D162" s="320"/>
    </row>
    <row r="163">
      <c r="A163" s="100"/>
      <c r="B163" s="320"/>
      <c r="C163" s="320"/>
      <c r="D163" s="320"/>
    </row>
    <row r="164">
      <c r="A164" s="100"/>
      <c r="B164" s="320"/>
      <c r="C164" s="320"/>
      <c r="D164" s="320"/>
    </row>
    <row r="165">
      <c r="A165" s="100"/>
      <c r="B165" s="320"/>
      <c r="C165" s="320"/>
      <c r="D165" s="320"/>
    </row>
    <row r="166">
      <c r="A166" s="100"/>
      <c r="B166" s="320"/>
      <c r="C166" s="320"/>
      <c r="D166" s="320"/>
    </row>
    <row r="167">
      <c r="A167" s="100"/>
      <c r="B167" s="320"/>
      <c r="C167" s="320"/>
      <c r="D167" s="320"/>
    </row>
    <row r="168">
      <c r="A168" s="100"/>
      <c r="B168" s="320"/>
      <c r="C168" s="320"/>
      <c r="D168" s="320"/>
    </row>
    <row r="169">
      <c r="A169" s="100"/>
      <c r="B169" s="320"/>
      <c r="C169" s="320"/>
      <c r="D169" s="320"/>
    </row>
    <row r="170">
      <c r="A170" s="100"/>
      <c r="B170" s="320"/>
      <c r="C170" s="320"/>
      <c r="D170" s="320"/>
    </row>
    <row r="171">
      <c r="A171" s="100"/>
      <c r="B171" s="320"/>
      <c r="C171" s="320"/>
      <c r="D171" s="320"/>
    </row>
    <row r="172">
      <c r="A172" s="100"/>
      <c r="B172" s="320"/>
      <c r="C172" s="320"/>
      <c r="D172" s="320"/>
    </row>
    <row r="173">
      <c r="A173" s="100"/>
      <c r="B173" s="320"/>
      <c r="C173" s="320"/>
      <c r="D173" s="320"/>
    </row>
    <row r="174">
      <c r="A174" s="100"/>
      <c r="B174" s="320"/>
      <c r="C174" s="320"/>
      <c r="D174" s="320"/>
    </row>
    <row r="175">
      <c r="A175" s="100"/>
      <c r="B175" s="320"/>
      <c r="C175" s="320"/>
      <c r="D175" s="320"/>
    </row>
    <row r="176">
      <c r="A176" s="100"/>
      <c r="B176" s="320"/>
      <c r="C176" s="320"/>
      <c r="D176" s="320"/>
    </row>
    <row r="177">
      <c r="A177" s="100"/>
      <c r="B177" s="320"/>
      <c r="C177" s="320"/>
      <c r="D177" s="320"/>
    </row>
    <row r="178">
      <c r="A178" s="100"/>
      <c r="B178" s="320"/>
      <c r="C178" s="320"/>
      <c r="D178" s="320"/>
    </row>
    <row r="179">
      <c r="A179" s="100"/>
      <c r="B179" s="320"/>
      <c r="C179" s="320"/>
      <c r="D179" s="320"/>
    </row>
    <row r="180">
      <c r="A180" s="100"/>
      <c r="B180" s="320"/>
      <c r="C180" s="320"/>
      <c r="D180" s="320"/>
    </row>
    <row r="181">
      <c r="A181" s="100"/>
      <c r="B181" s="320"/>
      <c r="C181" s="320"/>
      <c r="D181" s="320"/>
    </row>
    <row r="182">
      <c r="A182" s="100"/>
      <c r="B182" s="320"/>
      <c r="C182" s="320"/>
      <c r="D182" s="320"/>
    </row>
    <row r="183">
      <c r="A183" s="100"/>
      <c r="B183" s="320"/>
      <c r="C183" s="320"/>
      <c r="D183" s="320"/>
    </row>
    <row r="184">
      <c r="A184" s="100"/>
      <c r="B184" s="320"/>
      <c r="C184" s="320"/>
      <c r="D184" s="320"/>
    </row>
    <row r="185">
      <c r="A185" s="100"/>
      <c r="B185" s="320"/>
      <c r="C185" s="320"/>
      <c r="D185" s="320"/>
    </row>
    <row r="186">
      <c r="A186" s="100"/>
      <c r="B186" s="320"/>
      <c r="C186" s="320"/>
      <c r="D186" s="320"/>
    </row>
    <row r="187">
      <c r="A187" s="100"/>
      <c r="B187" s="320"/>
      <c r="C187" s="320"/>
      <c r="D187" s="320"/>
    </row>
    <row r="188">
      <c r="A188" s="100"/>
      <c r="B188" s="320"/>
      <c r="C188" s="320"/>
      <c r="D188" s="320"/>
    </row>
    <row r="189">
      <c r="A189" s="100"/>
      <c r="B189" s="320"/>
      <c r="C189" s="320"/>
      <c r="D189" s="320"/>
    </row>
    <row r="190">
      <c r="A190" s="100"/>
      <c r="B190" s="320"/>
      <c r="C190" s="320"/>
      <c r="D190" s="320"/>
    </row>
    <row r="191">
      <c r="A191" s="100"/>
      <c r="B191" s="320"/>
      <c r="C191" s="320"/>
      <c r="D191" s="320"/>
    </row>
    <row r="192">
      <c r="A192" s="100"/>
      <c r="B192" s="320"/>
      <c r="C192" s="320"/>
      <c r="D192" s="320"/>
    </row>
    <row r="193">
      <c r="A193" s="100"/>
      <c r="B193" s="320"/>
      <c r="C193" s="320"/>
      <c r="D193" s="320"/>
    </row>
    <row r="194">
      <c r="A194" s="100"/>
      <c r="B194" s="320"/>
      <c r="C194" s="320"/>
      <c r="D194" s="320"/>
    </row>
    <row r="195">
      <c r="A195" s="100"/>
      <c r="B195" s="320"/>
      <c r="C195" s="320"/>
      <c r="D195" s="320"/>
    </row>
    <row r="196">
      <c r="A196" s="100"/>
      <c r="B196" s="320"/>
      <c r="C196" s="320"/>
      <c r="D196" s="320"/>
    </row>
    <row r="197">
      <c r="A197" s="100"/>
      <c r="B197" s="320"/>
      <c r="C197" s="320"/>
      <c r="D197" s="320"/>
    </row>
    <row r="198">
      <c r="A198" s="100"/>
      <c r="B198" s="320"/>
      <c r="C198" s="320"/>
      <c r="D198" s="320"/>
    </row>
    <row r="199">
      <c r="A199" s="100"/>
      <c r="B199" s="320"/>
      <c r="C199" s="320"/>
      <c r="D199" s="320"/>
    </row>
    <row r="200">
      <c r="A200" s="100"/>
      <c r="B200" s="320"/>
      <c r="C200" s="320"/>
      <c r="D200" s="320"/>
    </row>
    <row r="201">
      <c r="A201" s="100"/>
      <c r="B201" s="320"/>
      <c r="C201" s="320"/>
      <c r="D201" s="320"/>
    </row>
    <row r="202">
      <c r="A202" s="100"/>
      <c r="B202" s="320"/>
      <c r="C202" s="320"/>
      <c r="D202" s="320"/>
    </row>
    <row r="203">
      <c r="A203" s="100"/>
      <c r="B203" s="320"/>
      <c r="C203" s="320"/>
      <c r="D203" s="320"/>
    </row>
    <row r="204">
      <c r="A204" s="100"/>
      <c r="B204" s="320"/>
      <c r="C204" s="320"/>
      <c r="D204" s="320"/>
    </row>
    <row r="205">
      <c r="A205" s="100"/>
      <c r="B205" s="320"/>
      <c r="C205" s="320"/>
      <c r="D205" s="320"/>
    </row>
    <row r="206">
      <c r="A206" s="100"/>
      <c r="B206" s="320"/>
      <c r="C206" s="320"/>
      <c r="D206" s="320"/>
    </row>
    <row r="207">
      <c r="A207" s="100"/>
      <c r="B207" s="320"/>
      <c r="C207" s="320"/>
      <c r="D207" s="320"/>
    </row>
    <row r="208">
      <c r="A208" s="100"/>
      <c r="B208" s="320"/>
      <c r="C208" s="320"/>
      <c r="D208" s="320"/>
    </row>
    <row r="209">
      <c r="A209" s="100"/>
      <c r="B209" s="320"/>
      <c r="C209" s="320"/>
      <c r="D209" s="320"/>
    </row>
    <row r="210">
      <c r="A210" s="100"/>
      <c r="B210" s="320"/>
      <c r="C210" s="320"/>
      <c r="D210" s="320"/>
    </row>
    <row r="211">
      <c r="A211" s="100"/>
      <c r="B211" s="320"/>
      <c r="C211" s="320"/>
      <c r="D211" s="320"/>
    </row>
    <row r="212">
      <c r="A212" s="100"/>
      <c r="B212" s="320"/>
      <c r="C212" s="320"/>
      <c r="D212" s="320"/>
    </row>
    <row r="213">
      <c r="A213" s="100"/>
      <c r="B213" s="320"/>
      <c r="C213" s="320"/>
      <c r="D213" s="320"/>
    </row>
    <row r="214">
      <c r="A214" s="100"/>
      <c r="B214" s="320"/>
      <c r="C214" s="320"/>
      <c r="D214" s="320"/>
    </row>
    <row r="215">
      <c r="A215" s="100"/>
      <c r="B215" s="320"/>
      <c r="C215" s="320"/>
      <c r="D215" s="320"/>
    </row>
    <row r="216">
      <c r="A216" s="100"/>
      <c r="B216" s="320"/>
      <c r="C216" s="320"/>
      <c r="D216" s="320"/>
    </row>
    <row r="217">
      <c r="A217" s="100"/>
      <c r="B217" s="320"/>
      <c r="C217" s="320"/>
      <c r="D217" s="320"/>
    </row>
    <row r="218">
      <c r="A218" s="100"/>
      <c r="B218" s="320"/>
      <c r="C218" s="320"/>
      <c r="D218" s="320"/>
    </row>
    <row r="219">
      <c r="A219" s="100"/>
      <c r="B219" s="320"/>
      <c r="C219" s="320"/>
      <c r="D219" s="320"/>
    </row>
    <row r="220">
      <c r="A220" s="100"/>
      <c r="B220" s="320"/>
      <c r="C220" s="320"/>
      <c r="D220" s="320"/>
    </row>
    <row r="221">
      <c r="A221" s="100"/>
      <c r="B221" s="320"/>
      <c r="C221" s="320"/>
      <c r="D221" s="320"/>
    </row>
    <row r="222">
      <c r="A222" s="100"/>
      <c r="B222" s="320"/>
      <c r="C222" s="320"/>
      <c r="D222" s="320"/>
    </row>
    <row r="223">
      <c r="A223" s="100"/>
      <c r="B223" s="320"/>
      <c r="C223" s="320"/>
      <c r="D223" s="320"/>
    </row>
    <row r="224">
      <c r="A224" s="100"/>
      <c r="B224" s="320"/>
      <c r="C224" s="320"/>
      <c r="D224" s="320"/>
    </row>
    <row r="225">
      <c r="A225" s="100"/>
      <c r="B225" s="320"/>
      <c r="C225" s="320"/>
      <c r="D225" s="320"/>
    </row>
    <row r="226">
      <c r="A226" s="100"/>
      <c r="B226" s="320"/>
      <c r="C226" s="320"/>
      <c r="D226" s="320"/>
    </row>
    <row r="227">
      <c r="A227" s="100"/>
      <c r="B227" s="320"/>
      <c r="C227" s="320"/>
      <c r="D227" s="320"/>
    </row>
    <row r="228">
      <c r="A228" s="100"/>
      <c r="B228" s="320"/>
      <c r="C228" s="320"/>
      <c r="D228" s="320"/>
    </row>
    <row r="229">
      <c r="A229" s="100"/>
      <c r="B229" s="320"/>
      <c r="C229" s="320"/>
      <c r="D229" s="320"/>
    </row>
    <row r="230">
      <c r="A230" s="100"/>
      <c r="B230" s="320"/>
      <c r="C230" s="320"/>
      <c r="D230" s="320"/>
    </row>
    <row r="231">
      <c r="A231" s="100"/>
      <c r="B231" s="320"/>
      <c r="C231" s="320"/>
      <c r="D231" s="320"/>
    </row>
    <row r="232">
      <c r="A232" s="100"/>
      <c r="B232" s="320"/>
      <c r="C232" s="320"/>
      <c r="D232" s="320"/>
    </row>
    <row r="233">
      <c r="A233" s="100"/>
      <c r="B233" s="320"/>
      <c r="C233" s="320"/>
      <c r="D233" s="320"/>
    </row>
    <row r="234">
      <c r="A234" s="100"/>
      <c r="B234" s="320"/>
      <c r="C234" s="320"/>
      <c r="D234" s="320"/>
    </row>
    <row r="235">
      <c r="A235" s="100"/>
      <c r="B235" s="320"/>
      <c r="C235" s="320"/>
      <c r="D235" s="320"/>
    </row>
    <row r="236">
      <c r="A236" s="100"/>
      <c r="B236" s="320"/>
      <c r="C236" s="320"/>
      <c r="D236" s="320"/>
    </row>
    <row r="237">
      <c r="A237" s="100"/>
      <c r="B237" s="320"/>
      <c r="C237" s="320"/>
      <c r="D237" s="320"/>
    </row>
    <row r="238">
      <c r="A238" s="100"/>
      <c r="B238" s="320"/>
      <c r="C238" s="320"/>
      <c r="D238" s="320"/>
    </row>
    <row r="239">
      <c r="A239" s="100"/>
      <c r="B239" s="320"/>
      <c r="C239" s="320"/>
      <c r="D239" s="320"/>
    </row>
    <row r="240">
      <c r="A240" s="100"/>
      <c r="B240" s="320"/>
      <c r="C240" s="320"/>
      <c r="D240" s="320"/>
    </row>
    <row r="241">
      <c r="A241" s="100"/>
      <c r="B241" s="320"/>
      <c r="C241" s="320"/>
      <c r="D241" s="320"/>
    </row>
    <row r="242">
      <c r="A242" s="100"/>
      <c r="B242" s="320"/>
      <c r="C242" s="320"/>
      <c r="D242" s="320"/>
    </row>
    <row r="243">
      <c r="A243" s="100"/>
      <c r="B243" s="320"/>
      <c r="C243" s="320"/>
      <c r="D243" s="320"/>
    </row>
    <row r="244">
      <c r="A244" s="100"/>
      <c r="B244" s="320"/>
      <c r="C244" s="320"/>
      <c r="D244" s="320"/>
    </row>
    <row r="245">
      <c r="A245" s="100"/>
      <c r="B245" s="320"/>
      <c r="C245" s="320"/>
      <c r="D245" s="320"/>
    </row>
    <row r="246">
      <c r="A246" s="100"/>
      <c r="B246" s="320"/>
      <c r="C246" s="320"/>
      <c r="D246" s="320"/>
    </row>
    <row r="247">
      <c r="A247" s="100"/>
      <c r="B247" s="320"/>
      <c r="C247" s="320"/>
      <c r="D247" s="320"/>
    </row>
    <row r="248">
      <c r="A248" s="100"/>
      <c r="B248" s="320"/>
      <c r="C248" s="320"/>
      <c r="D248" s="320"/>
    </row>
    <row r="249">
      <c r="A249" s="100"/>
      <c r="B249" s="320"/>
      <c r="C249" s="320"/>
      <c r="D249" s="320"/>
    </row>
    <row r="250">
      <c r="A250" s="100"/>
      <c r="B250" s="320"/>
      <c r="C250" s="320"/>
      <c r="D250" s="320"/>
    </row>
    <row r="251">
      <c r="A251" s="100"/>
      <c r="B251" s="320"/>
      <c r="C251" s="320"/>
      <c r="D251" s="320"/>
    </row>
    <row r="252">
      <c r="A252" s="100"/>
      <c r="B252" s="320"/>
      <c r="C252" s="320"/>
      <c r="D252" s="320"/>
    </row>
    <row r="253">
      <c r="A253" s="100"/>
      <c r="B253" s="320"/>
      <c r="C253" s="320"/>
      <c r="D253" s="320"/>
    </row>
    <row r="254">
      <c r="A254" s="100"/>
      <c r="B254" s="320"/>
      <c r="C254" s="320"/>
      <c r="D254" s="320"/>
    </row>
    <row r="255">
      <c r="A255" s="100"/>
      <c r="B255" s="320"/>
      <c r="C255" s="320"/>
      <c r="D255" s="320"/>
    </row>
    <row r="256">
      <c r="A256" s="100"/>
      <c r="B256" s="320"/>
      <c r="C256" s="320"/>
      <c r="D256" s="320"/>
    </row>
    <row r="257">
      <c r="A257" s="100"/>
      <c r="B257" s="320"/>
      <c r="C257" s="320"/>
      <c r="D257" s="320"/>
    </row>
    <row r="258">
      <c r="A258" s="100"/>
      <c r="B258" s="320"/>
      <c r="C258" s="320"/>
      <c r="D258" s="320"/>
    </row>
    <row r="259">
      <c r="A259" s="100"/>
      <c r="B259" s="320"/>
      <c r="C259" s="320"/>
      <c r="D259" s="320"/>
    </row>
    <row r="260">
      <c r="A260" s="100"/>
      <c r="B260" s="320"/>
      <c r="C260" s="320"/>
      <c r="D260" s="320"/>
    </row>
    <row r="261">
      <c r="A261" s="100"/>
      <c r="B261" s="320"/>
      <c r="C261" s="320"/>
      <c r="D261" s="320"/>
    </row>
    <row r="262">
      <c r="A262" s="100"/>
      <c r="B262" s="320"/>
      <c r="C262" s="320"/>
      <c r="D262" s="320"/>
    </row>
    <row r="263">
      <c r="A263" s="100"/>
      <c r="B263" s="320"/>
      <c r="C263" s="320"/>
      <c r="D263" s="320"/>
    </row>
    <row r="264">
      <c r="A264" s="100"/>
      <c r="B264" s="320"/>
      <c r="C264" s="320"/>
      <c r="D264" s="320"/>
    </row>
    <row r="265">
      <c r="A265" s="100"/>
      <c r="B265" s="320"/>
      <c r="C265" s="320"/>
      <c r="D265" s="320"/>
    </row>
    <row r="266">
      <c r="A266" s="100"/>
      <c r="B266" s="320"/>
      <c r="C266" s="320"/>
      <c r="D266" s="320"/>
    </row>
    <row r="267">
      <c r="A267" s="100"/>
      <c r="B267" s="320"/>
      <c r="C267" s="320"/>
      <c r="D267" s="320"/>
    </row>
    <row r="268">
      <c r="A268" s="100"/>
      <c r="B268" s="320"/>
      <c r="C268" s="320"/>
      <c r="D268" s="320"/>
    </row>
    <row r="269">
      <c r="A269" s="100"/>
      <c r="B269" s="320"/>
      <c r="C269" s="320"/>
      <c r="D269" s="320"/>
    </row>
    <row r="270">
      <c r="A270" s="100"/>
      <c r="B270" s="320"/>
      <c r="C270" s="320"/>
      <c r="D270" s="320"/>
    </row>
    <row r="271">
      <c r="A271" s="100"/>
      <c r="B271" s="320"/>
      <c r="C271" s="320"/>
      <c r="D271" s="320"/>
    </row>
    <row r="272">
      <c r="A272" s="100"/>
      <c r="B272" s="320"/>
      <c r="C272" s="320"/>
      <c r="D272" s="320"/>
    </row>
    <row r="273">
      <c r="A273" s="100"/>
      <c r="B273" s="320"/>
      <c r="C273" s="320"/>
      <c r="D273" s="320"/>
    </row>
    <row r="274">
      <c r="A274" s="100"/>
      <c r="B274" s="320"/>
      <c r="C274" s="320"/>
      <c r="D274" s="320"/>
    </row>
    <row r="275">
      <c r="A275" s="100"/>
      <c r="B275" s="320"/>
      <c r="C275" s="320"/>
      <c r="D275" s="320"/>
    </row>
    <row r="276">
      <c r="A276" s="100"/>
      <c r="B276" s="320"/>
      <c r="C276" s="320"/>
      <c r="D276" s="320"/>
    </row>
    <row r="277">
      <c r="A277" s="100"/>
      <c r="B277" s="320"/>
      <c r="C277" s="320"/>
      <c r="D277" s="320"/>
    </row>
    <row r="278">
      <c r="A278" s="100"/>
      <c r="B278" s="320"/>
      <c r="C278" s="320"/>
      <c r="D278" s="320"/>
    </row>
    <row r="279">
      <c r="A279" s="100"/>
      <c r="B279" s="320"/>
      <c r="C279" s="320"/>
      <c r="D279" s="320"/>
    </row>
    <row r="280">
      <c r="A280" s="100"/>
      <c r="B280" s="320"/>
      <c r="C280" s="320"/>
      <c r="D280" s="320"/>
    </row>
    <row r="281">
      <c r="A281" s="100"/>
      <c r="B281" s="320"/>
      <c r="C281" s="320"/>
      <c r="D281" s="320"/>
    </row>
    <row r="282">
      <c r="A282" s="100"/>
      <c r="B282" s="320"/>
      <c r="C282" s="320"/>
      <c r="D282" s="320"/>
    </row>
    <row r="283">
      <c r="A283" s="100"/>
      <c r="B283" s="320"/>
      <c r="C283" s="320"/>
      <c r="D283" s="320"/>
    </row>
    <row r="284">
      <c r="A284" s="100"/>
      <c r="B284" s="320"/>
      <c r="C284" s="320"/>
      <c r="D284" s="320"/>
    </row>
    <row r="285">
      <c r="A285" s="100"/>
      <c r="B285" s="320"/>
      <c r="C285" s="320"/>
      <c r="D285" s="320"/>
    </row>
    <row r="286">
      <c r="A286" s="100"/>
      <c r="B286" s="320"/>
      <c r="C286" s="320"/>
      <c r="D286" s="320"/>
    </row>
    <row r="287">
      <c r="A287" s="100"/>
      <c r="B287" s="320"/>
      <c r="C287" s="320"/>
      <c r="D287" s="320"/>
    </row>
    <row r="288">
      <c r="A288" s="100"/>
      <c r="B288" s="320"/>
      <c r="C288" s="320"/>
      <c r="D288" s="320"/>
    </row>
    <row r="289">
      <c r="A289" s="100"/>
      <c r="B289" s="320"/>
      <c r="C289" s="320"/>
      <c r="D289" s="320"/>
    </row>
    <row r="290">
      <c r="A290" s="100"/>
      <c r="B290" s="320"/>
      <c r="C290" s="320"/>
      <c r="D290" s="320"/>
    </row>
    <row r="291">
      <c r="A291" s="100"/>
      <c r="B291" s="320"/>
      <c r="C291" s="320"/>
      <c r="D291" s="320"/>
    </row>
    <row r="292">
      <c r="A292" s="100"/>
      <c r="B292" s="320"/>
      <c r="C292" s="320"/>
      <c r="D292" s="320"/>
    </row>
    <row r="293">
      <c r="A293" s="100"/>
      <c r="B293" s="320"/>
      <c r="C293" s="320"/>
      <c r="D293" s="320"/>
    </row>
    <row r="294">
      <c r="A294" s="100"/>
      <c r="B294" s="320"/>
      <c r="C294" s="320"/>
      <c r="D294" s="320"/>
    </row>
    <row r="295">
      <c r="A295" s="100"/>
      <c r="B295" s="320"/>
      <c r="C295" s="320"/>
      <c r="D295" s="320"/>
    </row>
    <row r="296">
      <c r="A296" s="100"/>
      <c r="B296" s="320"/>
      <c r="C296" s="320"/>
      <c r="D296" s="320"/>
    </row>
    <row r="297">
      <c r="A297" s="100"/>
      <c r="B297" s="320"/>
      <c r="C297" s="320"/>
      <c r="D297" s="320"/>
    </row>
    <row r="298">
      <c r="A298" s="100"/>
      <c r="B298" s="320"/>
      <c r="C298" s="320"/>
      <c r="D298" s="320"/>
    </row>
    <row r="299">
      <c r="A299" s="100"/>
      <c r="B299" s="320"/>
      <c r="C299" s="320"/>
      <c r="D299" s="320"/>
    </row>
    <row r="300">
      <c r="A300" s="100"/>
      <c r="B300" s="320"/>
      <c r="C300" s="320"/>
      <c r="D300" s="320"/>
    </row>
    <row r="301">
      <c r="A301" s="100"/>
      <c r="B301" s="320"/>
      <c r="C301" s="320"/>
      <c r="D301" s="320"/>
    </row>
    <row r="302">
      <c r="A302" s="100"/>
      <c r="B302" s="320"/>
      <c r="C302" s="320"/>
      <c r="D302" s="320"/>
    </row>
    <row r="303">
      <c r="A303" s="100"/>
      <c r="B303" s="320"/>
      <c r="C303" s="320"/>
      <c r="D303" s="320"/>
    </row>
    <row r="304">
      <c r="A304" s="100"/>
      <c r="B304" s="320"/>
      <c r="C304" s="320"/>
      <c r="D304" s="320"/>
    </row>
    <row r="305">
      <c r="A305" s="100"/>
      <c r="B305" s="320"/>
      <c r="C305" s="320"/>
      <c r="D305" s="320"/>
    </row>
    <row r="306">
      <c r="A306" s="100"/>
      <c r="B306" s="320"/>
      <c r="C306" s="320"/>
      <c r="D306" s="320"/>
    </row>
    <row r="307">
      <c r="A307" s="100"/>
      <c r="B307" s="320"/>
      <c r="C307" s="320"/>
      <c r="D307" s="320"/>
    </row>
    <row r="308">
      <c r="A308" s="100"/>
      <c r="B308" s="320"/>
      <c r="C308" s="320"/>
      <c r="D308" s="320"/>
    </row>
    <row r="309">
      <c r="A309" s="100"/>
      <c r="B309" s="320"/>
      <c r="C309" s="320"/>
      <c r="D309" s="320"/>
    </row>
    <row r="310">
      <c r="A310" s="100"/>
      <c r="B310" s="320"/>
      <c r="C310" s="320"/>
      <c r="D310" s="320"/>
    </row>
    <row r="311">
      <c r="A311" s="100"/>
      <c r="B311" s="320"/>
      <c r="C311" s="320"/>
      <c r="D311" s="320"/>
    </row>
    <row r="312">
      <c r="A312" s="100"/>
      <c r="B312" s="320"/>
      <c r="C312" s="320"/>
      <c r="D312" s="320"/>
    </row>
    <row r="313">
      <c r="A313" s="100"/>
      <c r="B313" s="320"/>
      <c r="C313" s="320"/>
      <c r="D313" s="320"/>
    </row>
    <row r="314">
      <c r="A314" s="100"/>
      <c r="B314" s="320"/>
      <c r="C314" s="320"/>
      <c r="D314" s="320"/>
    </row>
    <row r="315">
      <c r="A315" s="100"/>
      <c r="B315" s="320"/>
      <c r="C315" s="320"/>
      <c r="D315" s="320"/>
    </row>
    <row r="316">
      <c r="A316" s="100"/>
      <c r="B316" s="320"/>
      <c r="C316" s="320"/>
      <c r="D316" s="320"/>
    </row>
    <row r="317">
      <c r="A317" s="100"/>
      <c r="B317" s="320"/>
      <c r="C317" s="320"/>
      <c r="D317" s="320"/>
    </row>
    <row r="318">
      <c r="A318" s="100"/>
      <c r="B318" s="320"/>
      <c r="C318" s="320"/>
      <c r="D318" s="320"/>
    </row>
    <row r="319">
      <c r="A319" s="100"/>
      <c r="B319" s="320"/>
      <c r="C319" s="320"/>
      <c r="D319" s="320"/>
    </row>
    <row r="320">
      <c r="A320" s="100"/>
      <c r="B320" s="320"/>
      <c r="C320" s="320"/>
      <c r="D320" s="320"/>
    </row>
    <row r="321">
      <c r="A321" s="100"/>
      <c r="B321" s="320"/>
      <c r="C321" s="320"/>
      <c r="D321" s="320"/>
    </row>
    <row r="322">
      <c r="A322" s="100"/>
      <c r="B322" s="320"/>
      <c r="C322" s="320"/>
      <c r="D322" s="320"/>
    </row>
    <row r="323">
      <c r="A323" s="100"/>
      <c r="B323" s="320"/>
      <c r="C323" s="320"/>
      <c r="D323" s="320"/>
    </row>
    <row r="324">
      <c r="A324" s="100"/>
      <c r="B324" s="320"/>
      <c r="C324" s="320"/>
      <c r="D324" s="320"/>
    </row>
    <row r="325">
      <c r="A325" s="100"/>
      <c r="B325" s="320"/>
      <c r="C325" s="320"/>
      <c r="D325" s="320"/>
    </row>
    <row r="326">
      <c r="A326" s="100"/>
      <c r="B326" s="320"/>
      <c r="C326" s="320"/>
      <c r="D326" s="320"/>
    </row>
    <row r="327">
      <c r="A327" s="100"/>
      <c r="B327" s="320"/>
      <c r="C327" s="320"/>
      <c r="D327" s="320"/>
    </row>
    <row r="328">
      <c r="A328" s="100"/>
      <c r="B328" s="320"/>
      <c r="C328" s="320"/>
      <c r="D328" s="320"/>
    </row>
    <row r="329">
      <c r="A329" s="100"/>
      <c r="B329" s="320"/>
      <c r="C329" s="320"/>
      <c r="D329" s="320"/>
    </row>
    <row r="330">
      <c r="A330" s="100"/>
      <c r="B330" s="320"/>
      <c r="C330" s="320"/>
      <c r="D330" s="320"/>
    </row>
    <row r="331">
      <c r="A331" s="100"/>
      <c r="B331" s="320"/>
      <c r="C331" s="320"/>
      <c r="D331" s="320"/>
    </row>
    <row r="332">
      <c r="A332" s="100"/>
      <c r="B332" s="320"/>
      <c r="C332" s="320"/>
      <c r="D332" s="320"/>
    </row>
    <row r="333">
      <c r="A333" s="100"/>
      <c r="B333" s="320"/>
      <c r="C333" s="320"/>
      <c r="D333" s="320"/>
    </row>
    <row r="334">
      <c r="A334" s="100"/>
      <c r="B334" s="320"/>
      <c r="C334" s="320"/>
      <c r="D334" s="320"/>
    </row>
    <row r="335">
      <c r="A335" s="100"/>
      <c r="B335" s="320"/>
      <c r="C335" s="320"/>
      <c r="D335" s="320"/>
    </row>
    <row r="336">
      <c r="A336" s="100"/>
      <c r="B336" s="320"/>
      <c r="C336" s="320"/>
      <c r="D336" s="320"/>
    </row>
    <row r="337">
      <c r="A337" s="100"/>
      <c r="B337" s="320"/>
      <c r="C337" s="320"/>
      <c r="D337" s="320"/>
    </row>
    <row r="338">
      <c r="A338" s="100"/>
      <c r="B338" s="320"/>
      <c r="C338" s="320"/>
      <c r="D338" s="320"/>
    </row>
    <row r="339">
      <c r="A339" s="100"/>
      <c r="B339" s="320"/>
      <c r="C339" s="320"/>
      <c r="D339" s="320"/>
    </row>
    <row r="340">
      <c r="A340" s="100"/>
      <c r="B340" s="320"/>
      <c r="C340" s="320"/>
      <c r="D340" s="320"/>
    </row>
    <row r="341">
      <c r="A341" s="100"/>
      <c r="B341" s="320"/>
      <c r="C341" s="320"/>
      <c r="D341" s="320"/>
    </row>
    <row r="342">
      <c r="A342" s="100"/>
      <c r="B342" s="320"/>
      <c r="C342" s="320"/>
      <c r="D342" s="320"/>
    </row>
    <row r="343">
      <c r="A343" s="100"/>
      <c r="B343" s="320"/>
      <c r="C343" s="320"/>
      <c r="D343" s="320"/>
    </row>
    <row r="344">
      <c r="A344" s="100"/>
      <c r="B344" s="320"/>
      <c r="C344" s="320"/>
      <c r="D344" s="320"/>
    </row>
    <row r="345">
      <c r="A345" s="100"/>
      <c r="B345" s="320"/>
      <c r="C345" s="320"/>
      <c r="D345" s="320"/>
    </row>
    <row r="346">
      <c r="A346" s="100"/>
      <c r="B346" s="320"/>
      <c r="C346" s="320"/>
      <c r="D346" s="320"/>
    </row>
    <row r="347">
      <c r="A347" s="100"/>
      <c r="B347" s="320"/>
      <c r="C347" s="320"/>
      <c r="D347" s="320"/>
    </row>
    <row r="348">
      <c r="A348" s="100"/>
      <c r="B348" s="320"/>
      <c r="C348" s="320"/>
      <c r="D348" s="320"/>
    </row>
    <row r="349">
      <c r="A349" s="100"/>
      <c r="B349" s="320"/>
      <c r="C349" s="320"/>
      <c r="D349" s="320"/>
    </row>
    <row r="350">
      <c r="A350" s="100"/>
      <c r="B350" s="320"/>
      <c r="C350" s="320"/>
      <c r="D350" s="320"/>
    </row>
    <row r="351">
      <c r="A351" s="100"/>
      <c r="B351" s="320"/>
      <c r="C351" s="320"/>
      <c r="D351" s="320"/>
    </row>
    <row r="352">
      <c r="A352" s="100"/>
      <c r="B352" s="320"/>
      <c r="C352" s="320"/>
      <c r="D352" s="320"/>
    </row>
    <row r="353">
      <c r="A353" s="100"/>
      <c r="B353" s="320"/>
      <c r="C353" s="320"/>
      <c r="D353" s="320"/>
    </row>
    <row r="354">
      <c r="A354" s="100"/>
      <c r="B354" s="320"/>
      <c r="C354" s="320"/>
      <c r="D354" s="320"/>
    </row>
    <row r="355">
      <c r="A355" s="100"/>
      <c r="B355" s="320"/>
      <c r="C355" s="320"/>
      <c r="D355" s="320"/>
    </row>
    <row r="356">
      <c r="A356" s="100"/>
      <c r="B356" s="320"/>
      <c r="C356" s="320"/>
      <c r="D356" s="320"/>
    </row>
    <row r="357">
      <c r="A357" s="100"/>
      <c r="B357" s="320"/>
      <c r="C357" s="320"/>
      <c r="D357" s="320"/>
    </row>
    <row r="358">
      <c r="A358" s="100"/>
      <c r="B358" s="320"/>
      <c r="C358" s="320"/>
      <c r="D358" s="320"/>
    </row>
    <row r="359">
      <c r="A359" s="100"/>
      <c r="B359" s="320"/>
      <c r="C359" s="320"/>
      <c r="D359" s="320"/>
    </row>
    <row r="360">
      <c r="A360" s="100"/>
      <c r="B360" s="320"/>
      <c r="C360" s="320"/>
      <c r="D360" s="320"/>
    </row>
    <row r="361">
      <c r="A361" s="100"/>
      <c r="B361" s="320"/>
      <c r="C361" s="320"/>
      <c r="D361" s="320"/>
    </row>
    <row r="362">
      <c r="A362" s="100"/>
      <c r="B362" s="320"/>
      <c r="C362" s="320"/>
      <c r="D362" s="320"/>
    </row>
    <row r="363">
      <c r="A363" s="100"/>
      <c r="B363" s="320"/>
      <c r="C363" s="320"/>
      <c r="D363" s="320"/>
    </row>
    <row r="364">
      <c r="A364" s="100"/>
      <c r="B364" s="320"/>
      <c r="C364" s="320"/>
      <c r="D364" s="320"/>
    </row>
    <row r="365">
      <c r="A365" s="100"/>
      <c r="B365" s="320"/>
      <c r="C365" s="320"/>
      <c r="D365" s="320"/>
    </row>
    <row r="366">
      <c r="A366" s="100"/>
      <c r="B366" s="320"/>
      <c r="C366" s="320"/>
      <c r="D366" s="320"/>
    </row>
    <row r="367">
      <c r="A367" s="100"/>
      <c r="B367" s="320"/>
      <c r="C367" s="320"/>
      <c r="D367" s="320"/>
    </row>
    <row r="368">
      <c r="A368" s="100"/>
      <c r="B368" s="320"/>
      <c r="C368" s="320"/>
      <c r="D368" s="320"/>
    </row>
    <row r="369">
      <c r="A369" s="100"/>
      <c r="B369" s="320"/>
      <c r="C369" s="320"/>
      <c r="D369" s="320"/>
    </row>
    <row r="370">
      <c r="A370" s="100"/>
      <c r="B370" s="320"/>
      <c r="C370" s="320"/>
      <c r="D370" s="320"/>
    </row>
    <row r="371">
      <c r="A371" s="100"/>
      <c r="B371" s="320"/>
      <c r="C371" s="320"/>
      <c r="D371" s="320"/>
    </row>
    <row r="372">
      <c r="A372" s="100"/>
      <c r="B372" s="320"/>
      <c r="C372" s="320"/>
      <c r="D372" s="320"/>
    </row>
    <row r="373">
      <c r="A373" s="100"/>
      <c r="B373" s="320"/>
      <c r="C373" s="320"/>
      <c r="D373" s="320"/>
    </row>
    <row r="374">
      <c r="A374" s="100"/>
      <c r="B374" s="320"/>
      <c r="C374" s="320"/>
      <c r="D374" s="320"/>
    </row>
    <row r="375">
      <c r="A375" s="100"/>
      <c r="B375" s="320"/>
      <c r="C375" s="320"/>
      <c r="D375" s="320"/>
    </row>
    <row r="376">
      <c r="A376" s="100"/>
      <c r="B376" s="320"/>
      <c r="C376" s="320"/>
      <c r="D376" s="320"/>
    </row>
    <row r="377">
      <c r="A377" s="100"/>
      <c r="B377" s="320"/>
      <c r="C377" s="320"/>
      <c r="D377" s="320"/>
    </row>
    <row r="378">
      <c r="A378" s="100"/>
      <c r="B378" s="320"/>
      <c r="C378" s="320"/>
      <c r="D378" s="320"/>
    </row>
    <row r="379">
      <c r="A379" s="100"/>
      <c r="B379" s="320"/>
      <c r="C379" s="320"/>
      <c r="D379" s="320"/>
    </row>
    <row r="380">
      <c r="A380" s="100"/>
      <c r="B380" s="320"/>
      <c r="C380" s="320"/>
      <c r="D380" s="320"/>
    </row>
    <row r="381">
      <c r="A381" s="100"/>
      <c r="B381" s="320"/>
      <c r="C381" s="320"/>
      <c r="D381" s="320"/>
    </row>
    <row r="382">
      <c r="A382" s="100"/>
      <c r="B382" s="320"/>
      <c r="C382" s="320"/>
      <c r="D382" s="320"/>
    </row>
    <row r="383">
      <c r="A383" s="100"/>
      <c r="B383" s="320"/>
      <c r="C383" s="320"/>
      <c r="D383" s="320"/>
    </row>
    <row r="384">
      <c r="A384" s="100"/>
      <c r="B384" s="320"/>
      <c r="C384" s="320"/>
      <c r="D384" s="320"/>
    </row>
    <row r="385">
      <c r="A385" s="100"/>
      <c r="B385" s="320"/>
      <c r="C385" s="320"/>
      <c r="D385" s="320"/>
    </row>
    <row r="386">
      <c r="A386" s="100"/>
      <c r="B386" s="320"/>
      <c r="C386" s="320"/>
      <c r="D386" s="320"/>
    </row>
    <row r="387">
      <c r="A387" s="100"/>
      <c r="B387" s="320"/>
      <c r="C387" s="320"/>
      <c r="D387" s="320"/>
    </row>
    <row r="388">
      <c r="A388" s="100"/>
      <c r="B388" s="320"/>
      <c r="C388" s="320"/>
      <c r="D388" s="320"/>
    </row>
    <row r="389">
      <c r="A389" s="100"/>
      <c r="B389" s="320"/>
      <c r="C389" s="320"/>
      <c r="D389" s="320"/>
    </row>
    <row r="390">
      <c r="A390" s="100"/>
      <c r="B390" s="320"/>
      <c r="C390" s="320"/>
      <c r="D390" s="320"/>
    </row>
    <row r="391">
      <c r="A391" s="100"/>
      <c r="B391" s="320"/>
      <c r="C391" s="320"/>
      <c r="D391" s="320"/>
    </row>
    <row r="392">
      <c r="A392" s="100"/>
      <c r="B392" s="320"/>
      <c r="C392" s="320"/>
      <c r="D392" s="320"/>
    </row>
    <row r="393">
      <c r="A393" s="100"/>
      <c r="B393" s="320"/>
      <c r="C393" s="320"/>
      <c r="D393" s="320"/>
    </row>
    <row r="394">
      <c r="A394" s="100"/>
      <c r="B394" s="320"/>
      <c r="C394" s="320"/>
      <c r="D394" s="320"/>
    </row>
    <row r="395">
      <c r="A395" s="100"/>
      <c r="B395" s="320"/>
      <c r="C395" s="320"/>
      <c r="D395" s="320"/>
    </row>
    <row r="396">
      <c r="A396" s="100"/>
      <c r="B396" s="320"/>
      <c r="C396" s="320"/>
      <c r="D396" s="320"/>
    </row>
    <row r="397">
      <c r="A397" s="100"/>
      <c r="B397" s="320"/>
      <c r="C397" s="320"/>
      <c r="D397" s="320"/>
    </row>
    <row r="398">
      <c r="A398" s="100"/>
      <c r="B398" s="320"/>
      <c r="C398" s="320"/>
      <c r="D398" s="320"/>
    </row>
    <row r="399">
      <c r="A399" s="100"/>
      <c r="B399" s="320"/>
      <c r="C399" s="320"/>
      <c r="D399" s="320"/>
    </row>
    <row r="400">
      <c r="A400" s="100"/>
      <c r="B400" s="320"/>
      <c r="C400" s="320"/>
      <c r="D400" s="320"/>
    </row>
    <row r="401">
      <c r="A401" s="100"/>
      <c r="B401" s="320"/>
      <c r="C401" s="320"/>
      <c r="D401" s="320"/>
    </row>
    <row r="402">
      <c r="A402" s="100"/>
      <c r="B402" s="320"/>
      <c r="C402" s="320"/>
      <c r="D402" s="320"/>
    </row>
    <row r="403">
      <c r="A403" s="100"/>
      <c r="B403" s="320"/>
      <c r="C403" s="320"/>
      <c r="D403" s="320"/>
    </row>
    <row r="404">
      <c r="A404" s="100"/>
      <c r="B404" s="320"/>
      <c r="C404" s="320"/>
      <c r="D404" s="320"/>
    </row>
    <row r="405">
      <c r="A405" s="100"/>
      <c r="B405" s="320"/>
      <c r="C405" s="320"/>
      <c r="D405" s="320"/>
    </row>
    <row r="406">
      <c r="A406" s="100"/>
      <c r="B406" s="320"/>
      <c r="C406" s="320"/>
      <c r="D406" s="320"/>
    </row>
    <row r="407">
      <c r="A407" s="100"/>
      <c r="B407" s="320"/>
      <c r="C407" s="320"/>
      <c r="D407" s="320"/>
    </row>
    <row r="408">
      <c r="A408" s="100"/>
      <c r="B408" s="320"/>
      <c r="C408" s="320"/>
      <c r="D408" s="320"/>
    </row>
    <row r="409">
      <c r="A409" s="100"/>
      <c r="B409" s="320"/>
      <c r="C409" s="320"/>
      <c r="D409" s="320"/>
    </row>
    <row r="410">
      <c r="A410" s="100"/>
      <c r="B410" s="320"/>
      <c r="C410" s="320"/>
      <c r="D410" s="320"/>
    </row>
    <row r="411">
      <c r="A411" s="100"/>
      <c r="B411" s="320"/>
      <c r="C411" s="320"/>
      <c r="D411" s="320"/>
    </row>
    <row r="412">
      <c r="A412" s="100"/>
      <c r="B412" s="320"/>
      <c r="C412" s="320"/>
      <c r="D412" s="320"/>
    </row>
    <row r="413">
      <c r="A413" s="100"/>
      <c r="B413" s="320"/>
      <c r="C413" s="320"/>
      <c r="D413" s="320"/>
    </row>
    <row r="414">
      <c r="A414" s="100"/>
      <c r="B414" s="320"/>
      <c r="C414" s="320"/>
      <c r="D414" s="320"/>
    </row>
    <row r="415">
      <c r="A415" s="100"/>
      <c r="B415" s="320"/>
      <c r="C415" s="320"/>
      <c r="D415" s="320"/>
    </row>
    <row r="416">
      <c r="A416" s="100"/>
      <c r="B416" s="320"/>
      <c r="C416" s="320"/>
      <c r="D416" s="320"/>
    </row>
    <row r="417">
      <c r="A417" s="100"/>
      <c r="B417" s="320"/>
      <c r="C417" s="320"/>
      <c r="D417" s="320"/>
    </row>
    <row r="418">
      <c r="A418" s="100"/>
      <c r="B418" s="320"/>
      <c r="C418" s="320"/>
      <c r="D418" s="320"/>
    </row>
    <row r="419">
      <c r="A419" s="100"/>
      <c r="B419" s="320"/>
      <c r="C419" s="320"/>
      <c r="D419" s="320"/>
    </row>
    <row r="420">
      <c r="A420" s="100"/>
      <c r="B420" s="320"/>
      <c r="C420" s="320"/>
      <c r="D420" s="320"/>
    </row>
    <row r="421">
      <c r="A421" s="100"/>
      <c r="B421" s="320"/>
      <c r="C421" s="320"/>
      <c r="D421" s="320"/>
    </row>
    <row r="422">
      <c r="A422" s="100"/>
      <c r="B422" s="320"/>
      <c r="C422" s="320"/>
      <c r="D422" s="320"/>
    </row>
    <row r="423">
      <c r="A423" s="100"/>
      <c r="B423" s="320"/>
      <c r="C423" s="320"/>
      <c r="D423" s="320"/>
    </row>
    <row r="424">
      <c r="A424" s="100"/>
      <c r="B424" s="320"/>
      <c r="C424" s="320"/>
      <c r="D424" s="320"/>
    </row>
    <row r="425">
      <c r="A425" s="100"/>
      <c r="B425" s="320"/>
      <c r="C425" s="320"/>
      <c r="D425" s="320"/>
    </row>
    <row r="426">
      <c r="A426" s="100"/>
      <c r="B426" s="320"/>
      <c r="C426" s="320"/>
      <c r="D426" s="320"/>
    </row>
    <row r="427">
      <c r="A427" s="100"/>
      <c r="B427" s="320"/>
      <c r="C427" s="320"/>
      <c r="D427" s="320"/>
    </row>
    <row r="428">
      <c r="A428" s="100"/>
      <c r="B428" s="320"/>
      <c r="C428" s="320"/>
      <c r="D428" s="320"/>
    </row>
    <row r="429">
      <c r="A429" s="100"/>
      <c r="B429" s="320"/>
      <c r="C429" s="320"/>
      <c r="D429" s="320"/>
    </row>
    <row r="430">
      <c r="A430" s="100"/>
      <c r="B430" s="320"/>
      <c r="C430" s="320"/>
      <c r="D430" s="320"/>
    </row>
    <row r="431">
      <c r="A431" s="100"/>
      <c r="B431" s="320"/>
      <c r="C431" s="320"/>
      <c r="D431" s="320"/>
    </row>
    <row r="432">
      <c r="A432" s="100"/>
      <c r="B432" s="320"/>
      <c r="C432" s="320"/>
      <c r="D432" s="320"/>
    </row>
    <row r="433">
      <c r="A433" s="100"/>
      <c r="B433" s="320"/>
      <c r="C433" s="320"/>
      <c r="D433" s="320"/>
    </row>
    <row r="434">
      <c r="A434" s="100"/>
      <c r="B434" s="320"/>
      <c r="C434" s="320"/>
      <c r="D434" s="320"/>
    </row>
    <row r="435">
      <c r="A435" s="100"/>
      <c r="B435" s="320"/>
      <c r="C435" s="320"/>
      <c r="D435" s="320"/>
    </row>
    <row r="436">
      <c r="A436" s="100"/>
      <c r="B436" s="320"/>
      <c r="C436" s="320"/>
      <c r="D436" s="320"/>
    </row>
    <row r="437">
      <c r="A437" s="100"/>
      <c r="B437" s="320"/>
      <c r="C437" s="320"/>
      <c r="D437" s="320"/>
    </row>
    <row r="438">
      <c r="A438" s="100"/>
      <c r="B438" s="320"/>
      <c r="C438" s="320"/>
      <c r="D438" s="320"/>
    </row>
    <row r="439">
      <c r="A439" s="100"/>
      <c r="B439" s="320"/>
      <c r="C439" s="320"/>
      <c r="D439" s="320"/>
    </row>
    <row r="440">
      <c r="A440" s="100"/>
      <c r="B440" s="320"/>
      <c r="C440" s="320"/>
      <c r="D440" s="320"/>
    </row>
    <row r="441">
      <c r="A441" s="100"/>
      <c r="B441" s="320"/>
      <c r="C441" s="320"/>
      <c r="D441" s="320"/>
    </row>
    <row r="442">
      <c r="A442" s="100"/>
      <c r="B442" s="320"/>
      <c r="C442" s="320"/>
      <c r="D442" s="320"/>
    </row>
    <row r="443">
      <c r="A443" s="100"/>
      <c r="B443" s="320"/>
      <c r="C443" s="320"/>
      <c r="D443" s="320"/>
    </row>
    <row r="444">
      <c r="A444" s="100"/>
      <c r="B444" s="320"/>
      <c r="C444" s="320"/>
      <c r="D444" s="320"/>
    </row>
    <row r="445">
      <c r="A445" s="100"/>
      <c r="B445" s="320"/>
      <c r="C445" s="320"/>
      <c r="D445" s="320"/>
    </row>
    <row r="446">
      <c r="A446" s="100"/>
      <c r="B446" s="320"/>
      <c r="C446" s="320"/>
      <c r="D446" s="320"/>
    </row>
    <row r="447">
      <c r="A447" s="100"/>
      <c r="B447" s="320"/>
      <c r="C447" s="320"/>
      <c r="D447" s="320"/>
    </row>
    <row r="448">
      <c r="A448" s="100"/>
      <c r="B448" s="320"/>
      <c r="C448" s="320"/>
      <c r="D448" s="320"/>
    </row>
    <row r="449">
      <c r="A449" s="100"/>
      <c r="B449" s="320"/>
      <c r="C449" s="320"/>
      <c r="D449" s="320"/>
    </row>
    <row r="450">
      <c r="A450" s="100"/>
      <c r="B450" s="320"/>
      <c r="C450" s="320"/>
      <c r="D450" s="320"/>
    </row>
    <row r="451">
      <c r="A451" s="100"/>
      <c r="B451" s="320"/>
      <c r="C451" s="320"/>
      <c r="D451" s="320"/>
    </row>
    <row r="452">
      <c r="A452" s="100"/>
      <c r="B452" s="320"/>
      <c r="C452" s="320"/>
      <c r="D452" s="320"/>
    </row>
    <row r="453">
      <c r="A453" s="100"/>
      <c r="B453" s="320"/>
      <c r="C453" s="320"/>
      <c r="D453" s="320"/>
    </row>
    <row r="454">
      <c r="A454" s="100"/>
      <c r="B454" s="320"/>
      <c r="C454" s="320"/>
      <c r="D454" s="320"/>
    </row>
    <row r="455">
      <c r="A455" s="100"/>
      <c r="B455" s="320"/>
      <c r="C455" s="320"/>
      <c r="D455" s="320"/>
    </row>
    <row r="456">
      <c r="A456" s="100"/>
      <c r="B456" s="320"/>
      <c r="C456" s="320"/>
      <c r="D456" s="320"/>
    </row>
    <row r="457">
      <c r="A457" s="100"/>
      <c r="B457" s="320"/>
      <c r="C457" s="320"/>
      <c r="D457" s="320"/>
    </row>
    <row r="458">
      <c r="A458" s="100"/>
      <c r="B458" s="320"/>
      <c r="C458" s="320"/>
      <c r="D458" s="320"/>
    </row>
    <row r="459">
      <c r="A459" s="100"/>
      <c r="B459" s="320"/>
      <c r="C459" s="320"/>
      <c r="D459" s="320"/>
    </row>
    <row r="460">
      <c r="A460" s="100"/>
      <c r="B460" s="320"/>
      <c r="C460" s="320"/>
      <c r="D460" s="320"/>
    </row>
    <row r="461">
      <c r="A461" s="100"/>
      <c r="B461" s="320"/>
      <c r="C461" s="320"/>
      <c r="D461" s="320"/>
    </row>
    <row r="462">
      <c r="A462" s="100"/>
      <c r="B462" s="320"/>
      <c r="C462" s="320"/>
      <c r="D462" s="320"/>
    </row>
    <row r="463">
      <c r="A463" s="100"/>
      <c r="B463" s="320"/>
      <c r="C463" s="320"/>
      <c r="D463" s="320"/>
    </row>
    <row r="464">
      <c r="A464" s="100"/>
      <c r="B464" s="320"/>
      <c r="C464" s="320"/>
      <c r="D464" s="320"/>
    </row>
    <row r="465">
      <c r="A465" s="100"/>
      <c r="B465" s="320"/>
      <c r="C465" s="320"/>
      <c r="D465" s="320"/>
    </row>
    <row r="466">
      <c r="A466" s="100"/>
      <c r="B466" s="320"/>
      <c r="C466" s="320"/>
      <c r="D466" s="320"/>
    </row>
    <row r="467">
      <c r="A467" s="100"/>
      <c r="B467" s="320"/>
      <c r="C467" s="320"/>
      <c r="D467" s="320"/>
    </row>
    <row r="468">
      <c r="A468" s="100"/>
      <c r="B468" s="320"/>
      <c r="C468" s="320"/>
      <c r="D468" s="320"/>
    </row>
    <row r="469">
      <c r="A469" s="100"/>
      <c r="B469" s="320"/>
      <c r="C469" s="320"/>
      <c r="D469" s="320"/>
    </row>
    <row r="470">
      <c r="A470" s="100"/>
      <c r="B470" s="320"/>
      <c r="C470" s="320"/>
      <c r="D470" s="320"/>
    </row>
    <row r="471">
      <c r="A471" s="100"/>
      <c r="B471" s="320"/>
      <c r="C471" s="320"/>
      <c r="D471" s="320"/>
    </row>
    <row r="472">
      <c r="A472" s="100"/>
      <c r="B472" s="320"/>
      <c r="C472" s="320"/>
      <c r="D472" s="320"/>
    </row>
    <row r="473">
      <c r="A473" s="100"/>
      <c r="B473" s="320"/>
      <c r="C473" s="320"/>
      <c r="D473" s="320"/>
    </row>
    <row r="474">
      <c r="A474" s="100"/>
      <c r="B474" s="320"/>
      <c r="C474" s="320"/>
      <c r="D474" s="320"/>
    </row>
    <row r="475">
      <c r="A475" s="100"/>
      <c r="B475" s="320"/>
      <c r="C475" s="320"/>
      <c r="D475" s="320"/>
    </row>
    <row r="476">
      <c r="A476" s="100"/>
      <c r="B476" s="320"/>
      <c r="C476" s="320"/>
      <c r="D476" s="320"/>
    </row>
    <row r="477">
      <c r="A477" s="100"/>
      <c r="B477" s="320"/>
      <c r="C477" s="320"/>
      <c r="D477" s="320"/>
    </row>
    <row r="478">
      <c r="A478" s="100"/>
      <c r="B478" s="320"/>
      <c r="C478" s="320"/>
      <c r="D478" s="320"/>
    </row>
    <row r="479">
      <c r="A479" s="100"/>
      <c r="B479" s="320"/>
      <c r="C479" s="320"/>
      <c r="D479" s="320"/>
    </row>
    <row r="480">
      <c r="A480" s="100"/>
      <c r="B480" s="320"/>
      <c r="C480" s="320"/>
      <c r="D480" s="320"/>
    </row>
    <row r="481">
      <c r="A481" s="100"/>
      <c r="B481" s="320"/>
      <c r="C481" s="320"/>
      <c r="D481" s="320"/>
    </row>
    <row r="482">
      <c r="A482" s="100"/>
      <c r="B482" s="320"/>
      <c r="C482" s="320"/>
      <c r="D482" s="320"/>
    </row>
    <row r="483">
      <c r="A483" s="100"/>
      <c r="B483" s="320"/>
      <c r="C483" s="320"/>
      <c r="D483" s="320"/>
    </row>
    <row r="484">
      <c r="A484" s="100"/>
      <c r="B484" s="320"/>
      <c r="C484" s="320"/>
      <c r="D484" s="320"/>
    </row>
    <row r="485">
      <c r="A485" s="100"/>
      <c r="B485" s="320"/>
      <c r="C485" s="320"/>
      <c r="D485" s="320"/>
    </row>
    <row r="486">
      <c r="A486" s="100"/>
      <c r="B486" s="320"/>
      <c r="C486" s="320"/>
      <c r="D486" s="320"/>
    </row>
    <row r="487">
      <c r="A487" s="100"/>
      <c r="B487" s="320"/>
      <c r="C487" s="320"/>
      <c r="D487" s="320"/>
    </row>
    <row r="488">
      <c r="A488" s="100"/>
      <c r="B488" s="320"/>
      <c r="C488" s="320"/>
      <c r="D488" s="320"/>
    </row>
    <row r="489">
      <c r="A489" s="100"/>
      <c r="B489" s="320"/>
      <c r="C489" s="320"/>
      <c r="D489" s="320"/>
    </row>
    <row r="490">
      <c r="A490" s="100"/>
      <c r="B490" s="320"/>
      <c r="C490" s="320"/>
      <c r="D490" s="320"/>
    </row>
    <row r="491">
      <c r="A491" s="100"/>
      <c r="B491" s="320"/>
      <c r="C491" s="320"/>
      <c r="D491" s="320"/>
    </row>
    <row r="492">
      <c r="A492" s="100"/>
      <c r="B492" s="320"/>
      <c r="C492" s="320"/>
      <c r="D492" s="320"/>
    </row>
    <row r="493">
      <c r="A493" s="100"/>
      <c r="B493" s="320"/>
      <c r="C493" s="320"/>
      <c r="D493" s="320"/>
    </row>
    <row r="494">
      <c r="A494" s="100"/>
      <c r="B494" s="320"/>
      <c r="C494" s="320"/>
      <c r="D494" s="320"/>
    </row>
    <row r="495">
      <c r="A495" s="100"/>
      <c r="B495" s="320"/>
      <c r="C495" s="320"/>
      <c r="D495" s="320"/>
    </row>
    <row r="496">
      <c r="A496" s="100"/>
      <c r="B496" s="320"/>
      <c r="C496" s="320"/>
      <c r="D496" s="320"/>
    </row>
    <row r="497">
      <c r="A497" s="100"/>
      <c r="B497" s="320"/>
      <c r="C497" s="320"/>
      <c r="D497" s="320"/>
    </row>
    <row r="498">
      <c r="A498" s="100"/>
      <c r="B498" s="320"/>
      <c r="C498" s="320"/>
      <c r="D498" s="320"/>
    </row>
    <row r="499">
      <c r="A499" s="100"/>
      <c r="B499" s="320"/>
      <c r="C499" s="320"/>
      <c r="D499" s="320"/>
    </row>
    <row r="500">
      <c r="A500" s="100"/>
      <c r="B500" s="320"/>
      <c r="C500" s="320"/>
      <c r="D500" s="320"/>
    </row>
    <row r="501">
      <c r="A501" s="100"/>
      <c r="B501" s="320"/>
      <c r="C501" s="320"/>
      <c r="D501" s="320"/>
    </row>
    <row r="502">
      <c r="A502" s="100"/>
      <c r="B502" s="320"/>
      <c r="C502" s="320"/>
      <c r="D502" s="320"/>
    </row>
    <row r="503">
      <c r="A503" s="100"/>
      <c r="B503" s="320"/>
      <c r="C503" s="320"/>
      <c r="D503" s="320"/>
    </row>
    <row r="504">
      <c r="A504" s="100"/>
      <c r="B504" s="320"/>
      <c r="C504" s="320"/>
      <c r="D504" s="320"/>
    </row>
    <row r="505">
      <c r="A505" s="100"/>
      <c r="B505" s="320"/>
      <c r="C505" s="320"/>
      <c r="D505" s="320"/>
    </row>
    <row r="506">
      <c r="A506" s="100"/>
      <c r="B506" s="320"/>
      <c r="C506" s="320"/>
      <c r="D506" s="320"/>
    </row>
    <row r="507">
      <c r="A507" s="100"/>
      <c r="B507" s="320"/>
      <c r="C507" s="320"/>
      <c r="D507" s="320"/>
    </row>
    <row r="508">
      <c r="A508" s="100"/>
      <c r="B508" s="320"/>
      <c r="C508" s="320"/>
      <c r="D508" s="320"/>
    </row>
    <row r="509">
      <c r="A509" s="100"/>
      <c r="B509" s="320"/>
      <c r="C509" s="320"/>
      <c r="D509" s="320"/>
    </row>
    <row r="510">
      <c r="A510" s="100"/>
      <c r="B510" s="320"/>
      <c r="C510" s="320"/>
      <c r="D510" s="320"/>
    </row>
    <row r="511">
      <c r="A511" s="100"/>
      <c r="B511" s="320"/>
      <c r="C511" s="320"/>
      <c r="D511" s="320"/>
    </row>
    <row r="512">
      <c r="A512" s="100"/>
      <c r="B512" s="320"/>
      <c r="C512" s="320"/>
      <c r="D512" s="320"/>
    </row>
    <row r="513">
      <c r="A513" s="100"/>
      <c r="B513" s="320"/>
      <c r="C513" s="320"/>
      <c r="D513" s="320"/>
    </row>
    <row r="514">
      <c r="A514" s="100"/>
      <c r="B514" s="320"/>
      <c r="C514" s="320"/>
      <c r="D514" s="320"/>
    </row>
    <row r="515">
      <c r="A515" s="100"/>
      <c r="B515" s="320"/>
      <c r="C515" s="320"/>
      <c r="D515" s="320"/>
    </row>
    <row r="516">
      <c r="A516" s="100"/>
      <c r="B516" s="320"/>
      <c r="C516" s="320"/>
      <c r="D516" s="320"/>
    </row>
    <row r="517">
      <c r="A517" s="100"/>
      <c r="B517" s="320"/>
      <c r="C517" s="320"/>
      <c r="D517" s="320"/>
    </row>
    <row r="518">
      <c r="A518" s="100"/>
      <c r="B518" s="320"/>
      <c r="C518" s="320"/>
      <c r="D518" s="320"/>
    </row>
    <row r="519">
      <c r="A519" s="100"/>
      <c r="B519" s="320"/>
      <c r="C519" s="320"/>
      <c r="D519" s="320"/>
    </row>
    <row r="520">
      <c r="A520" s="100"/>
      <c r="B520" s="320"/>
      <c r="C520" s="320"/>
      <c r="D520" s="320"/>
    </row>
    <row r="521">
      <c r="A521" s="100"/>
      <c r="B521" s="320"/>
      <c r="C521" s="320"/>
      <c r="D521" s="320"/>
    </row>
    <row r="522">
      <c r="A522" s="100"/>
      <c r="B522" s="320"/>
      <c r="C522" s="320"/>
      <c r="D522" s="320"/>
    </row>
    <row r="523">
      <c r="A523" s="100"/>
      <c r="B523" s="320"/>
      <c r="C523" s="320"/>
      <c r="D523" s="320"/>
    </row>
    <row r="524">
      <c r="A524" s="100"/>
      <c r="B524" s="320"/>
      <c r="C524" s="320"/>
      <c r="D524" s="320"/>
    </row>
    <row r="525">
      <c r="A525" s="100"/>
      <c r="B525" s="320"/>
      <c r="C525" s="320"/>
      <c r="D525" s="320"/>
    </row>
    <row r="526">
      <c r="A526" s="100"/>
      <c r="B526" s="320"/>
      <c r="C526" s="320"/>
      <c r="D526" s="320"/>
    </row>
    <row r="527">
      <c r="A527" s="100"/>
      <c r="B527" s="320"/>
      <c r="C527" s="320"/>
      <c r="D527" s="320"/>
    </row>
    <row r="528">
      <c r="A528" s="100"/>
      <c r="B528" s="320"/>
      <c r="C528" s="320"/>
      <c r="D528" s="320"/>
    </row>
    <row r="529">
      <c r="A529" s="100"/>
      <c r="B529" s="320"/>
      <c r="C529" s="320"/>
      <c r="D529" s="320"/>
    </row>
    <row r="530">
      <c r="A530" s="100"/>
      <c r="B530" s="320"/>
      <c r="C530" s="320"/>
      <c r="D530" s="320"/>
    </row>
    <row r="531">
      <c r="A531" s="100"/>
      <c r="B531" s="320"/>
      <c r="C531" s="320"/>
      <c r="D531" s="320"/>
    </row>
    <row r="532">
      <c r="A532" s="100"/>
      <c r="B532" s="320"/>
      <c r="C532" s="320"/>
      <c r="D532" s="320"/>
    </row>
    <row r="533">
      <c r="A533" s="100"/>
      <c r="B533" s="320"/>
      <c r="C533" s="320"/>
      <c r="D533" s="320"/>
    </row>
    <row r="534">
      <c r="A534" s="100"/>
      <c r="B534" s="320"/>
      <c r="C534" s="320"/>
      <c r="D534" s="320"/>
    </row>
    <row r="535">
      <c r="A535" s="100"/>
      <c r="B535" s="320"/>
      <c r="C535" s="320"/>
      <c r="D535" s="320"/>
    </row>
    <row r="536">
      <c r="A536" s="100"/>
      <c r="B536" s="320"/>
      <c r="C536" s="320"/>
      <c r="D536" s="320"/>
    </row>
    <row r="537">
      <c r="A537" s="100"/>
      <c r="B537" s="320"/>
      <c r="C537" s="320"/>
      <c r="D537" s="320"/>
    </row>
    <row r="538">
      <c r="A538" s="100"/>
      <c r="B538" s="320"/>
      <c r="C538" s="320"/>
      <c r="D538" s="320"/>
    </row>
    <row r="539">
      <c r="A539" s="100"/>
      <c r="B539" s="320"/>
      <c r="C539" s="320"/>
      <c r="D539" s="320"/>
    </row>
    <row r="540">
      <c r="A540" s="100"/>
      <c r="B540" s="320"/>
      <c r="C540" s="320"/>
      <c r="D540" s="320"/>
    </row>
    <row r="541">
      <c r="A541" s="100"/>
      <c r="B541" s="320"/>
      <c r="C541" s="320"/>
      <c r="D541" s="320"/>
    </row>
    <row r="542">
      <c r="A542" s="100"/>
      <c r="B542" s="320"/>
      <c r="C542" s="320"/>
      <c r="D542" s="320"/>
    </row>
    <row r="543">
      <c r="A543" s="100"/>
      <c r="B543" s="320"/>
      <c r="C543" s="320"/>
      <c r="D543" s="320"/>
    </row>
    <row r="544">
      <c r="A544" s="100"/>
      <c r="B544" s="320"/>
      <c r="C544" s="320"/>
      <c r="D544" s="320"/>
    </row>
    <row r="545">
      <c r="A545" s="100"/>
      <c r="B545" s="320"/>
      <c r="C545" s="320"/>
      <c r="D545" s="320"/>
    </row>
    <row r="546">
      <c r="A546" s="100"/>
      <c r="B546" s="320"/>
      <c r="C546" s="320"/>
      <c r="D546" s="320"/>
    </row>
    <row r="547">
      <c r="A547" s="100"/>
      <c r="B547" s="320"/>
      <c r="C547" s="320"/>
      <c r="D547" s="320"/>
    </row>
    <row r="548">
      <c r="A548" s="100"/>
      <c r="B548" s="320"/>
      <c r="C548" s="320"/>
      <c r="D548" s="320"/>
    </row>
    <row r="549">
      <c r="A549" s="100"/>
      <c r="B549" s="320"/>
      <c r="C549" s="320"/>
      <c r="D549" s="320"/>
    </row>
    <row r="550">
      <c r="A550" s="100"/>
      <c r="B550" s="320"/>
      <c r="C550" s="320"/>
      <c r="D550" s="320"/>
    </row>
    <row r="551">
      <c r="A551" s="100"/>
      <c r="B551" s="320"/>
      <c r="C551" s="320"/>
      <c r="D551" s="320"/>
    </row>
    <row r="552">
      <c r="A552" s="100"/>
      <c r="B552" s="320"/>
      <c r="C552" s="320"/>
      <c r="D552" s="320"/>
    </row>
    <row r="553">
      <c r="A553" s="100"/>
      <c r="B553" s="320"/>
      <c r="C553" s="320"/>
      <c r="D553" s="320"/>
    </row>
    <row r="554">
      <c r="A554" s="100"/>
      <c r="B554" s="320"/>
      <c r="C554" s="320"/>
      <c r="D554" s="320"/>
    </row>
    <row r="555">
      <c r="A555" s="100"/>
      <c r="B555" s="320"/>
      <c r="C555" s="320"/>
      <c r="D555" s="320"/>
    </row>
    <row r="556">
      <c r="A556" s="100"/>
      <c r="B556" s="320"/>
      <c r="C556" s="320"/>
      <c r="D556" s="320"/>
    </row>
    <row r="557">
      <c r="A557" s="100"/>
      <c r="B557" s="320"/>
      <c r="C557" s="320"/>
      <c r="D557" s="320"/>
    </row>
    <row r="558">
      <c r="A558" s="100"/>
      <c r="B558" s="320"/>
      <c r="C558" s="320"/>
      <c r="D558" s="320"/>
    </row>
    <row r="559">
      <c r="A559" s="100"/>
      <c r="B559" s="320"/>
      <c r="C559" s="320"/>
      <c r="D559" s="320"/>
    </row>
    <row r="560">
      <c r="A560" s="100"/>
      <c r="B560" s="320"/>
      <c r="C560" s="320"/>
      <c r="D560" s="320"/>
    </row>
    <row r="561">
      <c r="A561" s="100"/>
      <c r="B561" s="320"/>
      <c r="C561" s="320"/>
      <c r="D561" s="320"/>
    </row>
    <row r="562">
      <c r="A562" s="100"/>
      <c r="B562" s="320"/>
      <c r="C562" s="320"/>
      <c r="D562" s="320"/>
    </row>
    <row r="563">
      <c r="A563" s="100"/>
      <c r="B563" s="320"/>
      <c r="C563" s="320"/>
      <c r="D563" s="320"/>
    </row>
    <row r="564">
      <c r="A564" s="100"/>
      <c r="B564" s="320"/>
      <c r="C564" s="320"/>
      <c r="D564" s="320"/>
    </row>
    <row r="565">
      <c r="A565" s="100"/>
      <c r="B565" s="320"/>
      <c r="C565" s="320"/>
      <c r="D565" s="320"/>
    </row>
    <row r="566">
      <c r="A566" s="100"/>
      <c r="B566" s="320"/>
      <c r="C566" s="320"/>
      <c r="D566" s="320"/>
    </row>
    <row r="567">
      <c r="A567" s="100"/>
      <c r="B567" s="320"/>
      <c r="C567" s="320"/>
      <c r="D567" s="320"/>
    </row>
    <row r="568">
      <c r="A568" s="100"/>
      <c r="B568" s="320"/>
      <c r="C568" s="320"/>
      <c r="D568" s="320"/>
    </row>
    <row r="569">
      <c r="A569" s="100"/>
      <c r="B569" s="320"/>
      <c r="C569" s="320"/>
      <c r="D569" s="320"/>
    </row>
    <row r="570">
      <c r="A570" s="100"/>
      <c r="B570" s="320"/>
      <c r="C570" s="320"/>
      <c r="D570" s="320"/>
    </row>
    <row r="571">
      <c r="A571" s="100"/>
      <c r="B571" s="320"/>
      <c r="C571" s="320"/>
      <c r="D571" s="320"/>
    </row>
    <row r="572">
      <c r="A572" s="100"/>
      <c r="B572" s="320"/>
      <c r="C572" s="320"/>
      <c r="D572" s="320"/>
    </row>
    <row r="573">
      <c r="A573" s="100"/>
      <c r="B573" s="320"/>
      <c r="C573" s="320"/>
      <c r="D573" s="320"/>
    </row>
    <row r="574">
      <c r="A574" s="100"/>
      <c r="B574" s="320"/>
      <c r="C574" s="320"/>
      <c r="D574" s="320"/>
    </row>
    <row r="575">
      <c r="A575" s="100"/>
      <c r="B575" s="320"/>
      <c r="C575" s="320"/>
      <c r="D575" s="320"/>
    </row>
    <row r="576">
      <c r="A576" s="100"/>
      <c r="B576" s="320"/>
      <c r="C576" s="320"/>
      <c r="D576" s="320"/>
    </row>
    <row r="577">
      <c r="A577" s="100"/>
      <c r="B577" s="320"/>
      <c r="C577" s="320"/>
      <c r="D577" s="320"/>
    </row>
    <row r="578">
      <c r="A578" s="100"/>
      <c r="B578" s="320"/>
      <c r="C578" s="320"/>
      <c r="D578" s="320"/>
    </row>
    <row r="579">
      <c r="A579" s="100"/>
      <c r="B579" s="320"/>
      <c r="C579" s="320"/>
      <c r="D579" s="320"/>
    </row>
    <row r="580">
      <c r="A580" s="100"/>
      <c r="B580" s="320"/>
      <c r="C580" s="320"/>
      <c r="D580" s="320"/>
    </row>
    <row r="581">
      <c r="A581" s="100"/>
      <c r="B581" s="320"/>
      <c r="C581" s="320"/>
      <c r="D581" s="320"/>
    </row>
    <row r="582">
      <c r="A582" s="100"/>
      <c r="B582" s="320"/>
      <c r="C582" s="320"/>
      <c r="D582" s="320"/>
    </row>
    <row r="583">
      <c r="A583" s="100"/>
      <c r="B583" s="320"/>
      <c r="C583" s="320"/>
      <c r="D583" s="320"/>
    </row>
    <row r="584">
      <c r="A584" s="100"/>
      <c r="B584" s="320"/>
      <c r="C584" s="320"/>
      <c r="D584" s="320"/>
    </row>
    <row r="585">
      <c r="A585" s="100"/>
      <c r="B585" s="320"/>
      <c r="C585" s="320"/>
      <c r="D585" s="320"/>
    </row>
    <row r="586">
      <c r="A586" s="100"/>
      <c r="B586" s="320"/>
      <c r="C586" s="320"/>
      <c r="D586" s="320"/>
    </row>
    <row r="587">
      <c r="A587" s="100"/>
      <c r="B587" s="320"/>
      <c r="C587" s="320"/>
      <c r="D587" s="320"/>
    </row>
    <row r="588">
      <c r="A588" s="100"/>
      <c r="B588" s="320"/>
      <c r="C588" s="320"/>
      <c r="D588" s="320"/>
    </row>
    <row r="589">
      <c r="A589" s="100"/>
      <c r="B589" s="320"/>
      <c r="C589" s="320"/>
      <c r="D589" s="320"/>
    </row>
    <row r="590">
      <c r="A590" s="100"/>
      <c r="B590" s="320"/>
      <c r="C590" s="320"/>
      <c r="D590" s="320"/>
    </row>
    <row r="591">
      <c r="A591" s="100"/>
      <c r="B591" s="320"/>
      <c r="C591" s="320"/>
      <c r="D591" s="320"/>
    </row>
    <row r="592">
      <c r="A592" s="100"/>
      <c r="B592" s="320"/>
      <c r="C592" s="320"/>
      <c r="D592" s="320"/>
    </row>
    <row r="593">
      <c r="A593" s="100"/>
      <c r="B593" s="320"/>
      <c r="C593" s="320"/>
      <c r="D593" s="320"/>
    </row>
    <row r="594">
      <c r="A594" s="100"/>
      <c r="B594" s="320"/>
      <c r="C594" s="320"/>
      <c r="D594" s="320"/>
    </row>
    <row r="595">
      <c r="A595" s="100"/>
      <c r="B595" s="320"/>
      <c r="C595" s="320"/>
      <c r="D595" s="320"/>
    </row>
    <row r="596">
      <c r="A596" s="100"/>
      <c r="B596" s="320"/>
      <c r="C596" s="320"/>
      <c r="D596" s="320"/>
    </row>
    <row r="597">
      <c r="A597" s="100"/>
      <c r="B597" s="320"/>
      <c r="C597" s="320"/>
      <c r="D597" s="320"/>
    </row>
    <row r="598">
      <c r="A598" s="100"/>
      <c r="B598" s="320"/>
      <c r="C598" s="320"/>
      <c r="D598" s="320"/>
    </row>
    <row r="599">
      <c r="A599" s="100"/>
      <c r="B599" s="320"/>
      <c r="C599" s="320"/>
      <c r="D599" s="320"/>
    </row>
    <row r="600">
      <c r="A600" s="100"/>
      <c r="B600" s="320"/>
      <c r="C600" s="320"/>
      <c r="D600" s="320"/>
    </row>
    <row r="601">
      <c r="A601" s="100"/>
      <c r="B601" s="320"/>
      <c r="C601" s="320"/>
      <c r="D601" s="320"/>
    </row>
    <row r="602">
      <c r="A602" s="100"/>
      <c r="B602" s="320"/>
      <c r="C602" s="320"/>
      <c r="D602" s="320"/>
    </row>
    <row r="603">
      <c r="A603" s="100"/>
      <c r="B603" s="320"/>
      <c r="C603" s="320"/>
      <c r="D603" s="320"/>
    </row>
    <row r="604">
      <c r="A604" s="100"/>
      <c r="B604" s="320"/>
      <c r="C604" s="320"/>
      <c r="D604" s="320"/>
    </row>
    <row r="605">
      <c r="A605" s="100"/>
      <c r="B605" s="320"/>
      <c r="C605" s="320"/>
      <c r="D605" s="320"/>
    </row>
    <row r="606">
      <c r="A606" s="100"/>
      <c r="B606" s="320"/>
      <c r="C606" s="320"/>
      <c r="D606" s="320"/>
    </row>
    <row r="607">
      <c r="A607" s="100"/>
      <c r="B607" s="320"/>
      <c r="C607" s="320"/>
      <c r="D607" s="320"/>
    </row>
    <row r="608">
      <c r="A608" s="100"/>
      <c r="B608" s="320"/>
      <c r="C608" s="320"/>
      <c r="D608" s="320"/>
    </row>
    <row r="609">
      <c r="A609" s="100"/>
      <c r="B609" s="320"/>
      <c r="C609" s="320"/>
      <c r="D609" s="320"/>
    </row>
    <row r="610">
      <c r="A610" s="100"/>
      <c r="B610" s="320"/>
      <c r="C610" s="320"/>
      <c r="D610" s="320"/>
    </row>
    <row r="611">
      <c r="A611" s="100"/>
      <c r="B611" s="320"/>
      <c r="C611" s="320"/>
      <c r="D611" s="320"/>
    </row>
    <row r="612">
      <c r="A612" s="100"/>
      <c r="B612" s="320"/>
      <c r="C612" s="320"/>
      <c r="D612" s="320"/>
    </row>
    <row r="613">
      <c r="A613" s="100"/>
      <c r="B613" s="320"/>
      <c r="C613" s="320"/>
      <c r="D613" s="320"/>
    </row>
    <row r="614">
      <c r="A614" s="100"/>
      <c r="B614" s="320"/>
      <c r="C614" s="320"/>
      <c r="D614" s="320"/>
    </row>
    <row r="615">
      <c r="A615" s="100"/>
      <c r="B615" s="320"/>
      <c r="C615" s="320"/>
      <c r="D615" s="320"/>
    </row>
    <row r="616">
      <c r="A616" s="100"/>
      <c r="B616" s="320"/>
      <c r="C616" s="320"/>
      <c r="D616" s="320"/>
    </row>
    <row r="617">
      <c r="A617" s="100"/>
      <c r="B617" s="320"/>
      <c r="C617" s="320"/>
      <c r="D617" s="320"/>
    </row>
    <row r="618">
      <c r="A618" s="100"/>
      <c r="B618" s="320"/>
      <c r="C618" s="320"/>
      <c r="D618" s="320"/>
    </row>
    <row r="619">
      <c r="A619" s="100"/>
      <c r="B619" s="320"/>
      <c r="C619" s="320"/>
      <c r="D619" s="320"/>
    </row>
    <row r="620">
      <c r="A620" s="100"/>
      <c r="B620" s="320"/>
      <c r="C620" s="320"/>
      <c r="D620" s="320"/>
    </row>
    <row r="621">
      <c r="A621" s="100"/>
      <c r="B621" s="320"/>
      <c r="C621" s="320"/>
      <c r="D621" s="320"/>
    </row>
    <row r="622">
      <c r="A622" s="100"/>
      <c r="B622" s="320"/>
      <c r="C622" s="320"/>
      <c r="D622" s="320"/>
    </row>
    <row r="623">
      <c r="A623" s="100"/>
      <c r="B623" s="320"/>
      <c r="C623" s="320"/>
      <c r="D623" s="320"/>
    </row>
    <row r="624">
      <c r="A624" s="100"/>
      <c r="B624" s="320"/>
      <c r="C624" s="320"/>
      <c r="D624" s="320"/>
    </row>
    <row r="625">
      <c r="A625" s="100"/>
      <c r="B625" s="320"/>
      <c r="C625" s="320"/>
      <c r="D625" s="320"/>
    </row>
    <row r="626">
      <c r="A626" s="100"/>
      <c r="B626" s="320"/>
      <c r="C626" s="320"/>
      <c r="D626" s="320"/>
    </row>
    <row r="627">
      <c r="A627" s="100"/>
      <c r="B627" s="320"/>
      <c r="C627" s="320"/>
      <c r="D627" s="320"/>
    </row>
    <row r="628">
      <c r="A628" s="100"/>
      <c r="B628" s="320"/>
      <c r="C628" s="320"/>
      <c r="D628" s="320"/>
    </row>
    <row r="629">
      <c r="A629" s="100"/>
      <c r="B629" s="320"/>
      <c r="C629" s="320"/>
      <c r="D629" s="320"/>
    </row>
    <row r="630">
      <c r="A630" s="100"/>
      <c r="B630" s="320"/>
      <c r="C630" s="320"/>
      <c r="D630" s="320"/>
    </row>
    <row r="631">
      <c r="A631" s="100"/>
      <c r="B631" s="320"/>
      <c r="C631" s="320"/>
      <c r="D631" s="320"/>
    </row>
    <row r="632">
      <c r="A632" s="100"/>
      <c r="B632" s="320"/>
      <c r="C632" s="320"/>
      <c r="D632" s="320"/>
    </row>
    <row r="633">
      <c r="A633" s="100"/>
      <c r="B633" s="320"/>
      <c r="C633" s="320"/>
      <c r="D633" s="320"/>
    </row>
    <row r="634">
      <c r="A634" s="100"/>
      <c r="B634" s="320"/>
      <c r="C634" s="320"/>
      <c r="D634" s="320"/>
    </row>
    <row r="635">
      <c r="A635" s="100"/>
      <c r="B635" s="320"/>
      <c r="C635" s="320"/>
      <c r="D635" s="320"/>
    </row>
    <row r="636">
      <c r="A636" s="100"/>
      <c r="B636" s="320"/>
      <c r="C636" s="320"/>
      <c r="D636" s="320"/>
    </row>
    <row r="637">
      <c r="A637" s="100"/>
      <c r="B637" s="320"/>
      <c r="C637" s="320"/>
      <c r="D637" s="320"/>
    </row>
    <row r="638">
      <c r="A638" s="100"/>
      <c r="B638" s="320"/>
      <c r="C638" s="320"/>
      <c r="D638" s="320"/>
    </row>
    <row r="639">
      <c r="A639" s="100"/>
      <c r="B639" s="320"/>
      <c r="C639" s="320"/>
      <c r="D639" s="320"/>
    </row>
    <row r="640">
      <c r="A640" s="100"/>
      <c r="B640" s="320"/>
      <c r="C640" s="320"/>
      <c r="D640" s="320"/>
    </row>
    <row r="641">
      <c r="A641" s="100"/>
      <c r="B641" s="320"/>
      <c r="C641" s="320"/>
      <c r="D641" s="320"/>
    </row>
    <row r="642">
      <c r="A642" s="100"/>
      <c r="B642" s="320"/>
      <c r="C642" s="320"/>
      <c r="D642" s="320"/>
    </row>
    <row r="643">
      <c r="A643" s="100"/>
      <c r="B643" s="320"/>
      <c r="C643" s="320"/>
      <c r="D643" s="320"/>
    </row>
    <row r="644">
      <c r="A644" s="100"/>
      <c r="B644" s="320"/>
      <c r="C644" s="320"/>
      <c r="D644" s="320"/>
    </row>
    <row r="645">
      <c r="A645" s="100"/>
      <c r="B645" s="320"/>
      <c r="C645" s="320"/>
      <c r="D645" s="320"/>
    </row>
    <row r="646">
      <c r="A646" s="100"/>
      <c r="B646" s="320"/>
      <c r="C646" s="320"/>
      <c r="D646" s="320"/>
    </row>
    <row r="647">
      <c r="A647" s="100"/>
      <c r="B647" s="320"/>
      <c r="C647" s="320"/>
      <c r="D647" s="320"/>
    </row>
    <row r="648">
      <c r="A648" s="100"/>
      <c r="B648" s="320"/>
      <c r="C648" s="320"/>
      <c r="D648" s="320"/>
    </row>
    <row r="649">
      <c r="A649" s="100"/>
      <c r="B649" s="320"/>
      <c r="C649" s="320"/>
      <c r="D649" s="320"/>
    </row>
    <row r="650">
      <c r="A650" s="100"/>
      <c r="B650" s="320"/>
      <c r="C650" s="320"/>
      <c r="D650" s="320"/>
    </row>
    <row r="651">
      <c r="A651" s="100"/>
      <c r="B651" s="320"/>
      <c r="C651" s="320"/>
      <c r="D651" s="320"/>
    </row>
    <row r="652">
      <c r="A652" s="100"/>
      <c r="B652" s="320"/>
      <c r="C652" s="320"/>
      <c r="D652" s="320"/>
    </row>
    <row r="653">
      <c r="A653" s="100"/>
      <c r="B653" s="320"/>
      <c r="C653" s="320"/>
      <c r="D653" s="320"/>
    </row>
    <row r="654">
      <c r="A654" s="100"/>
      <c r="B654" s="320"/>
      <c r="C654" s="320"/>
      <c r="D654" s="320"/>
    </row>
    <row r="655">
      <c r="A655" s="100"/>
      <c r="B655" s="320"/>
      <c r="C655" s="320"/>
      <c r="D655" s="320"/>
    </row>
    <row r="656">
      <c r="A656" s="100"/>
      <c r="B656" s="320"/>
      <c r="C656" s="320"/>
      <c r="D656" s="320"/>
    </row>
    <row r="657">
      <c r="A657" s="100"/>
      <c r="B657" s="320"/>
      <c r="C657" s="320"/>
      <c r="D657" s="320"/>
    </row>
    <row r="658">
      <c r="A658" s="100"/>
      <c r="B658" s="320"/>
      <c r="C658" s="320"/>
      <c r="D658" s="320"/>
    </row>
    <row r="659">
      <c r="A659" s="100"/>
      <c r="B659" s="320"/>
      <c r="C659" s="320"/>
      <c r="D659" s="320"/>
    </row>
    <row r="660">
      <c r="A660" s="100"/>
      <c r="B660" s="320"/>
      <c r="C660" s="320"/>
      <c r="D660" s="320"/>
    </row>
    <row r="661">
      <c r="A661" s="100"/>
      <c r="B661" s="320"/>
      <c r="C661" s="320"/>
      <c r="D661" s="320"/>
    </row>
    <row r="662">
      <c r="A662" s="100"/>
      <c r="B662" s="320"/>
      <c r="C662" s="320"/>
      <c r="D662" s="320"/>
    </row>
    <row r="663">
      <c r="A663" s="100"/>
      <c r="B663" s="320"/>
      <c r="C663" s="320"/>
      <c r="D663" s="320"/>
    </row>
    <row r="664">
      <c r="A664" s="100"/>
      <c r="B664" s="320"/>
      <c r="C664" s="320"/>
      <c r="D664" s="320"/>
    </row>
    <row r="665">
      <c r="A665" s="100"/>
      <c r="B665" s="320"/>
      <c r="C665" s="320"/>
      <c r="D665" s="320"/>
    </row>
    <row r="666">
      <c r="A666" s="100"/>
      <c r="B666" s="320"/>
      <c r="C666" s="320"/>
      <c r="D666" s="320"/>
    </row>
    <row r="667">
      <c r="A667" s="100"/>
      <c r="B667" s="320"/>
      <c r="C667" s="320"/>
      <c r="D667" s="320"/>
    </row>
    <row r="668">
      <c r="A668" s="100"/>
      <c r="B668" s="320"/>
      <c r="C668" s="320"/>
      <c r="D668" s="320"/>
    </row>
    <row r="669">
      <c r="A669" s="100"/>
      <c r="B669" s="320"/>
      <c r="C669" s="320"/>
      <c r="D669" s="320"/>
    </row>
    <row r="670">
      <c r="A670" s="100"/>
      <c r="B670" s="320"/>
      <c r="C670" s="320"/>
      <c r="D670" s="320"/>
    </row>
    <row r="671">
      <c r="A671" s="100"/>
      <c r="B671" s="320"/>
      <c r="C671" s="320"/>
      <c r="D671" s="320"/>
    </row>
    <row r="672">
      <c r="A672" s="100"/>
      <c r="B672" s="320"/>
      <c r="C672" s="320"/>
      <c r="D672" s="320"/>
    </row>
    <row r="673">
      <c r="A673" s="100"/>
      <c r="B673" s="320"/>
      <c r="C673" s="320"/>
      <c r="D673" s="320"/>
    </row>
    <row r="674">
      <c r="A674" s="100"/>
      <c r="B674" s="320"/>
      <c r="C674" s="320"/>
      <c r="D674" s="320"/>
    </row>
    <row r="675">
      <c r="A675" s="100"/>
      <c r="B675" s="320"/>
      <c r="C675" s="320"/>
      <c r="D675" s="320"/>
    </row>
    <row r="676">
      <c r="A676" s="100"/>
      <c r="B676" s="320"/>
      <c r="C676" s="320"/>
      <c r="D676" s="320"/>
    </row>
    <row r="677">
      <c r="A677" s="100"/>
      <c r="B677" s="320"/>
      <c r="C677" s="320"/>
      <c r="D677" s="320"/>
    </row>
    <row r="678">
      <c r="A678" s="100"/>
      <c r="B678" s="320"/>
      <c r="C678" s="320"/>
      <c r="D678" s="320"/>
    </row>
    <row r="679">
      <c r="A679" s="100"/>
      <c r="B679" s="320"/>
      <c r="C679" s="320"/>
      <c r="D679" s="320"/>
    </row>
    <row r="680">
      <c r="A680" s="100"/>
      <c r="B680" s="320"/>
      <c r="C680" s="320"/>
      <c r="D680" s="320"/>
    </row>
    <row r="681">
      <c r="A681" s="100"/>
      <c r="B681" s="320"/>
      <c r="C681" s="320"/>
      <c r="D681" s="320"/>
    </row>
    <row r="682">
      <c r="A682" s="100"/>
      <c r="B682" s="320"/>
      <c r="C682" s="320"/>
      <c r="D682" s="320"/>
    </row>
    <row r="683">
      <c r="A683" s="100"/>
      <c r="B683" s="320"/>
      <c r="C683" s="320"/>
      <c r="D683" s="320"/>
    </row>
    <row r="684">
      <c r="A684" s="100"/>
      <c r="B684" s="320"/>
      <c r="C684" s="320"/>
      <c r="D684" s="320"/>
    </row>
    <row r="685">
      <c r="A685" s="100"/>
      <c r="B685" s="320"/>
      <c r="C685" s="320"/>
      <c r="D685" s="320"/>
    </row>
    <row r="686">
      <c r="A686" s="100"/>
      <c r="B686" s="320"/>
      <c r="C686" s="320"/>
      <c r="D686" s="320"/>
    </row>
    <row r="687">
      <c r="A687" s="100"/>
      <c r="B687" s="320"/>
      <c r="C687" s="320"/>
      <c r="D687" s="320"/>
    </row>
    <row r="688">
      <c r="A688" s="100"/>
      <c r="B688" s="320"/>
      <c r="C688" s="320"/>
      <c r="D688" s="320"/>
    </row>
    <row r="689">
      <c r="A689" s="100"/>
      <c r="B689" s="320"/>
      <c r="C689" s="320"/>
      <c r="D689" s="320"/>
    </row>
    <row r="690">
      <c r="A690" s="100"/>
      <c r="B690" s="320"/>
      <c r="C690" s="320"/>
      <c r="D690" s="320"/>
    </row>
    <row r="691">
      <c r="A691" s="100"/>
      <c r="B691" s="320"/>
      <c r="C691" s="320"/>
      <c r="D691" s="320"/>
    </row>
    <row r="692">
      <c r="A692" s="100"/>
      <c r="B692" s="320"/>
      <c r="C692" s="320"/>
      <c r="D692" s="320"/>
    </row>
    <row r="693">
      <c r="A693" s="100"/>
      <c r="B693" s="320"/>
      <c r="C693" s="320"/>
      <c r="D693" s="320"/>
    </row>
    <row r="694">
      <c r="A694" s="100"/>
      <c r="B694" s="320"/>
      <c r="C694" s="320"/>
      <c r="D694" s="320"/>
    </row>
    <row r="695">
      <c r="A695" s="100"/>
      <c r="B695" s="320"/>
      <c r="C695" s="320"/>
      <c r="D695" s="320"/>
    </row>
    <row r="696">
      <c r="A696" s="100"/>
      <c r="B696" s="320"/>
      <c r="C696" s="320"/>
      <c r="D696" s="320"/>
    </row>
    <row r="697">
      <c r="A697" s="100"/>
      <c r="B697" s="320"/>
      <c r="C697" s="320"/>
      <c r="D697" s="320"/>
    </row>
    <row r="698">
      <c r="A698" s="100"/>
      <c r="B698" s="320"/>
      <c r="C698" s="320"/>
      <c r="D698" s="320"/>
    </row>
    <row r="699">
      <c r="A699" s="100"/>
      <c r="B699" s="320"/>
      <c r="C699" s="320"/>
      <c r="D699" s="320"/>
    </row>
    <row r="700">
      <c r="A700" s="100"/>
      <c r="B700" s="320"/>
      <c r="C700" s="320"/>
      <c r="D700" s="320"/>
    </row>
    <row r="701">
      <c r="A701" s="100"/>
      <c r="B701" s="320"/>
      <c r="C701" s="320"/>
      <c r="D701" s="320"/>
    </row>
    <row r="702">
      <c r="A702" s="100"/>
      <c r="B702" s="320"/>
      <c r="C702" s="320"/>
      <c r="D702" s="320"/>
    </row>
    <row r="703">
      <c r="A703" s="100"/>
      <c r="B703" s="320"/>
      <c r="C703" s="320"/>
      <c r="D703" s="320"/>
    </row>
    <row r="704">
      <c r="A704" s="100"/>
      <c r="B704" s="320"/>
      <c r="C704" s="320"/>
      <c r="D704" s="320"/>
    </row>
    <row r="705">
      <c r="A705" s="100"/>
      <c r="B705" s="320"/>
      <c r="C705" s="320"/>
      <c r="D705" s="320"/>
    </row>
    <row r="706">
      <c r="A706" s="100"/>
      <c r="B706" s="320"/>
      <c r="C706" s="320"/>
      <c r="D706" s="320"/>
    </row>
    <row r="707">
      <c r="A707" s="100"/>
      <c r="B707" s="320"/>
      <c r="C707" s="320"/>
      <c r="D707" s="320"/>
    </row>
    <row r="708">
      <c r="A708" s="100"/>
      <c r="B708" s="320"/>
      <c r="C708" s="320"/>
      <c r="D708" s="320"/>
    </row>
    <row r="709">
      <c r="A709" s="100"/>
      <c r="B709" s="320"/>
      <c r="C709" s="320"/>
      <c r="D709" s="320"/>
    </row>
    <row r="710">
      <c r="A710" s="100"/>
      <c r="B710" s="320"/>
      <c r="C710" s="320"/>
      <c r="D710" s="320"/>
    </row>
    <row r="711">
      <c r="A711" s="100"/>
      <c r="B711" s="320"/>
      <c r="C711" s="320"/>
      <c r="D711" s="320"/>
    </row>
    <row r="712">
      <c r="A712" s="100"/>
      <c r="B712" s="320"/>
      <c r="C712" s="320"/>
      <c r="D712" s="320"/>
    </row>
    <row r="713">
      <c r="A713" s="100"/>
      <c r="B713" s="320"/>
      <c r="C713" s="320"/>
      <c r="D713" s="320"/>
    </row>
    <row r="714">
      <c r="A714" s="100"/>
      <c r="B714" s="320"/>
      <c r="C714" s="320"/>
      <c r="D714" s="320"/>
    </row>
    <row r="715">
      <c r="A715" s="100"/>
      <c r="B715" s="320"/>
      <c r="C715" s="320"/>
      <c r="D715" s="320"/>
    </row>
    <row r="716">
      <c r="A716" s="100"/>
      <c r="B716" s="320"/>
      <c r="C716" s="320"/>
      <c r="D716" s="320"/>
    </row>
    <row r="717">
      <c r="A717" s="100"/>
      <c r="B717" s="320"/>
      <c r="C717" s="320"/>
      <c r="D717" s="320"/>
    </row>
    <row r="718">
      <c r="A718" s="100"/>
      <c r="B718" s="320"/>
      <c r="C718" s="320"/>
      <c r="D718" s="320"/>
    </row>
    <row r="719">
      <c r="A719" s="100"/>
      <c r="B719" s="320"/>
      <c r="C719" s="320"/>
      <c r="D719" s="320"/>
    </row>
    <row r="720">
      <c r="A720" s="100"/>
      <c r="B720" s="320"/>
      <c r="C720" s="320"/>
      <c r="D720" s="320"/>
    </row>
    <row r="721">
      <c r="A721" s="100"/>
      <c r="B721" s="320"/>
      <c r="C721" s="320"/>
      <c r="D721" s="320"/>
    </row>
    <row r="722">
      <c r="A722" s="100"/>
      <c r="B722" s="320"/>
      <c r="C722" s="320"/>
      <c r="D722" s="320"/>
    </row>
    <row r="723">
      <c r="A723" s="100"/>
      <c r="B723" s="320"/>
      <c r="C723" s="320"/>
      <c r="D723" s="320"/>
    </row>
    <row r="724">
      <c r="A724" s="100"/>
      <c r="B724" s="320"/>
      <c r="C724" s="320"/>
      <c r="D724" s="320"/>
    </row>
    <row r="725">
      <c r="A725" s="100"/>
      <c r="B725" s="320"/>
      <c r="C725" s="320"/>
      <c r="D725" s="320"/>
    </row>
    <row r="726">
      <c r="A726" s="100"/>
      <c r="B726" s="320"/>
      <c r="C726" s="320"/>
      <c r="D726" s="320"/>
    </row>
    <row r="727">
      <c r="A727" s="100"/>
      <c r="B727" s="320"/>
      <c r="C727" s="320"/>
      <c r="D727" s="320"/>
    </row>
    <row r="728">
      <c r="A728" s="100"/>
      <c r="B728" s="320"/>
      <c r="C728" s="320"/>
      <c r="D728" s="320"/>
    </row>
    <row r="729">
      <c r="A729" s="100"/>
      <c r="B729" s="320"/>
      <c r="C729" s="320"/>
      <c r="D729" s="320"/>
    </row>
    <row r="730">
      <c r="A730" s="100"/>
      <c r="B730" s="320"/>
      <c r="C730" s="320"/>
      <c r="D730" s="320"/>
    </row>
    <row r="731">
      <c r="A731" s="100"/>
      <c r="B731" s="320"/>
      <c r="C731" s="320"/>
      <c r="D731" s="320"/>
    </row>
    <row r="732">
      <c r="A732" s="100"/>
      <c r="B732" s="320"/>
      <c r="C732" s="320"/>
      <c r="D732" s="320"/>
    </row>
    <row r="733">
      <c r="A733" s="100"/>
      <c r="B733" s="320"/>
      <c r="C733" s="320"/>
      <c r="D733" s="320"/>
    </row>
    <row r="734">
      <c r="A734" s="100"/>
      <c r="B734" s="320"/>
      <c r="C734" s="320"/>
      <c r="D734" s="320"/>
    </row>
    <row r="735">
      <c r="A735" s="100"/>
      <c r="B735" s="320"/>
      <c r="C735" s="320"/>
      <c r="D735" s="320"/>
    </row>
    <row r="736">
      <c r="A736" s="100"/>
      <c r="B736" s="320"/>
      <c r="C736" s="320"/>
      <c r="D736" s="320"/>
    </row>
    <row r="737">
      <c r="A737" s="100"/>
      <c r="B737" s="320"/>
      <c r="C737" s="320"/>
      <c r="D737" s="320"/>
    </row>
    <row r="738">
      <c r="A738" s="100"/>
      <c r="B738" s="320"/>
      <c r="C738" s="320"/>
      <c r="D738" s="320"/>
    </row>
    <row r="739">
      <c r="A739" s="100"/>
      <c r="B739" s="320"/>
      <c r="C739" s="320"/>
      <c r="D739" s="320"/>
    </row>
    <row r="740">
      <c r="A740" s="100"/>
      <c r="B740" s="320"/>
      <c r="C740" s="320"/>
      <c r="D740" s="320"/>
    </row>
    <row r="741">
      <c r="A741" s="100"/>
      <c r="B741" s="320"/>
      <c r="C741" s="320"/>
      <c r="D741" s="320"/>
    </row>
    <row r="742">
      <c r="A742" s="100"/>
      <c r="B742" s="320"/>
      <c r="C742" s="320"/>
      <c r="D742" s="320"/>
    </row>
    <row r="743">
      <c r="A743" s="100"/>
      <c r="B743" s="320"/>
      <c r="C743" s="320"/>
      <c r="D743" s="320"/>
    </row>
    <row r="744">
      <c r="A744" s="100"/>
      <c r="B744" s="320"/>
      <c r="C744" s="320"/>
      <c r="D744" s="320"/>
    </row>
    <row r="745">
      <c r="A745" s="100"/>
      <c r="B745" s="320"/>
      <c r="C745" s="320"/>
      <c r="D745" s="320"/>
    </row>
    <row r="746">
      <c r="A746" s="100"/>
      <c r="B746" s="320"/>
      <c r="C746" s="320"/>
      <c r="D746" s="320"/>
    </row>
    <row r="747">
      <c r="A747" s="100"/>
      <c r="B747" s="320"/>
      <c r="C747" s="320"/>
      <c r="D747" s="320"/>
    </row>
    <row r="748">
      <c r="A748" s="100"/>
      <c r="B748" s="320"/>
      <c r="C748" s="320"/>
      <c r="D748" s="320"/>
    </row>
    <row r="749">
      <c r="A749" s="100"/>
      <c r="B749" s="320"/>
      <c r="C749" s="320"/>
      <c r="D749" s="320"/>
    </row>
    <row r="750">
      <c r="A750" s="100"/>
      <c r="B750" s="320"/>
      <c r="C750" s="320"/>
      <c r="D750" s="320"/>
    </row>
    <row r="751">
      <c r="A751" s="100"/>
      <c r="B751" s="320"/>
      <c r="C751" s="320"/>
      <c r="D751" s="320"/>
    </row>
    <row r="752">
      <c r="A752" s="100"/>
      <c r="B752" s="320"/>
      <c r="C752" s="320"/>
      <c r="D752" s="320"/>
    </row>
    <row r="753">
      <c r="A753" s="100"/>
      <c r="B753" s="320"/>
      <c r="C753" s="320"/>
      <c r="D753" s="320"/>
    </row>
    <row r="754">
      <c r="A754" s="100"/>
      <c r="B754" s="320"/>
      <c r="C754" s="320"/>
      <c r="D754" s="320"/>
    </row>
    <row r="755">
      <c r="A755" s="100"/>
      <c r="B755" s="320"/>
      <c r="C755" s="320"/>
      <c r="D755" s="320"/>
    </row>
    <row r="756">
      <c r="A756" s="100"/>
      <c r="B756" s="320"/>
      <c r="C756" s="320"/>
      <c r="D756" s="320"/>
    </row>
    <row r="757">
      <c r="A757" s="100"/>
      <c r="B757" s="320"/>
      <c r="C757" s="320"/>
      <c r="D757" s="320"/>
    </row>
    <row r="758">
      <c r="A758" s="100"/>
      <c r="B758" s="320"/>
      <c r="C758" s="320"/>
      <c r="D758" s="320"/>
    </row>
    <row r="759">
      <c r="A759" s="100"/>
      <c r="B759" s="320"/>
      <c r="C759" s="320"/>
      <c r="D759" s="320"/>
    </row>
    <row r="760">
      <c r="A760" s="100"/>
      <c r="B760" s="320"/>
      <c r="C760" s="320"/>
      <c r="D760" s="320"/>
    </row>
    <row r="761">
      <c r="A761" s="100"/>
      <c r="B761" s="320"/>
      <c r="C761" s="320"/>
      <c r="D761" s="320"/>
    </row>
    <row r="762">
      <c r="A762" s="100"/>
      <c r="B762" s="320"/>
      <c r="C762" s="320"/>
      <c r="D762" s="320"/>
    </row>
    <row r="763">
      <c r="A763" s="100"/>
      <c r="B763" s="320"/>
      <c r="C763" s="320"/>
      <c r="D763" s="320"/>
    </row>
    <row r="764">
      <c r="A764" s="100"/>
      <c r="B764" s="320"/>
      <c r="C764" s="320"/>
      <c r="D764" s="320"/>
    </row>
    <row r="765">
      <c r="A765" s="100"/>
      <c r="B765" s="320"/>
      <c r="C765" s="320"/>
      <c r="D765" s="320"/>
    </row>
    <row r="766">
      <c r="A766" s="100"/>
      <c r="B766" s="320"/>
      <c r="C766" s="320"/>
      <c r="D766" s="320"/>
    </row>
    <row r="767">
      <c r="A767" s="100"/>
      <c r="B767" s="320"/>
      <c r="C767" s="320"/>
      <c r="D767" s="320"/>
    </row>
    <row r="768">
      <c r="A768" s="100"/>
      <c r="B768" s="320"/>
      <c r="C768" s="320"/>
      <c r="D768" s="320"/>
    </row>
    <row r="769">
      <c r="A769" s="100"/>
      <c r="B769" s="320"/>
      <c r="C769" s="320"/>
      <c r="D769" s="320"/>
    </row>
    <row r="770">
      <c r="A770" s="100"/>
      <c r="B770" s="320"/>
      <c r="C770" s="320"/>
      <c r="D770" s="320"/>
    </row>
    <row r="771">
      <c r="A771" s="100"/>
      <c r="B771" s="320"/>
      <c r="C771" s="320"/>
      <c r="D771" s="320"/>
    </row>
    <row r="772">
      <c r="A772" s="100"/>
      <c r="B772" s="320"/>
      <c r="C772" s="320"/>
      <c r="D772" s="320"/>
    </row>
    <row r="773">
      <c r="A773" s="100"/>
      <c r="B773" s="320"/>
      <c r="C773" s="320"/>
      <c r="D773" s="320"/>
    </row>
    <row r="774">
      <c r="A774" s="100"/>
      <c r="B774" s="320"/>
      <c r="C774" s="320"/>
      <c r="D774" s="320"/>
    </row>
    <row r="775">
      <c r="A775" s="100"/>
      <c r="B775" s="320"/>
      <c r="C775" s="320"/>
      <c r="D775" s="320"/>
    </row>
    <row r="776">
      <c r="A776" s="100"/>
      <c r="B776" s="320"/>
      <c r="C776" s="320"/>
      <c r="D776" s="320"/>
    </row>
    <row r="777">
      <c r="A777" s="100"/>
      <c r="B777" s="320"/>
      <c r="C777" s="320"/>
      <c r="D777" s="320"/>
    </row>
    <row r="778">
      <c r="A778" s="100"/>
      <c r="B778" s="320"/>
      <c r="C778" s="320"/>
      <c r="D778" s="320"/>
    </row>
    <row r="779">
      <c r="A779" s="100"/>
      <c r="B779" s="320"/>
      <c r="C779" s="320"/>
      <c r="D779" s="320"/>
    </row>
    <row r="780">
      <c r="A780" s="100"/>
      <c r="B780" s="320"/>
      <c r="C780" s="320"/>
      <c r="D780" s="320"/>
    </row>
    <row r="781">
      <c r="A781" s="100"/>
      <c r="B781" s="320"/>
      <c r="C781" s="320"/>
      <c r="D781" s="320"/>
    </row>
    <row r="782">
      <c r="A782" s="100"/>
      <c r="B782" s="320"/>
      <c r="C782" s="320"/>
      <c r="D782" s="320"/>
    </row>
    <row r="783">
      <c r="A783" s="100"/>
      <c r="B783" s="320"/>
      <c r="C783" s="320"/>
      <c r="D783" s="320"/>
    </row>
    <row r="784">
      <c r="A784" s="100"/>
      <c r="B784" s="320"/>
      <c r="C784" s="320"/>
      <c r="D784" s="320"/>
    </row>
    <row r="785">
      <c r="A785" s="100"/>
      <c r="B785" s="320"/>
      <c r="C785" s="320"/>
      <c r="D785" s="320"/>
    </row>
    <row r="786">
      <c r="A786" s="100"/>
      <c r="B786" s="320"/>
      <c r="C786" s="320"/>
      <c r="D786" s="320"/>
    </row>
    <row r="787">
      <c r="A787" s="100"/>
      <c r="B787" s="320"/>
      <c r="C787" s="320"/>
      <c r="D787" s="320"/>
    </row>
    <row r="788">
      <c r="A788" s="100"/>
      <c r="B788" s="320"/>
      <c r="C788" s="320"/>
      <c r="D788" s="320"/>
    </row>
    <row r="789">
      <c r="A789" s="100"/>
      <c r="B789" s="320"/>
      <c r="C789" s="320"/>
      <c r="D789" s="320"/>
    </row>
    <row r="790">
      <c r="A790" s="100"/>
      <c r="B790" s="320"/>
      <c r="C790" s="320"/>
      <c r="D790" s="320"/>
    </row>
    <row r="791">
      <c r="A791" s="100"/>
      <c r="B791" s="320"/>
      <c r="C791" s="320"/>
      <c r="D791" s="320"/>
    </row>
    <row r="792">
      <c r="A792" s="100"/>
      <c r="B792" s="320"/>
      <c r="C792" s="320"/>
      <c r="D792" s="320"/>
    </row>
    <row r="793">
      <c r="A793" s="100"/>
      <c r="B793" s="320"/>
      <c r="C793" s="320"/>
      <c r="D793" s="320"/>
    </row>
    <row r="794">
      <c r="A794" s="100"/>
      <c r="B794" s="320"/>
      <c r="C794" s="320"/>
      <c r="D794" s="320"/>
    </row>
    <row r="795">
      <c r="A795" s="100"/>
      <c r="B795" s="320"/>
      <c r="C795" s="320"/>
      <c r="D795" s="320"/>
    </row>
    <row r="796">
      <c r="A796" s="100"/>
      <c r="B796" s="320"/>
      <c r="C796" s="320"/>
      <c r="D796" s="320"/>
    </row>
    <row r="797">
      <c r="A797" s="100"/>
      <c r="B797" s="320"/>
      <c r="C797" s="320"/>
      <c r="D797" s="320"/>
    </row>
    <row r="798">
      <c r="A798" s="100"/>
      <c r="B798" s="320"/>
      <c r="C798" s="320"/>
      <c r="D798" s="320"/>
    </row>
    <row r="799">
      <c r="A799" s="100"/>
      <c r="B799" s="320"/>
      <c r="C799" s="320"/>
      <c r="D799" s="320"/>
    </row>
    <row r="800">
      <c r="A800" s="100"/>
      <c r="B800" s="320"/>
      <c r="C800" s="320"/>
      <c r="D800" s="320"/>
    </row>
    <row r="801">
      <c r="A801" s="100"/>
      <c r="B801" s="320"/>
      <c r="C801" s="320"/>
      <c r="D801" s="320"/>
    </row>
    <row r="802">
      <c r="A802" s="100"/>
      <c r="B802" s="320"/>
      <c r="C802" s="320"/>
      <c r="D802" s="320"/>
    </row>
    <row r="803">
      <c r="A803" s="100"/>
      <c r="B803" s="320"/>
      <c r="C803" s="320"/>
      <c r="D803" s="320"/>
    </row>
    <row r="804">
      <c r="A804" s="100"/>
      <c r="B804" s="320"/>
      <c r="C804" s="320"/>
      <c r="D804" s="320"/>
    </row>
    <row r="805">
      <c r="A805" s="100"/>
      <c r="B805" s="320"/>
      <c r="C805" s="320"/>
      <c r="D805" s="320"/>
    </row>
    <row r="806">
      <c r="A806" s="100"/>
      <c r="B806" s="320"/>
      <c r="C806" s="320"/>
      <c r="D806" s="320"/>
    </row>
    <row r="807">
      <c r="A807" s="100"/>
      <c r="B807" s="320"/>
      <c r="C807" s="320"/>
      <c r="D807" s="320"/>
    </row>
    <row r="808">
      <c r="A808" s="100"/>
      <c r="B808" s="320"/>
      <c r="C808" s="320"/>
      <c r="D808" s="320"/>
    </row>
    <row r="809">
      <c r="A809" s="100"/>
      <c r="B809" s="320"/>
      <c r="C809" s="320"/>
      <c r="D809" s="320"/>
    </row>
    <row r="810">
      <c r="A810" s="100"/>
      <c r="B810" s="320"/>
      <c r="C810" s="320"/>
      <c r="D810" s="320"/>
    </row>
    <row r="811">
      <c r="A811" s="100"/>
      <c r="B811" s="320"/>
      <c r="C811" s="320"/>
      <c r="D811" s="320"/>
    </row>
    <row r="812">
      <c r="A812" s="100"/>
      <c r="B812" s="320"/>
      <c r="C812" s="320"/>
      <c r="D812" s="320"/>
    </row>
    <row r="813">
      <c r="A813" s="100"/>
      <c r="B813" s="320"/>
      <c r="C813" s="320"/>
      <c r="D813" s="320"/>
    </row>
    <row r="814">
      <c r="A814" s="100"/>
      <c r="B814" s="320"/>
      <c r="C814" s="320"/>
      <c r="D814" s="320"/>
    </row>
    <row r="815">
      <c r="A815" s="100"/>
      <c r="B815" s="320"/>
      <c r="C815" s="320"/>
      <c r="D815" s="320"/>
    </row>
    <row r="816">
      <c r="A816" s="100"/>
      <c r="B816" s="320"/>
      <c r="C816" s="320"/>
      <c r="D816" s="320"/>
    </row>
    <row r="817">
      <c r="A817" s="100"/>
      <c r="B817" s="320"/>
      <c r="C817" s="320"/>
      <c r="D817" s="320"/>
    </row>
    <row r="818">
      <c r="A818" s="100"/>
      <c r="B818" s="320"/>
      <c r="C818" s="320"/>
      <c r="D818" s="320"/>
    </row>
    <row r="819">
      <c r="A819" s="100"/>
      <c r="B819" s="320"/>
      <c r="C819" s="320"/>
      <c r="D819" s="320"/>
    </row>
    <row r="820">
      <c r="A820" s="100"/>
      <c r="B820" s="320"/>
      <c r="C820" s="320"/>
      <c r="D820" s="320"/>
    </row>
    <row r="821">
      <c r="A821" s="100"/>
      <c r="B821" s="320"/>
      <c r="C821" s="320"/>
      <c r="D821" s="320"/>
    </row>
    <row r="822">
      <c r="A822" s="100"/>
      <c r="B822" s="320"/>
      <c r="C822" s="320"/>
      <c r="D822" s="320"/>
    </row>
    <row r="823">
      <c r="A823" s="100"/>
      <c r="B823" s="320"/>
      <c r="C823" s="320"/>
      <c r="D823" s="320"/>
    </row>
    <row r="824">
      <c r="A824" s="100"/>
      <c r="B824" s="320"/>
      <c r="C824" s="320"/>
      <c r="D824" s="320"/>
    </row>
    <row r="825">
      <c r="A825" s="100"/>
      <c r="B825" s="320"/>
      <c r="C825" s="320"/>
      <c r="D825" s="320"/>
    </row>
    <row r="826">
      <c r="A826" s="100"/>
      <c r="B826" s="320"/>
      <c r="C826" s="320"/>
      <c r="D826" s="320"/>
    </row>
    <row r="827">
      <c r="A827" s="100"/>
      <c r="B827" s="320"/>
      <c r="C827" s="320"/>
      <c r="D827" s="320"/>
    </row>
    <row r="828">
      <c r="A828" s="100"/>
      <c r="B828" s="320"/>
      <c r="C828" s="320"/>
      <c r="D828" s="320"/>
    </row>
    <row r="829">
      <c r="A829" s="100"/>
      <c r="B829" s="320"/>
      <c r="C829" s="320"/>
      <c r="D829" s="320"/>
    </row>
    <row r="830">
      <c r="A830" s="100"/>
      <c r="B830" s="320"/>
      <c r="C830" s="320"/>
      <c r="D830" s="320"/>
    </row>
    <row r="831">
      <c r="A831" s="100"/>
      <c r="B831" s="320"/>
      <c r="C831" s="320"/>
      <c r="D831" s="320"/>
    </row>
    <row r="832">
      <c r="A832" s="100"/>
      <c r="B832" s="320"/>
      <c r="C832" s="320"/>
      <c r="D832" s="320"/>
    </row>
    <row r="833">
      <c r="A833" s="100"/>
      <c r="B833" s="320"/>
      <c r="C833" s="320"/>
      <c r="D833" s="320"/>
    </row>
    <row r="834">
      <c r="A834" s="100"/>
      <c r="B834" s="320"/>
      <c r="C834" s="320"/>
      <c r="D834" s="320"/>
    </row>
    <row r="835">
      <c r="A835" s="100"/>
      <c r="B835" s="320"/>
      <c r="C835" s="320"/>
      <c r="D835" s="320"/>
    </row>
    <row r="836">
      <c r="A836" s="100"/>
      <c r="B836" s="320"/>
      <c r="C836" s="320"/>
      <c r="D836" s="320"/>
    </row>
    <row r="837">
      <c r="A837" s="100"/>
      <c r="B837" s="320"/>
      <c r="C837" s="320"/>
      <c r="D837" s="320"/>
    </row>
    <row r="838">
      <c r="A838" s="100"/>
      <c r="B838" s="320"/>
      <c r="C838" s="320"/>
      <c r="D838" s="320"/>
    </row>
    <row r="839">
      <c r="A839" s="100"/>
      <c r="B839" s="320"/>
      <c r="C839" s="320"/>
      <c r="D839" s="320"/>
    </row>
    <row r="840">
      <c r="A840" s="100"/>
      <c r="B840" s="320"/>
      <c r="C840" s="320"/>
      <c r="D840" s="320"/>
    </row>
    <row r="841">
      <c r="A841" s="100"/>
      <c r="B841" s="320"/>
      <c r="C841" s="320"/>
      <c r="D841" s="320"/>
    </row>
    <row r="842">
      <c r="A842" s="100"/>
      <c r="B842" s="320"/>
      <c r="C842" s="320"/>
      <c r="D842" s="320"/>
    </row>
    <row r="843">
      <c r="A843" s="100"/>
      <c r="B843" s="320"/>
      <c r="C843" s="320"/>
      <c r="D843" s="320"/>
    </row>
    <row r="844">
      <c r="A844" s="100"/>
      <c r="B844" s="320"/>
      <c r="C844" s="320"/>
      <c r="D844" s="320"/>
    </row>
    <row r="845">
      <c r="A845" s="100"/>
      <c r="B845" s="320"/>
      <c r="C845" s="320"/>
      <c r="D845" s="320"/>
    </row>
    <row r="846">
      <c r="A846" s="100"/>
      <c r="B846" s="320"/>
      <c r="C846" s="320"/>
      <c r="D846" s="320"/>
    </row>
    <row r="847">
      <c r="A847" s="100"/>
      <c r="B847" s="320"/>
      <c r="C847" s="320"/>
      <c r="D847" s="320"/>
    </row>
    <row r="848">
      <c r="A848" s="100"/>
      <c r="B848" s="320"/>
      <c r="C848" s="320"/>
      <c r="D848" s="320"/>
    </row>
    <row r="849">
      <c r="A849" s="100"/>
      <c r="B849" s="320"/>
      <c r="C849" s="320"/>
      <c r="D849" s="320"/>
    </row>
    <row r="850">
      <c r="A850" s="100"/>
      <c r="B850" s="320"/>
      <c r="C850" s="320"/>
      <c r="D850" s="320"/>
    </row>
    <row r="851">
      <c r="A851" s="100"/>
      <c r="B851" s="320"/>
      <c r="C851" s="320"/>
      <c r="D851" s="320"/>
    </row>
    <row r="852">
      <c r="A852" s="100"/>
      <c r="B852" s="320"/>
      <c r="C852" s="320"/>
      <c r="D852" s="320"/>
    </row>
    <row r="853">
      <c r="A853" s="100"/>
      <c r="B853" s="320"/>
      <c r="C853" s="320"/>
      <c r="D853" s="320"/>
    </row>
    <row r="854">
      <c r="A854" s="100"/>
      <c r="B854" s="320"/>
      <c r="C854" s="320"/>
      <c r="D854" s="320"/>
    </row>
    <row r="855">
      <c r="A855" s="100"/>
      <c r="B855" s="320"/>
      <c r="C855" s="320"/>
      <c r="D855" s="320"/>
    </row>
    <row r="856">
      <c r="A856" s="100"/>
      <c r="B856" s="320"/>
      <c r="C856" s="320"/>
      <c r="D856" s="320"/>
    </row>
    <row r="857">
      <c r="A857" s="100"/>
      <c r="B857" s="320"/>
      <c r="C857" s="320"/>
      <c r="D857" s="320"/>
    </row>
    <row r="858">
      <c r="A858" s="100"/>
      <c r="B858" s="320"/>
      <c r="C858" s="320"/>
      <c r="D858" s="320"/>
    </row>
    <row r="859">
      <c r="A859" s="100"/>
      <c r="B859" s="320"/>
      <c r="C859" s="320"/>
      <c r="D859" s="320"/>
    </row>
    <row r="860">
      <c r="A860" s="100"/>
      <c r="B860" s="320"/>
      <c r="C860" s="320"/>
      <c r="D860" s="320"/>
    </row>
    <row r="861">
      <c r="A861" s="100"/>
      <c r="B861" s="320"/>
      <c r="C861" s="320"/>
      <c r="D861" s="320"/>
    </row>
    <row r="862">
      <c r="A862" s="100"/>
      <c r="B862" s="320"/>
      <c r="C862" s="320"/>
      <c r="D862" s="320"/>
    </row>
    <row r="863">
      <c r="A863" s="100"/>
      <c r="B863" s="320"/>
      <c r="C863" s="320"/>
      <c r="D863" s="320"/>
    </row>
    <row r="864">
      <c r="A864" s="100"/>
      <c r="B864" s="320"/>
      <c r="C864" s="320"/>
      <c r="D864" s="320"/>
    </row>
    <row r="865">
      <c r="A865" s="100"/>
      <c r="B865" s="320"/>
      <c r="C865" s="320"/>
      <c r="D865" s="320"/>
    </row>
    <row r="866">
      <c r="A866" s="100"/>
      <c r="B866" s="320"/>
      <c r="C866" s="320"/>
      <c r="D866" s="320"/>
    </row>
    <row r="867">
      <c r="A867" s="100"/>
      <c r="B867" s="320"/>
      <c r="C867" s="320"/>
      <c r="D867" s="320"/>
    </row>
    <row r="868">
      <c r="A868" s="100"/>
      <c r="B868" s="320"/>
      <c r="C868" s="320"/>
      <c r="D868" s="320"/>
    </row>
    <row r="869">
      <c r="A869" s="100"/>
      <c r="B869" s="320"/>
      <c r="C869" s="320"/>
      <c r="D869" s="320"/>
    </row>
    <row r="870">
      <c r="A870" s="100"/>
      <c r="B870" s="320"/>
      <c r="C870" s="320"/>
      <c r="D870" s="320"/>
    </row>
    <row r="871">
      <c r="A871" s="100"/>
      <c r="B871" s="320"/>
      <c r="C871" s="320"/>
      <c r="D871" s="320"/>
    </row>
    <row r="872">
      <c r="A872" s="100"/>
      <c r="B872" s="320"/>
      <c r="C872" s="320"/>
      <c r="D872" s="320"/>
    </row>
    <row r="873">
      <c r="A873" s="100"/>
      <c r="B873" s="320"/>
      <c r="C873" s="320"/>
      <c r="D873" s="320"/>
    </row>
    <row r="874">
      <c r="A874" s="100"/>
      <c r="B874" s="320"/>
      <c r="C874" s="320"/>
      <c r="D874" s="320"/>
    </row>
    <row r="875">
      <c r="A875" s="100"/>
      <c r="B875" s="320"/>
      <c r="C875" s="320"/>
      <c r="D875" s="320"/>
    </row>
    <row r="876">
      <c r="A876" s="100"/>
      <c r="B876" s="320"/>
      <c r="C876" s="320"/>
      <c r="D876" s="320"/>
    </row>
    <row r="877">
      <c r="A877" s="100"/>
      <c r="B877" s="320"/>
      <c r="C877" s="320"/>
      <c r="D877" s="320"/>
    </row>
    <row r="878">
      <c r="A878" s="100"/>
      <c r="B878" s="320"/>
      <c r="C878" s="320"/>
      <c r="D878" s="320"/>
    </row>
    <row r="879">
      <c r="A879" s="100"/>
      <c r="B879" s="320"/>
      <c r="C879" s="320"/>
      <c r="D879" s="320"/>
    </row>
    <row r="880">
      <c r="A880" s="100"/>
      <c r="B880" s="320"/>
      <c r="C880" s="320"/>
      <c r="D880" s="320"/>
    </row>
    <row r="881">
      <c r="A881" s="100"/>
      <c r="B881" s="320"/>
      <c r="C881" s="320"/>
      <c r="D881" s="320"/>
    </row>
    <row r="882">
      <c r="A882" s="100"/>
      <c r="B882" s="320"/>
      <c r="C882" s="320"/>
      <c r="D882" s="320"/>
    </row>
    <row r="883">
      <c r="A883" s="100"/>
      <c r="B883" s="320"/>
      <c r="C883" s="320"/>
      <c r="D883" s="320"/>
    </row>
    <row r="884">
      <c r="A884" s="100"/>
      <c r="B884" s="320"/>
      <c r="C884" s="320"/>
      <c r="D884" s="320"/>
    </row>
    <row r="885">
      <c r="A885" s="100"/>
      <c r="B885" s="320"/>
      <c r="C885" s="320"/>
      <c r="D885" s="320"/>
    </row>
    <row r="886">
      <c r="A886" s="100"/>
      <c r="B886" s="320"/>
      <c r="C886" s="320"/>
      <c r="D886" s="320"/>
    </row>
    <row r="887">
      <c r="A887" s="100"/>
      <c r="B887" s="320"/>
      <c r="C887" s="320"/>
      <c r="D887" s="320"/>
    </row>
    <row r="888">
      <c r="A888" s="100"/>
      <c r="B888" s="320"/>
      <c r="C888" s="320"/>
      <c r="D888" s="320"/>
    </row>
    <row r="889">
      <c r="A889" s="100"/>
      <c r="B889" s="320"/>
      <c r="C889" s="320"/>
      <c r="D889" s="320"/>
    </row>
    <row r="890">
      <c r="A890" s="100"/>
      <c r="B890" s="320"/>
      <c r="C890" s="320"/>
      <c r="D890" s="320"/>
    </row>
    <row r="891">
      <c r="A891" s="100"/>
      <c r="B891" s="320"/>
      <c r="C891" s="320"/>
      <c r="D891" s="320"/>
    </row>
    <row r="892">
      <c r="A892" s="100"/>
      <c r="B892" s="320"/>
      <c r="C892" s="320"/>
      <c r="D892" s="320"/>
    </row>
    <row r="893">
      <c r="A893" s="100"/>
      <c r="B893" s="320"/>
      <c r="C893" s="320"/>
      <c r="D893" s="320"/>
    </row>
    <row r="894">
      <c r="A894" s="100"/>
      <c r="B894" s="320"/>
      <c r="C894" s="320"/>
      <c r="D894" s="320"/>
    </row>
    <row r="895">
      <c r="A895" s="100"/>
      <c r="B895" s="320"/>
      <c r="C895" s="320"/>
      <c r="D895" s="320"/>
    </row>
    <row r="896">
      <c r="A896" s="100"/>
      <c r="B896" s="320"/>
      <c r="C896" s="320"/>
      <c r="D896" s="320"/>
    </row>
    <row r="897">
      <c r="A897" s="100"/>
      <c r="B897" s="320"/>
      <c r="C897" s="320"/>
      <c r="D897" s="320"/>
    </row>
    <row r="898">
      <c r="A898" s="100"/>
      <c r="B898" s="320"/>
      <c r="C898" s="320"/>
      <c r="D898" s="320"/>
    </row>
    <row r="899">
      <c r="A899" s="100"/>
      <c r="B899" s="320"/>
      <c r="C899" s="320"/>
      <c r="D899" s="320"/>
    </row>
    <row r="900">
      <c r="A900" s="100"/>
      <c r="B900" s="320"/>
      <c r="C900" s="320"/>
      <c r="D900" s="320"/>
    </row>
    <row r="901">
      <c r="A901" s="100"/>
      <c r="B901" s="320"/>
      <c r="C901" s="320"/>
      <c r="D901" s="320"/>
    </row>
    <row r="902">
      <c r="A902" s="100"/>
      <c r="B902" s="320"/>
      <c r="C902" s="320"/>
      <c r="D902" s="320"/>
    </row>
    <row r="903">
      <c r="A903" s="100"/>
      <c r="B903" s="320"/>
      <c r="C903" s="320"/>
      <c r="D903" s="320"/>
    </row>
    <row r="904">
      <c r="A904" s="100"/>
      <c r="B904" s="320"/>
      <c r="C904" s="320"/>
      <c r="D904" s="320"/>
    </row>
    <row r="905">
      <c r="A905" s="100"/>
      <c r="B905" s="320"/>
      <c r="C905" s="320"/>
      <c r="D905" s="320"/>
    </row>
    <row r="906">
      <c r="A906" s="100"/>
      <c r="B906" s="320"/>
      <c r="C906" s="320"/>
      <c r="D906" s="320"/>
    </row>
    <row r="907">
      <c r="A907" s="100"/>
      <c r="B907" s="320"/>
      <c r="C907" s="320"/>
      <c r="D907" s="320"/>
    </row>
    <row r="908">
      <c r="A908" s="100"/>
      <c r="B908" s="320"/>
      <c r="C908" s="320"/>
      <c r="D908" s="320"/>
    </row>
    <row r="909">
      <c r="A909" s="100"/>
      <c r="B909" s="320"/>
      <c r="C909" s="320"/>
      <c r="D909" s="320"/>
    </row>
    <row r="910">
      <c r="A910" s="100"/>
      <c r="B910" s="320"/>
      <c r="C910" s="320"/>
      <c r="D910" s="320"/>
    </row>
    <row r="911">
      <c r="A911" s="100"/>
      <c r="B911" s="320"/>
      <c r="C911" s="320"/>
      <c r="D911" s="320"/>
    </row>
    <row r="912">
      <c r="A912" s="100"/>
      <c r="B912" s="320"/>
      <c r="C912" s="320"/>
      <c r="D912" s="320"/>
    </row>
    <row r="913">
      <c r="A913" s="100"/>
      <c r="B913" s="320"/>
      <c r="C913" s="320"/>
      <c r="D913" s="320"/>
    </row>
    <row r="914">
      <c r="A914" s="100"/>
      <c r="B914" s="320"/>
      <c r="C914" s="320"/>
      <c r="D914" s="320"/>
    </row>
    <row r="915">
      <c r="A915" s="100"/>
      <c r="B915" s="320"/>
      <c r="C915" s="320"/>
      <c r="D915" s="320"/>
    </row>
    <row r="916">
      <c r="A916" s="100"/>
      <c r="B916" s="320"/>
      <c r="C916" s="320"/>
      <c r="D916" s="320"/>
    </row>
    <row r="917">
      <c r="A917" s="100"/>
      <c r="B917" s="320"/>
      <c r="C917" s="320"/>
      <c r="D917" s="320"/>
    </row>
    <row r="918">
      <c r="A918" s="100"/>
      <c r="B918" s="320"/>
      <c r="C918" s="320"/>
      <c r="D918" s="320"/>
    </row>
    <row r="919">
      <c r="A919" s="100"/>
      <c r="B919" s="320"/>
      <c r="C919" s="320"/>
      <c r="D919" s="320"/>
    </row>
    <row r="920">
      <c r="A920" s="100"/>
      <c r="B920" s="320"/>
      <c r="C920" s="320"/>
      <c r="D920" s="320"/>
    </row>
    <row r="921">
      <c r="A921" s="100"/>
      <c r="B921" s="320"/>
      <c r="C921" s="320"/>
      <c r="D921" s="320"/>
    </row>
    <row r="922">
      <c r="A922" s="100"/>
      <c r="B922" s="320"/>
      <c r="C922" s="320"/>
      <c r="D922" s="320"/>
    </row>
    <row r="923">
      <c r="A923" s="100"/>
      <c r="B923" s="320"/>
      <c r="C923" s="320"/>
      <c r="D923" s="320"/>
    </row>
    <row r="924">
      <c r="A924" s="100"/>
      <c r="B924" s="320"/>
      <c r="C924" s="320"/>
      <c r="D924" s="320"/>
    </row>
    <row r="925">
      <c r="A925" s="100"/>
      <c r="B925" s="320"/>
      <c r="C925" s="320"/>
      <c r="D925" s="320"/>
    </row>
    <row r="926">
      <c r="A926" s="100"/>
      <c r="B926" s="320"/>
      <c r="C926" s="320"/>
      <c r="D926" s="320"/>
    </row>
    <row r="927">
      <c r="A927" s="100"/>
      <c r="B927" s="320"/>
      <c r="C927" s="320"/>
      <c r="D927" s="320"/>
    </row>
    <row r="928">
      <c r="A928" s="100"/>
      <c r="B928" s="320"/>
      <c r="C928" s="320"/>
      <c r="D928" s="320"/>
    </row>
    <row r="929">
      <c r="A929" s="100"/>
      <c r="B929" s="320"/>
      <c r="C929" s="320"/>
      <c r="D929" s="320"/>
    </row>
    <row r="930">
      <c r="A930" s="100"/>
      <c r="B930" s="320"/>
      <c r="C930" s="320"/>
      <c r="D930" s="320"/>
    </row>
    <row r="931">
      <c r="A931" s="100"/>
      <c r="B931" s="320"/>
      <c r="C931" s="320"/>
      <c r="D931" s="320"/>
    </row>
    <row r="932">
      <c r="A932" s="100"/>
      <c r="B932" s="320"/>
      <c r="C932" s="320"/>
      <c r="D932" s="320"/>
    </row>
    <row r="933">
      <c r="A933" s="100"/>
      <c r="B933" s="320"/>
      <c r="C933" s="320"/>
      <c r="D933" s="320"/>
    </row>
    <row r="934">
      <c r="A934" s="100"/>
      <c r="B934" s="320"/>
      <c r="C934" s="320"/>
      <c r="D934" s="320"/>
    </row>
    <row r="935">
      <c r="A935" s="100"/>
      <c r="B935" s="320"/>
      <c r="C935" s="320"/>
      <c r="D935" s="320"/>
    </row>
    <row r="936">
      <c r="A936" s="100"/>
      <c r="B936" s="320"/>
      <c r="C936" s="320"/>
      <c r="D936" s="320"/>
    </row>
    <row r="937">
      <c r="A937" s="100"/>
      <c r="B937" s="320"/>
      <c r="C937" s="320"/>
      <c r="D937" s="320"/>
    </row>
    <row r="938">
      <c r="A938" s="100"/>
      <c r="B938" s="320"/>
      <c r="C938" s="320"/>
      <c r="D938" s="320"/>
    </row>
    <row r="939">
      <c r="A939" s="100"/>
      <c r="B939" s="320"/>
      <c r="C939" s="320"/>
      <c r="D939" s="320"/>
    </row>
    <row r="940">
      <c r="A940" s="100"/>
      <c r="B940" s="320"/>
      <c r="C940" s="320"/>
      <c r="D940" s="320"/>
    </row>
    <row r="941">
      <c r="A941" s="100"/>
      <c r="B941" s="320"/>
      <c r="C941" s="320"/>
      <c r="D941" s="320"/>
    </row>
    <row r="942">
      <c r="A942" s="100"/>
      <c r="B942" s="320"/>
      <c r="C942" s="320"/>
      <c r="D942" s="320"/>
    </row>
    <row r="943">
      <c r="A943" s="100"/>
      <c r="B943" s="320"/>
      <c r="C943" s="320"/>
      <c r="D943" s="320"/>
    </row>
    <row r="944">
      <c r="A944" s="100"/>
      <c r="B944" s="320"/>
      <c r="C944" s="320"/>
      <c r="D944" s="320"/>
    </row>
    <row r="945">
      <c r="A945" s="100"/>
      <c r="B945" s="320"/>
      <c r="C945" s="320"/>
      <c r="D945" s="320"/>
    </row>
    <row r="946">
      <c r="A946" s="100"/>
      <c r="B946" s="320"/>
      <c r="C946" s="320"/>
      <c r="D946" s="320"/>
    </row>
    <row r="947">
      <c r="A947" s="100"/>
      <c r="B947" s="320"/>
      <c r="C947" s="320"/>
      <c r="D947" s="320"/>
    </row>
    <row r="948">
      <c r="A948" s="100"/>
      <c r="B948" s="320"/>
      <c r="C948" s="320"/>
      <c r="D948" s="320"/>
    </row>
    <row r="949">
      <c r="A949" s="100"/>
      <c r="B949" s="320"/>
      <c r="C949" s="320"/>
      <c r="D949" s="320"/>
    </row>
    <row r="950">
      <c r="A950" s="100"/>
      <c r="B950" s="320"/>
      <c r="C950" s="320"/>
      <c r="D950" s="320"/>
    </row>
    <row r="951">
      <c r="A951" s="100"/>
      <c r="B951" s="320"/>
      <c r="C951" s="320"/>
      <c r="D951" s="320"/>
    </row>
    <row r="952">
      <c r="A952" s="100"/>
      <c r="B952" s="320"/>
      <c r="C952" s="320"/>
      <c r="D952" s="320"/>
    </row>
    <row r="953">
      <c r="A953" s="100"/>
      <c r="B953" s="320"/>
      <c r="C953" s="320"/>
      <c r="D953" s="320"/>
    </row>
    <row r="954">
      <c r="A954" s="100"/>
      <c r="B954" s="320"/>
      <c r="C954" s="320"/>
      <c r="D954" s="320"/>
    </row>
    <row r="955">
      <c r="A955" s="100"/>
      <c r="B955" s="320"/>
      <c r="C955" s="320"/>
      <c r="D955" s="320"/>
    </row>
    <row r="956">
      <c r="A956" s="100"/>
      <c r="B956" s="320"/>
      <c r="C956" s="320"/>
      <c r="D956" s="320"/>
    </row>
    <row r="957">
      <c r="A957" s="100"/>
      <c r="B957" s="320"/>
      <c r="C957" s="320"/>
      <c r="D957" s="320"/>
    </row>
    <row r="958">
      <c r="A958" s="100"/>
      <c r="B958" s="320"/>
      <c r="C958" s="320"/>
      <c r="D958" s="320"/>
    </row>
    <row r="959">
      <c r="A959" s="100"/>
      <c r="B959" s="320"/>
      <c r="C959" s="320"/>
      <c r="D959" s="320"/>
    </row>
    <row r="960">
      <c r="A960" s="100"/>
      <c r="B960" s="320"/>
      <c r="C960" s="320"/>
      <c r="D960" s="320"/>
    </row>
    <row r="961">
      <c r="A961" s="100"/>
      <c r="B961" s="320"/>
      <c r="C961" s="320"/>
      <c r="D961" s="320"/>
    </row>
    <row r="962">
      <c r="A962" s="100"/>
      <c r="B962" s="320"/>
      <c r="C962" s="320"/>
      <c r="D962" s="320"/>
    </row>
    <row r="963">
      <c r="A963" s="100"/>
      <c r="B963" s="320"/>
      <c r="C963" s="320"/>
      <c r="D963" s="320"/>
    </row>
    <row r="964">
      <c r="A964" s="100"/>
      <c r="B964" s="320"/>
      <c r="C964" s="320"/>
      <c r="D964" s="320"/>
    </row>
    <row r="965">
      <c r="A965" s="100"/>
      <c r="B965" s="320"/>
      <c r="C965" s="320"/>
      <c r="D965" s="320"/>
    </row>
    <row r="966">
      <c r="A966" s="100"/>
      <c r="B966" s="320"/>
      <c r="C966" s="320"/>
      <c r="D966" s="320"/>
    </row>
    <row r="967">
      <c r="A967" s="100"/>
      <c r="B967" s="320"/>
      <c r="C967" s="320"/>
      <c r="D967" s="320"/>
    </row>
    <row r="968">
      <c r="A968" s="100"/>
      <c r="B968" s="320"/>
      <c r="C968" s="320"/>
      <c r="D968" s="320"/>
    </row>
    <row r="969">
      <c r="A969" s="100"/>
      <c r="B969" s="320"/>
      <c r="C969" s="320"/>
      <c r="D969" s="320"/>
    </row>
    <row r="970">
      <c r="A970" s="100"/>
      <c r="B970" s="320"/>
      <c r="C970" s="320"/>
      <c r="D970" s="320"/>
    </row>
    <row r="971">
      <c r="A971" s="100"/>
      <c r="B971" s="320"/>
      <c r="C971" s="320"/>
      <c r="D971" s="320"/>
    </row>
    <row r="972">
      <c r="A972" s="100"/>
      <c r="B972" s="320"/>
      <c r="C972" s="320"/>
      <c r="D972" s="320"/>
    </row>
    <row r="973">
      <c r="A973" s="100"/>
      <c r="B973" s="320"/>
      <c r="C973" s="320"/>
      <c r="D973" s="320"/>
    </row>
    <row r="974">
      <c r="A974" s="100"/>
      <c r="B974" s="320"/>
      <c r="C974" s="320"/>
      <c r="D974" s="320"/>
    </row>
    <row r="975">
      <c r="A975" s="100"/>
      <c r="B975" s="320"/>
      <c r="C975" s="320"/>
      <c r="D975" s="320"/>
    </row>
    <row r="976">
      <c r="A976" s="100"/>
      <c r="B976" s="320"/>
      <c r="C976" s="320"/>
      <c r="D976" s="320"/>
    </row>
    <row r="977">
      <c r="A977" s="100"/>
      <c r="B977" s="320"/>
      <c r="C977" s="320"/>
      <c r="D977" s="320"/>
    </row>
    <row r="978">
      <c r="A978" s="100"/>
      <c r="B978" s="320"/>
      <c r="C978" s="320"/>
      <c r="D978" s="320"/>
    </row>
    <row r="979">
      <c r="A979" s="100"/>
      <c r="B979" s="320"/>
      <c r="C979" s="320"/>
      <c r="D979" s="320"/>
    </row>
    <row r="980">
      <c r="A980" s="100"/>
      <c r="B980" s="320"/>
      <c r="C980" s="320"/>
      <c r="D980" s="320"/>
    </row>
    <row r="981">
      <c r="A981" s="100"/>
      <c r="B981" s="320"/>
      <c r="C981" s="320"/>
      <c r="D981" s="320"/>
    </row>
    <row r="982">
      <c r="A982" s="100"/>
      <c r="B982" s="320"/>
      <c r="C982" s="320"/>
      <c r="D982" s="320"/>
    </row>
    <row r="983">
      <c r="A983" s="100"/>
      <c r="B983" s="320"/>
      <c r="C983" s="320"/>
      <c r="D983" s="320"/>
    </row>
    <row r="984">
      <c r="A984" s="100"/>
      <c r="B984" s="320"/>
      <c r="C984" s="320"/>
      <c r="D984" s="320"/>
    </row>
    <row r="985">
      <c r="A985" s="100"/>
      <c r="B985" s="320"/>
      <c r="C985" s="320"/>
      <c r="D985" s="320"/>
    </row>
    <row r="986">
      <c r="A986" s="100"/>
      <c r="B986" s="320"/>
      <c r="C986" s="320"/>
      <c r="D986" s="320"/>
    </row>
    <row r="987">
      <c r="A987" s="100"/>
      <c r="B987" s="320"/>
      <c r="C987" s="320"/>
      <c r="D987" s="320"/>
    </row>
    <row r="988">
      <c r="A988" s="100"/>
      <c r="B988" s="320"/>
      <c r="C988" s="320"/>
      <c r="D988" s="320"/>
    </row>
    <row r="989">
      <c r="A989" s="100"/>
      <c r="B989" s="320"/>
      <c r="C989" s="320"/>
      <c r="D989" s="320"/>
    </row>
    <row r="990">
      <c r="A990" s="100"/>
      <c r="B990" s="320"/>
      <c r="C990" s="320"/>
      <c r="D990" s="320"/>
    </row>
    <row r="991">
      <c r="A991" s="100"/>
      <c r="B991" s="320"/>
      <c r="C991" s="320"/>
      <c r="D991" s="320"/>
    </row>
    <row r="992">
      <c r="A992" s="100"/>
      <c r="B992" s="320"/>
      <c r="C992" s="320"/>
      <c r="D992" s="320"/>
    </row>
    <row r="993">
      <c r="A993" s="100"/>
      <c r="B993" s="320"/>
      <c r="C993" s="320"/>
      <c r="D993" s="320"/>
    </row>
    <row r="994">
      <c r="A994" s="100"/>
      <c r="B994" s="320"/>
      <c r="C994" s="320"/>
      <c r="D994" s="320"/>
    </row>
    <row r="995">
      <c r="A995" s="100"/>
      <c r="B995" s="320"/>
      <c r="C995" s="320"/>
      <c r="D995" s="320"/>
    </row>
    <row r="996">
      <c r="A996" s="100"/>
      <c r="B996" s="320"/>
      <c r="C996" s="320"/>
      <c r="D996" s="320"/>
    </row>
    <row r="997">
      <c r="A997" s="100"/>
      <c r="B997" s="320"/>
      <c r="C997" s="320"/>
      <c r="D997" s="320"/>
    </row>
    <row r="998">
      <c r="A998" s="100"/>
      <c r="B998" s="320"/>
      <c r="C998" s="320"/>
      <c r="D998" s="320"/>
    </row>
    <row r="999">
      <c r="A999" s="100"/>
      <c r="B999" s="320"/>
      <c r="C999" s="320"/>
      <c r="D999" s="320"/>
    </row>
    <row r="1000">
      <c r="A1000" s="100"/>
      <c r="B1000" s="320"/>
      <c r="C1000" s="320"/>
      <c r="D1000" s="320"/>
    </row>
    <row r="1001">
      <c r="A1001" s="100"/>
      <c r="B1001" s="320"/>
      <c r="C1001" s="320"/>
      <c r="D1001" s="320"/>
    </row>
    <row r="1002">
      <c r="A1002" s="100"/>
      <c r="B1002" s="320"/>
      <c r="C1002" s="320"/>
      <c r="D1002" s="320"/>
    </row>
  </sheetData>
  <conditionalFormatting sqref="E3:E65">
    <cfRule type="containsText" dxfId="8" priority="1" operator="containsText" text="CAMISETA">
      <formula>NOT(ISERROR(SEARCH(("CAMISETA"),(E3))))</formula>
    </cfRule>
  </conditionalFormatting>
  <conditionalFormatting sqref="E3:E65">
    <cfRule type="containsText" dxfId="7" priority="2" operator="containsText" text="MENSALIDADE">
      <formula>NOT(ISERROR(SEARCH(("MENSALIDADE"),(E3))))</formula>
    </cfRule>
  </conditionalFormatting>
  <conditionalFormatting sqref="E3:E65">
    <cfRule type="containsText" dxfId="8" priority="3" operator="containsText" text="UNIFORME">
      <formula>NOT(ISERROR(SEARCH(("UNIFORME"),(E3))))</formula>
    </cfRule>
  </conditionalFormatting>
  <conditionalFormatting sqref="E3:E65">
    <cfRule type="containsText" dxfId="8" priority="4" operator="containsText" text="CALÇÃO">
      <formula>NOT(ISERROR(SEARCH(("CALÇÃO"),(E3))))</formula>
    </cfRule>
  </conditionalFormatting>
  <conditionalFormatting sqref="E3:E65">
    <cfRule type="containsText" dxfId="8" priority="5" operator="containsText" text="CAMISA">
      <formula>NOT(ISERROR(SEARCH(("CAMISA"),(E3))))</formula>
    </cfRule>
  </conditionalFormatting>
  <conditionalFormatting sqref="E3:E65">
    <cfRule type="containsText" dxfId="8" priority="6" operator="containsText" text="MEIÃO">
      <formula>NOT(ISERROR(SEARCH(("MEIÃO"),(E3))))</formula>
    </cfRule>
  </conditionalFormatting>
  <dataValidations>
    <dataValidation type="list" allowBlank="1" sqref="F3:F65">
      <formula1>"MENSALIDADE,UNIFORME,OUTROS"</formula1>
    </dataValidation>
    <dataValidation type="custom" allowBlank="1" showDropDown="1" sqref="A3:A65">
      <formula1>OR(NOT(ISERROR(DATEVALUE(A3))), AND(ISNUMBER(A3), LEFT(CELL("format", A3))="D"))</formula1>
    </dataValidation>
    <dataValidation type="custom" allowBlank="1" showDropDown="1" sqref="B3:C65">
      <formula1>AND(ISNUMBER(B3),(NOT(OR(NOT(ISERROR(DATEVALUE(B3))), AND(ISNUMBER(B3), LEFT(CELL("format", B3))="D")))))</formula1>
    </dataValidation>
    <dataValidation allowBlank="1" showDropDown="1" sqref="E3:E65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4" width="13.0"/>
    <col customWidth="1" min="5" max="5" width="47.0"/>
    <col customWidth="1" min="6" max="6" width="27.5"/>
    <col customWidth="1" min="7" max="7" width="17.75"/>
    <col customWidth="1" min="8" max="8" width="14.88"/>
    <col customWidth="1" min="9" max="9" width="21.13"/>
  </cols>
  <sheetData>
    <row r="1">
      <c r="B1" s="1"/>
      <c r="C1" s="1"/>
      <c r="D1" s="1"/>
      <c r="E1" s="2" t="s">
        <v>859</v>
      </c>
      <c r="F1" s="3"/>
    </row>
    <row r="2">
      <c r="A2" s="4" t="s">
        <v>2</v>
      </c>
      <c r="B2" s="5" t="s">
        <v>3</v>
      </c>
      <c r="C2" s="7" t="s">
        <v>4</v>
      </c>
      <c r="D2" s="8" t="s">
        <v>5</v>
      </c>
      <c r="E2" s="11" t="s">
        <v>6</v>
      </c>
      <c r="F2" s="12" t="s">
        <v>5</v>
      </c>
      <c r="H2" s="15"/>
      <c r="I2" s="15"/>
    </row>
    <row r="3">
      <c r="A3" s="18">
        <v>46266.0</v>
      </c>
      <c r="B3" s="19">
        <v>250.0</v>
      </c>
      <c r="C3" s="21"/>
      <c r="D3" s="22" t="s">
        <v>66</v>
      </c>
      <c r="E3" s="24" t="s">
        <v>861</v>
      </c>
      <c r="F3" s="28" t="s">
        <v>15</v>
      </c>
      <c r="G3" s="30" t="s">
        <v>17</v>
      </c>
      <c r="H3" s="31" t="s">
        <v>19</v>
      </c>
      <c r="I3" s="33" t="s">
        <v>21</v>
      </c>
    </row>
    <row r="4">
      <c r="A4" s="18">
        <v>46266.0</v>
      </c>
      <c r="B4" s="19">
        <v>230.0</v>
      </c>
      <c r="C4" s="21"/>
      <c r="D4" s="22" t="s">
        <v>66</v>
      </c>
      <c r="E4" s="24" t="s">
        <v>865</v>
      </c>
      <c r="F4" s="28" t="s">
        <v>62</v>
      </c>
      <c r="G4" s="42">
        <f>SUM(B3:B50)</f>
        <v>17859</v>
      </c>
      <c r="H4" s="49">
        <f>SUM(C3:C42)</f>
        <v>0</v>
      </c>
      <c r="I4" s="53">
        <f>G4-H4</f>
        <v>17859</v>
      </c>
    </row>
    <row r="5">
      <c r="A5" s="18">
        <v>46266.0</v>
      </c>
      <c r="B5" s="19">
        <v>185.0</v>
      </c>
      <c r="C5" s="21"/>
      <c r="D5" s="22" t="s">
        <v>11</v>
      </c>
      <c r="E5" s="24" t="s">
        <v>867</v>
      </c>
      <c r="F5" s="28" t="s">
        <v>62</v>
      </c>
    </row>
    <row r="6">
      <c r="A6" s="18">
        <v>46268.0</v>
      </c>
      <c r="B6" s="19">
        <v>250.0</v>
      </c>
      <c r="C6" s="21"/>
      <c r="D6" s="22" t="s">
        <v>11</v>
      </c>
      <c r="E6" s="24" t="s">
        <v>869</v>
      </c>
      <c r="F6" s="28" t="s">
        <v>15</v>
      </c>
    </row>
    <row r="7">
      <c r="A7" s="18">
        <v>46268.0</v>
      </c>
      <c r="B7" s="19">
        <v>250.0</v>
      </c>
      <c r="C7" s="21"/>
      <c r="D7" s="22" t="s">
        <v>11</v>
      </c>
      <c r="E7" s="24" t="s">
        <v>871</v>
      </c>
      <c r="F7" s="28" t="s">
        <v>15</v>
      </c>
    </row>
    <row r="8">
      <c r="A8" s="18">
        <v>46268.0</v>
      </c>
      <c r="B8" s="19">
        <v>700.0</v>
      </c>
      <c r="C8" s="21"/>
      <c r="D8" s="22" t="s">
        <v>11</v>
      </c>
      <c r="E8" s="24" t="s">
        <v>872</v>
      </c>
      <c r="F8" s="28" t="s">
        <v>15</v>
      </c>
    </row>
    <row r="9">
      <c r="A9" s="18">
        <v>46268.0</v>
      </c>
      <c r="B9" s="19">
        <v>225.0</v>
      </c>
      <c r="C9" s="21"/>
      <c r="D9" s="22" t="s">
        <v>60</v>
      </c>
      <c r="E9" s="24" t="s">
        <v>873</v>
      </c>
      <c r="F9" s="28" t="s">
        <v>15</v>
      </c>
    </row>
    <row r="10">
      <c r="A10" s="18">
        <v>46268.0</v>
      </c>
      <c r="B10" s="19">
        <v>200.0</v>
      </c>
      <c r="C10" s="21"/>
      <c r="D10" s="22" t="s">
        <v>60</v>
      </c>
      <c r="E10" s="24" t="s">
        <v>875</v>
      </c>
      <c r="F10" s="28" t="s">
        <v>62</v>
      </c>
    </row>
    <row r="11">
      <c r="A11" s="18">
        <v>46269.0</v>
      </c>
      <c r="B11" s="19">
        <v>200.0</v>
      </c>
      <c r="C11" s="21"/>
      <c r="D11" s="22" t="s">
        <v>60</v>
      </c>
      <c r="E11" s="24" t="s">
        <v>876</v>
      </c>
      <c r="F11" s="28" t="s">
        <v>62</v>
      </c>
    </row>
    <row r="12">
      <c r="A12" s="18">
        <v>46269.0</v>
      </c>
      <c r="B12" s="19">
        <v>300.0</v>
      </c>
      <c r="C12" s="21"/>
      <c r="D12" s="22" t="s">
        <v>51</v>
      </c>
      <c r="E12" s="36" t="s">
        <v>877</v>
      </c>
      <c r="F12" s="28" t="s">
        <v>15</v>
      </c>
    </row>
    <row r="13">
      <c r="A13" s="18">
        <v>46269.0</v>
      </c>
      <c r="B13" s="19">
        <v>270.0</v>
      </c>
      <c r="C13" s="21"/>
      <c r="D13" s="22" t="s">
        <v>60</v>
      </c>
      <c r="E13" s="24" t="s">
        <v>878</v>
      </c>
      <c r="F13" s="28" t="s">
        <v>15</v>
      </c>
    </row>
    <row r="14">
      <c r="A14" s="18">
        <v>46273.0</v>
      </c>
      <c r="B14" s="19">
        <v>315.0</v>
      </c>
      <c r="C14" s="21"/>
      <c r="D14" s="22" t="s">
        <v>60</v>
      </c>
      <c r="E14" s="36" t="s">
        <v>880</v>
      </c>
      <c r="F14" s="28" t="s">
        <v>15</v>
      </c>
    </row>
    <row r="15">
      <c r="A15" s="18">
        <v>46273.0</v>
      </c>
      <c r="B15" s="19">
        <v>250.0</v>
      </c>
      <c r="C15" s="21"/>
      <c r="D15" s="22" t="s">
        <v>11</v>
      </c>
      <c r="E15" s="36" t="s">
        <v>881</v>
      </c>
      <c r="F15" s="28" t="s">
        <v>15</v>
      </c>
    </row>
    <row r="16">
      <c r="A16" s="18">
        <v>46273.0</v>
      </c>
      <c r="B16" s="19">
        <v>250.0</v>
      </c>
      <c r="C16" s="21"/>
      <c r="D16" s="22" t="s">
        <v>11</v>
      </c>
      <c r="E16" s="24" t="s">
        <v>882</v>
      </c>
      <c r="F16" s="28" t="s">
        <v>15</v>
      </c>
    </row>
    <row r="17">
      <c r="A17" s="18">
        <v>46274.0</v>
      </c>
      <c r="B17" s="19">
        <v>45.0</v>
      </c>
      <c r="C17" s="21"/>
      <c r="D17" s="22" t="s">
        <v>11</v>
      </c>
      <c r="E17" s="36" t="s">
        <v>883</v>
      </c>
      <c r="F17" s="28" t="s">
        <v>62</v>
      </c>
    </row>
    <row r="18">
      <c r="A18" s="18">
        <v>46275.0</v>
      </c>
      <c r="B18" s="19">
        <v>80.0</v>
      </c>
      <c r="C18" s="21"/>
      <c r="D18" s="22" t="s">
        <v>60</v>
      </c>
      <c r="E18" s="24" t="s">
        <v>884</v>
      </c>
      <c r="F18" s="28" t="s">
        <v>15</v>
      </c>
    </row>
    <row r="19">
      <c r="A19" s="18">
        <v>46275.0</v>
      </c>
      <c r="B19" s="19">
        <v>170.0</v>
      </c>
      <c r="C19" s="21"/>
      <c r="D19" s="22" t="s">
        <v>11</v>
      </c>
      <c r="E19" s="24" t="s">
        <v>884</v>
      </c>
      <c r="F19" s="28" t="s">
        <v>15</v>
      </c>
    </row>
    <row r="20">
      <c r="A20" s="18">
        <v>46275.0</v>
      </c>
      <c r="B20" s="19">
        <v>350.0</v>
      </c>
      <c r="C20" s="21"/>
      <c r="D20" s="22" t="s">
        <v>11</v>
      </c>
      <c r="E20" s="36" t="s">
        <v>885</v>
      </c>
      <c r="F20" s="61" t="s">
        <v>15</v>
      </c>
    </row>
    <row r="21">
      <c r="A21" s="18">
        <v>46276.0</v>
      </c>
      <c r="B21" s="19">
        <v>330.0</v>
      </c>
      <c r="C21" s="21"/>
      <c r="D21" s="22" t="s">
        <v>11</v>
      </c>
      <c r="E21" s="36" t="s">
        <v>887</v>
      </c>
      <c r="F21" s="61" t="s">
        <v>15</v>
      </c>
    </row>
    <row r="22">
      <c r="A22" s="18">
        <v>46276.0</v>
      </c>
      <c r="B22" s="19">
        <v>38.0</v>
      </c>
      <c r="C22" s="21"/>
      <c r="D22" s="22" t="s">
        <v>60</v>
      </c>
      <c r="E22" s="36" t="s">
        <v>888</v>
      </c>
      <c r="F22" s="61" t="s">
        <v>62</v>
      </c>
    </row>
    <row r="23">
      <c r="A23" s="18">
        <v>46276.0</v>
      </c>
      <c r="B23" s="19">
        <v>250.0</v>
      </c>
      <c r="C23" s="21"/>
      <c r="D23" s="22" t="s">
        <v>60</v>
      </c>
      <c r="E23" s="36" t="s">
        <v>889</v>
      </c>
      <c r="F23" s="61" t="s">
        <v>15</v>
      </c>
    </row>
    <row r="24">
      <c r="A24" s="18">
        <v>46276.0</v>
      </c>
      <c r="B24" s="19">
        <v>250.0</v>
      </c>
      <c r="C24" s="21"/>
      <c r="D24" s="22" t="s">
        <v>11</v>
      </c>
      <c r="E24" s="63" t="s">
        <v>853</v>
      </c>
      <c r="F24" s="61" t="s">
        <v>15</v>
      </c>
    </row>
    <row r="25">
      <c r="A25" s="18">
        <v>46276.0</v>
      </c>
      <c r="B25" s="19">
        <v>1710.0</v>
      </c>
      <c r="C25" s="21"/>
      <c r="D25" s="22" t="s">
        <v>890</v>
      </c>
      <c r="E25" s="63" t="s">
        <v>891</v>
      </c>
      <c r="F25" s="61" t="s">
        <v>15</v>
      </c>
    </row>
    <row r="26">
      <c r="A26" s="18">
        <v>46276.0</v>
      </c>
      <c r="B26" s="19">
        <v>45.0</v>
      </c>
      <c r="C26" s="21"/>
      <c r="D26" s="22" t="s">
        <v>66</v>
      </c>
      <c r="E26" s="63" t="s">
        <v>892</v>
      </c>
      <c r="F26" s="61" t="s">
        <v>62</v>
      </c>
    </row>
    <row r="27">
      <c r="A27" s="18">
        <v>46279.0</v>
      </c>
      <c r="B27" s="19">
        <v>250.0</v>
      </c>
      <c r="C27" s="21"/>
      <c r="D27" s="22" t="s">
        <v>11</v>
      </c>
      <c r="E27" s="65" t="s">
        <v>893</v>
      </c>
      <c r="F27" s="61" t="s">
        <v>15</v>
      </c>
    </row>
    <row r="28">
      <c r="A28" s="18">
        <v>46279.0</v>
      </c>
      <c r="B28" s="19">
        <v>475.0</v>
      </c>
      <c r="C28" s="21"/>
      <c r="D28" s="22" t="s">
        <v>11</v>
      </c>
      <c r="E28" s="63" t="s">
        <v>894</v>
      </c>
      <c r="F28" s="61" t="s">
        <v>15</v>
      </c>
      <c r="G28" s="30" t="s">
        <v>82</v>
      </c>
      <c r="H28" s="30">
        <f>SUM(B28,B40,B44)</f>
        <v>860</v>
      </c>
    </row>
    <row r="29">
      <c r="A29" s="18">
        <v>46279.0</v>
      </c>
      <c r="B29" s="19">
        <v>350.0</v>
      </c>
      <c r="C29" s="21"/>
      <c r="D29" s="22" t="s">
        <v>307</v>
      </c>
      <c r="E29" s="63" t="s">
        <v>898</v>
      </c>
      <c r="F29" s="61" t="s">
        <v>15</v>
      </c>
      <c r="G29" s="42" t="s">
        <v>84</v>
      </c>
      <c r="H29" s="42">
        <f>SUM(B3:B15,B17:B20,B23:B27,B29:B33,B35:B39,B42:B43,B45:B48)</f>
        <v>14301</v>
      </c>
    </row>
    <row r="30">
      <c r="A30" s="18">
        <v>46279.0</v>
      </c>
      <c r="B30" s="19">
        <v>332.0</v>
      </c>
      <c r="C30" s="21"/>
      <c r="D30" s="22" t="s">
        <v>51</v>
      </c>
      <c r="E30" s="63" t="s">
        <v>895</v>
      </c>
      <c r="F30" s="61" t="s">
        <v>15</v>
      </c>
      <c r="G30" s="30" t="s">
        <v>85</v>
      </c>
      <c r="H30" s="30">
        <f>SUM(B22,B21,B16,B34,B41)</f>
        <v>943</v>
      </c>
    </row>
    <row r="31">
      <c r="A31" s="18">
        <v>46280.0</v>
      </c>
      <c r="B31" s="19">
        <v>230.0</v>
      </c>
      <c r="C31" s="21"/>
      <c r="D31" s="22" t="s">
        <v>60</v>
      </c>
      <c r="E31" s="63" t="s">
        <v>65</v>
      </c>
      <c r="F31" s="61" t="s">
        <v>15</v>
      </c>
      <c r="G31" s="42"/>
      <c r="H31" s="42"/>
    </row>
    <row r="32">
      <c r="A32" s="18">
        <v>46280.0</v>
      </c>
      <c r="B32" s="19">
        <v>400.0</v>
      </c>
      <c r="C32" s="21"/>
      <c r="D32" s="22" t="s">
        <v>60</v>
      </c>
      <c r="E32" s="63" t="s">
        <v>901</v>
      </c>
      <c r="F32" s="61" t="s">
        <v>15</v>
      </c>
      <c r="G32" s="42" t="s">
        <v>86</v>
      </c>
      <c r="H32" s="42">
        <f>SUM(H28:H30)</f>
        <v>16104</v>
      </c>
    </row>
    <row r="33">
      <c r="A33" s="18">
        <v>46280.0</v>
      </c>
      <c r="B33" s="19">
        <v>475.0</v>
      </c>
      <c r="C33" s="21"/>
      <c r="D33" s="22" t="s">
        <v>11</v>
      </c>
      <c r="E33" s="63" t="s">
        <v>902</v>
      </c>
      <c r="F33" s="61" t="s">
        <v>15</v>
      </c>
    </row>
    <row r="34">
      <c r="A34" s="18">
        <v>46280.0</v>
      </c>
      <c r="B34" s="19">
        <v>45.0</v>
      </c>
      <c r="C34" s="21"/>
      <c r="D34" s="22" t="s">
        <v>11</v>
      </c>
      <c r="E34" s="63" t="s">
        <v>903</v>
      </c>
      <c r="F34" s="61" t="s">
        <v>62</v>
      </c>
    </row>
    <row r="35">
      <c r="A35" s="18">
        <v>46273.0</v>
      </c>
      <c r="B35" s="19">
        <v>250.0</v>
      </c>
      <c r="C35" s="21"/>
      <c r="D35" s="22" t="s">
        <v>11</v>
      </c>
      <c r="E35" s="65" t="s">
        <v>882</v>
      </c>
      <c r="F35" s="61" t="s">
        <v>15</v>
      </c>
    </row>
    <row r="36">
      <c r="A36" s="18">
        <v>46273.0</v>
      </c>
      <c r="B36" s="19">
        <v>250.0</v>
      </c>
      <c r="C36" s="21"/>
      <c r="D36" s="22" t="s">
        <v>11</v>
      </c>
      <c r="E36" s="65" t="s">
        <v>904</v>
      </c>
      <c r="F36" s="61" t="s">
        <v>15</v>
      </c>
    </row>
    <row r="37">
      <c r="A37" s="18">
        <v>46280.0</v>
      </c>
      <c r="B37" s="19">
        <v>230.0</v>
      </c>
      <c r="C37" s="21"/>
      <c r="D37" s="22" t="s">
        <v>60</v>
      </c>
      <c r="E37" s="63" t="s">
        <v>905</v>
      </c>
      <c r="F37" s="61" t="s">
        <v>15</v>
      </c>
    </row>
    <row r="38">
      <c r="A38" s="18">
        <v>46282.0</v>
      </c>
      <c r="B38" s="19">
        <v>65.0</v>
      </c>
      <c r="C38" s="21"/>
      <c r="D38" s="22" t="s">
        <v>66</v>
      </c>
      <c r="E38" s="63" t="s">
        <v>906</v>
      </c>
      <c r="F38" s="61" t="s">
        <v>62</v>
      </c>
    </row>
    <row r="39">
      <c r="A39" s="18">
        <v>46282.0</v>
      </c>
      <c r="B39" s="19">
        <v>500.0</v>
      </c>
      <c r="C39" s="21"/>
      <c r="D39" s="22" t="s">
        <v>66</v>
      </c>
      <c r="E39" s="65" t="s">
        <v>907</v>
      </c>
      <c r="F39" s="61" t="s">
        <v>15</v>
      </c>
    </row>
    <row r="40">
      <c r="A40" s="18">
        <v>46283.0</v>
      </c>
      <c r="B40" s="19">
        <v>180.0</v>
      </c>
      <c r="C40" s="21"/>
      <c r="D40" s="22" t="s">
        <v>11</v>
      </c>
      <c r="E40" s="65" t="s">
        <v>908</v>
      </c>
      <c r="F40" s="61" t="s">
        <v>15</v>
      </c>
    </row>
    <row r="41">
      <c r="A41" s="18">
        <v>46283.0</v>
      </c>
      <c r="B41" s="19">
        <v>280.0</v>
      </c>
      <c r="C41" s="21"/>
      <c r="D41" s="22" t="s">
        <v>66</v>
      </c>
      <c r="E41" s="65" t="s">
        <v>910</v>
      </c>
      <c r="F41" s="61" t="s">
        <v>15</v>
      </c>
    </row>
    <row r="42">
      <c r="A42" s="18">
        <v>46286.0</v>
      </c>
      <c r="B42" s="19">
        <v>162.0</v>
      </c>
      <c r="C42" s="21"/>
      <c r="D42" s="22" t="s">
        <v>60</v>
      </c>
      <c r="E42" s="63" t="s">
        <v>911</v>
      </c>
      <c r="F42" s="61" t="s">
        <v>15</v>
      </c>
    </row>
    <row r="43">
      <c r="A43" s="18">
        <v>46286.0</v>
      </c>
      <c r="B43" s="19">
        <v>180.0</v>
      </c>
      <c r="C43" s="21"/>
      <c r="D43" s="22" t="s">
        <v>912</v>
      </c>
      <c r="E43" s="65" t="s">
        <v>913</v>
      </c>
      <c r="F43" s="61" t="s">
        <v>15</v>
      </c>
    </row>
    <row r="44">
      <c r="A44" s="18">
        <v>46283.0</v>
      </c>
      <c r="B44" s="19">
        <v>205.0</v>
      </c>
      <c r="C44" s="21"/>
      <c r="D44" s="22" t="s">
        <v>66</v>
      </c>
      <c r="E44" s="63" t="s">
        <v>914</v>
      </c>
      <c r="F44" s="61" t="s">
        <v>62</v>
      </c>
    </row>
    <row r="45">
      <c r="A45" s="18">
        <v>46288.0</v>
      </c>
      <c r="B45" s="19"/>
      <c r="C45" s="21"/>
      <c r="D45" s="22"/>
      <c r="E45" s="65" t="s">
        <v>915</v>
      </c>
      <c r="F45" s="61" t="s">
        <v>15</v>
      </c>
    </row>
    <row r="46">
      <c r="A46" s="18">
        <v>46289.0</v>
      </c>
      <c r="B46" s="19">
        <v>500.0</v>
      </c>
      <c r="C46" s="21"/>
      <c r="D46" s="22" t="s">
        <v>66</v>
      </c>
      <c r="E46" s="63" t="s">
        <v>917</v>
      </c>
      <c r="F46" s="61" t="s">
        <v>15</v>
      </c>
    </row>
    <row r="47">
      <c r="A47" s="18">
        <v>46286.0</v>
      </c>
      <c r="B47" s="19">
        <v>3402.0</v>
      </c>
      <c r="C47" s="21"/>
      <c r="D47" s="22" t="s">
        <v>319</v>
      </c>
      <c r="E47" s="63" t="s">
        <v>918</v>
      </c>
      <c r="F47" s="61" t="s">
        <v>15</v>
      </c>
    </row>
    <row r="48">
      <c r="A48" s="18">
        <v>46293.0</v>
      </c>
      <c r="B48" s="19">
        <v>200.0</v>
      </c>
      <c r="C48" s="21"/>
      <c r="D48" s="22" t="s">
        <v>11</v>
      </c>
      <c r="E48" s="65" t="s">
        <v>919</v>
      </c>
      <c r="F48" s="61" t="s">
        <v>15</v>
      </c>
    </row>
    <row r="49">
      <c r="A49" s="18">
        <v>46290.0</v>
      </c>
      <c r="B49" s="19">
        <v>45.0</v>
      </c>
      <c r="C49" s="21"/>
      <c r="D49" s="22" t="s">
        <v>696</v>
      </c>
      <c r="E49" s="63" t="s">
        <v>920</v>
      </c>
      <c r="F49" s="61" t="s">
        <v>62</v>
      </c>
    </row>
    <row r="50">
      <c r="A50" s="18">
        <v>46294.0</v>
      </c>
      <c r="B50" s="19">
        <v>1710.0</v>
      </c>
      <c r="C50" s="21"/>
      <c r="D50" s="22" t="s">
        <v>921</v>
      </c>
      <c r="E50" s="63" t="s">
        <v>922</v>
      </c>
      <c r="F50" s="61" t="s">
        <v>15</v>
      </c>
    </row>
    <row r="51">
      <c r="A51" s="18">
        <v>46294.0</v>
      </c>
      <c r="B51" s="19">
        <v>250.0</v>
      </c>
      <c r="C51" s="21"/>
      <c r="D51" s="22" t="s">
        <v>11</v>
      </c>
      <c r="E51" s="65" t="s">
        <v>923</v>
      </c>
      <c r="F51" s="61" t="s">
        <v>15</v>
      </c>
    </row>
    <row r="52">
      <c r="A52" s="18">
        <v>46294.0</v>
      </c>
      <c r="B52" s="19">
        <v>180.0</v>
      </c>
      <c r="C52" s="21"/>
      <c r="D52" s="22" t="s">
        <v>471</v>
      </c>
      <c r="E52" s="65" t="s">
        <v>925</v>
      </c>
      <c r="F52" s="61" t="s">
        <v>15</v>
      </c>
    </row>
    <row r="53">
      <c r="A53" s="18">
        <v>46295.0</v>
      </c>
      <c r="B53" s="19">
        <v>243.0</v>
      </c>
      <c r="C53" s="21"/>
      <c r="D53" s="22" t="s">
        <v>11</v>
      </c>
      <c r="E53" s="65" t="s">
        <v>926</v>
      </c>
      <c r="F53" s="61" t="s">
        <v>15</v>
      </c>
    </row>
    <row r="54">
      <c r="A54" s="18">
        <v>46295.0</v>
      </c>
      <c r="B54" s="19">
        <v>350.0</v>
      </c>
      <c r="C54" s="21"/>
      <c r="D54" s="22" t="s">
        <v>11</v>
      </c>
      <c r="E54" s="65" t="s">
        <v>927</v>
      </c>
      <c r="F54" s="61" t="s">
        <v>15</v>
      </c>
    </row>
    <row r="55">
      <c r="A55" s="18">
        <v>46295.0</v>
      </c>
      <c r="B55" s="19">
        <v>250.0</v>
      </c>
      <c r="C55" s="21"/>
      <c r="D55" s="22" t="s">
        <v>11</v>
      </c>
      <c r="E55" s="65" t="s">
        <v>928</v>
      </c>
      <c r="F55" s="61" t="s">
        <v>15</v>
      </c>
    </row>
    <row r="56">
      <c r="A56" s="18">
        <v>46296.0</v>
      </c>
      <c r="B56" s="19">
        <v>250.0</v>
      </c>
      <c r="C56" s="21"/>
      <c r="D56" s="22" t="s">
        <v>11</v>
      </c>
      <c r="E56" s="65" t="s">
        <v>929</v>
      </c>
      <c r="F56" s="61" t="s">
        <v>15</v>
      </c>
    </row>
    <row r="57">
      <c r="A57" s="18">
        <v>46296.0</v>
      </c>
      <c r="B57" s="19">
        <v>225.0</v>
      </c>
      <c r="C57" s="21"/>
      <c r="D57" s="22" t="s">
        <v>60</v>
      </c>
      <c r="E57" s="65" t="s">
        <v>930</v>
      </c>
      <c r="F57" s="61" t="s">
        <v>15</v>
      </c>
    </row>
    <row r="58">
      <c r="A58" s="18">
        <v>46296.0</v>
      </c>
      <c r="B58" s="19">
        <v>160.0</v>
      </c>
      <c r="C58" s="21"/>
      <c r="D58" s="22" t="s">
        <v>60</v>
      </c>
      <c r="E58" s="63" t="s">
        <v>931</v>
      </c>
      <c r="F58" s="61" t="s">
        <v>15</v>
      </c>
    </row>
    <row r="59">
      <c r="A59" s="18">
        <v>46296.0</v>
      </c>
      <c r="B59" s="19">
        <v>250.0</v>
      </c>
      <c r="C59" s="21"/>
      <c r="D59" s="22" t="s">
        <v>60</v>
      </c>
      <c r="E59" s="65" t="s">
        <v>933</v>
      </c>
      <c r="F59" s="61" t="s">
        <v>15</v>
      </c>
    </row>
    <row r="60">
      <c r="A60" s="68"/>
      <c r="B60" s="69"/>
      <c r="C60" s="70"/>
      <c r="D60" s="71"/>
      <c r="E60" s="71"/>
      <c r="F60" s="71"/>
    </row>
    <row r="61">
      <c r="A61" s="68"/>
      <c r="B61" s="69"/>
      <c r="C61" s="70"/>
      <c r="D61" s="71"/>
      <c r="E61" s="71"/>
      <c r="F61" s="71"/>
    </row>
    <row r="62">
      <c r="A62" s="68"/>
      <c r="B62" s="69"/>
      <c r="C62" s="70"/>
      <c r="D62" s="71"/>
      <c r="E62" s="71"/>
      <c r="F62" s="71"/>
    </row>
    <row r="63">
      <c r="A63" s="68"/>
      <c r="B63" s="69"/>
      <c r="C63" s="70"/>
      <c r="D63" s="71"/>
      <c r="E63" s="71"/>
      <c r="F63" s="71"/>
    </row>
    <row r="64">
      <c r="A64" s="68"/>
      <c r="B64" s="69"/>
      <c r="C64" s="70"/>
      <c r="D64" s="71"/>
      <c r="E64" s="71"/>
      <c r="F64" s="71"/>
    </row>
    <row r="65">
      <c r="A65" s="68"/>
      <c r="B65" s="69"/>
      <c r="C65" s="70"/>
      <c r="D65" s="71"/>
      <c r="E65" s="71"/>
      <c r="F65" s="71"/>
    </row>
    <row r="66">
      <c r="A66" s="68"/>
      <c r="B66" s="69"/>
      <c r="C66" s="70"/>
      <c r="D66" s="71"/>
      <c r="E66" s="71"/>
      <c r="F66" s="71"/>
    </row>
    <row r="67">
      <c r="A67" s="68"/>
      <c r="B67" s="69"/>
      <c r="C67" s="70"/>
      <c r="D67" s="71"/>
      <c r="E67" s="71"/>
      <c r="F67" s="71"/>
    </row>
    <row r="68">
      <c r="A68" s="68"/>
      <c r="B68" s="69"/>
      <c r="C68" s="70"/>
      <c r="D68" s="71"/>
      <c r="E68" s="71"/>
      <c r="F68" s="71"/>
    </row>
    <row r="69">
      <c r="A69" s="68"/>
      <c r="B69" s="69"/>
      <c r="C69" s="70"/>
      <c r="D69" s="71"/>
      <c r="E69" s="71"/>
      <c r="F69" s="71"/>
    </row>
    <row r="70">
      <c r="A70" s="68"/>
      <c r="B70" s="69"/>
      <c r="C70" s="70"/>
      <c r="D70" s="71"/>
      <c r="E70" s="71"/>
      <c r="F70" s="71"/>
    </row>
    <row r="71">
      <c r="A71" s="68"/>
      <c r="B71" s="69"/>
      <c r="C71" s="70"/>
      <c r="D71" s="71"/>
      <c r="E71" s="71"/>
      <c r="F71" s="71"/>
    </row>
    <row r="72">
      <c r="A72" s="68"/>
      <c r="B72" s="69"/>
      <c r="C72" s="70"/>
      <c r="D72" s="71"/>
      <c r="E72" s="71"/>
      <c r="F72" s="71"/>
    </row>
    <row r="73">
      <c r="A73" s="68"/>
      <c r="B73" s="69"/>
      <c r="C73" s="70"/>
      <c r="D73" s="71"/>
      <c r="E73" s="71"/>
      <c r="F73" s="71"/>
    </row>
    <row r="74">
      <c r="A74" s="68"/>
      <c r="B74" s="69"/>
      <c r="C74" s="70"/>
      <c r="D74" s="71"/>
      <c r="E74" s="71"/>
      <c r="F74" s="71"/>
    </row>
    <row r="75">
      <c r="A75" s="68"/>
      <c r="B75" s="69"/>
      <c r="C75" s="70"/>
      <c r="D75" s="71"/>
      <c r="E75" s="71"/>
      <c r="F75" s="71"/>
    </row>
    <row r="76">
      <c r="A76" s="68"/>
      <c r="B76" s="69"/>
      <c r="C76" s="70"/>
      <c r="D76" s="71"/>
      <c r="E76" s="71"/>
      <c r="F76" s="71"/>
    </row>
    <row r="77">
      <c r="A77" s="68"/>
      <c r="B77" s="69"/>
      <c r="C77" s="70"/>
      <c r="D77" s="71"/>
      <c r="E77" s="71"/>
      <c r="F77" s="71"/>
    </row>
    <row r="78">
      <c r="A78" s="68"/>
      <c r="B78" s="69"/>
      <c r="C78" s="73"/>
      <c r="D78" s="71"/>
      <c r="E78" s="71"/>
      <c r="F78" s="71"/>
    </row>
    <row r="79">
      <c r="A79" s="68"/>
      <c r="B79" s="69"/>
      <c r="C79" s="73"/>
      <c r="D79" s="71"/>
      <c r="E79" s="71"/>
      <c r="F79" s="71"/>
    </row>
    <row r="80">
      <c r="A80" s="68"/>
      <c r="B80" s="69"/>
      <c r="C80" s="73"/>
      <c r="D80" s="71"/>
      <c r="E80" s="71"/>
      <c r="F80" s="71"/>
    </row>
    <row r="81">
      <c r="A81" s="68"/>
      <c r="B81" s="69"/>
      <c r="C81" s="73"/>
      <c r="D81" s="71"/>
      <c r="E81" s="71"/>
      <c r="F81" s="71"/>
    </row>
    <row r="82">
      <c r="A82" s="68"/>
      <c r="B82" s="69"/>
      <c r="C82" s="73"/>
      <c r="D82" s="71"/>
      <c r="E82" s="71"/>
      <c r="F82" s="71"/>
    </row>
    <row r="83">
      <c r="A83" s="68"/>
      <c r="B83" s="69"/>
      <c r="C83" s="73"/>
      <c r="D83" s="71"/>
      <c r="E83" s="71"/>
      <c r="F83" s="71"/>
    </row>
    <row r="84">
      <c r="A84" s="68"/>
      <c r="B84" s="69"/>
      <c r="C84" s="73"/>
      <c r="D84" s="71"/>
      <c r="E84" s="71"/>
      <c r="F84" s="71"/>
    </row>
    <row r="85">
      <c r="A85" s="68"/>
      <c r="B85" s="69"/>
      <c r="C85" s="73"/>
      <c r="D85" s="71"/>
      <c r="E85" s="71"/>
      <c r="F85" s="71"/>
    </row>
    <row r="86">
      <c r="A86" s="68"/>
      <c r="B86" s="69"/>
      <c r="C86" s="73"/>
      <c r="D86" s="71"/>
      <c r="E86" s="71"/>
      <c r="F86" s="71"/>
    </row>
    <row r="87">
      <c r="A87" s="68"/>
      <c r="B87" s="69"/>
      <c r="C87" s="73"/>
      <c r="D87" s="71"/>
      <c r="E87" s="71"/>
      <c r="F87" s="71"/>
    </row>
    <row r="88">
      <c r="A88" s="68"/>
      <c r="B88" s="69"/>
      <c r="C88" s="73"/>
      <c r="D88" s="71"/>
      <c r="E88" s="71"/>
      <c r="F88" s="71"/>
    </row>
    <row r="89">
      <c r="A89" s="68"/>
      <c r="B89" s="69"/>
      <c r="C89" s="73"/>
      <c r="D89" s="71"/>
      <c r="E89" s="71"/>
      <c r="F89" s="71"/>
    </row>
    <row r="90">
      <c r="A90" s="68"/>
      <c r="B90" s="69"/>
      <c r="C90" s="73"/>
      <c r="D90" s="71"/>
      <c r="E90" s="71"/>
      <c r="F90" s="71"/>
    </row>
    <row r="91">
      <c r="A91" s="68"/>
      <c r="B91" s="69"/>
      <c r="C91" s="73"/>
      <c r="D91" s="71"/>
      <c r="E91" s="71"/>
      <c r="F91" s="71"/>
    </row>
    <row r="92">
      <c r="A92" s="68"/>
      <c r="B92" s="69"/>
      <c r="C92" s="73"/>
      <c r="D92" s="71"/>
      <c r="E92" s="71"/>
      <c r="F92" s="71"/>
    </row>
    <row r="93">
      <c r="A93" s="68"/>
      <c r="B93" s="69"/>
      <c r="C93" s="73"/>
      <c r="D93" s="71"/>
      <c r="E93" s="71"/>
      <c r="F93" s="71"/>
    </row>
    <row r="94">
      <c r="A94" s="68"/>
      <c r="B94" s="69"/>
      <c r="C94" s="73"/>
      <c r="D94" s="71"/>
      <c r="E94" s="71"/>
      <c r="F94" s="71"/>
    </row>
    <row r="95">
      <c r="A95" s="68"/>
      <c r="B95" s="69"/>
      <c r="C95" s="73"/>
      <c r="D95" s="71"/>
      <c r="E95" s="71"/>
      <c r="F95" s="71"/>
    </row>
    <row r="96">
      <c r="A96" s="68"/>
      <c r="B96" s="69"/>
      <c r="C96" s="73"/>
      <c r="D96" s="71"/>
      <c r="E96" s="71"/>
      <c r="F96" s="71"/>
    </row>
    <row r="97">
      <c r="A97" s="68"/>
      <c r="B97" s="69"/>
      <c r="C97" s="73"/>
      <c r="D97" s="71"/>
      <c r="E97" s="71"/>
      <c r="F97" s="71"/>
    </row>
    <row r="98">
      <c r="A98" s="68"/>
      <c r="B98" s="69"/>
      <c r="C98" s="73"/>
      <c r="D98" s="71"/>
      <c r="E98" s="71"/>
      <c r="F98" s="71"/>
    </row>
    <row r="99">
      <c r="A99" s="68"/>
      <c r="B99" s="69"/>
      <c r="C99" s="73"/>
      <c r="D99" s="71"/>
      <c r="E99" s="71"/>
      <c r="F99" s="71"/>
    </row>
    <row r="100">
      <c r="A100" s="68"/>
      <c r="B100" s="69"/>
      <c r="C100" s="73"/>
      <c r="D100" s="71"/>
      <c r="E100" s="71"/>
      <c r="F100" s="71"/>
    </row>
    <row r="101">
      <c r="A101" s="68"/>
      <c r="B101" s="69"/>
      <c r="C101" s="73"/>
      <c r="D101" s="71"/>
      <c r="E101" s="71"/>
      <c r="F101" s="71"/>
    </row>
    <row r="102">
      <c r="A102" s="68"/>
      <c r="B102" s="69"/>
      <c r="C102" s="73"/>
      <c r="D102" s="71"/>
      <c r="E102" s="71"/>
      <c r="F102" s="71"/>
    </row>
    <row r="103">
      <c r="A103" s="68"/>
      <c r="B103" s="69"/>
      <c r="C103" s="73"/>
      <c r="D103" s="71"/>
      <c r="E103" s="71"/>
      <c r="F103" s="71"/>
    </row>
    <row r="104">
      <c r="A104" s="68"/>
      <c r="B104" s="69"/>
      <c r="C104" s="73"/>
      <c r="D104" s="71"/>
      <c r="E104" s="71"/>
      <c r="F104" s="71"/>
    </row>
    <row r="105">
      <c r="A105" s="68"/>
      <c r="B105" s="69"/>
      <c r="C105" s="73"/>
      <c r="D105" s="71"/>
      <c r="E105" s="71"/>
      <c r="F105" s="71"/>
    </row>
    <row r="106">
      <c r="A106" s="68"/>
      <c r="B106" s="69"/>
      <c r="C106" s="73"/>
      <c r="D106" s="71"/>
      <c r="E106" s="71"/>
      <c r="F106" s="71"/>
    </row>
    <row r="107">
      <c r="A107" s="68"/>
      <c r="B107" s="69"/>
      <c r="C107" s="73"/>
      <c r="D107" s="71"/>
      <c r="E107" s="71"/>
      <c r="F107" s="71"/>
    </row>
    <row r="108">
      <c r="A108" s="68"/>
      <c r="B108" s="69"/>
      <c r="C108" s="73"/>
      <c r="D108" s="71"/>
      <c r="E108" s="71"/>
      <c r="F108" s="71"/>
    </row>
    <row r="109">
      <c r="A109" s="68"/>
      <c r="B109" s="69"/>
      <c r="C109" s="73"/>
      <c r="D109" s="71"/>
      <c r="E109" s="71"/>
      <c r="F109" s="71"/>
    </row>
    <row r="110">
      <c r="A110" s="68"/>
      <c r="B110" s="69"/>
      <c r="C110" s="73"/>
      <c r="D110" s="71"/>
      <c r="E110" s="71"/>
      <c r="F110" s="71"/>
    </row>
    <row r="111">
      <c r="A111" s="68"/>
      <c r="B111" s="69"/>
      <c r="C111" s="73"/>
      <c r="D111" s="71"/>
      <c r="E111" s="71"/>
      <c r="F111" s="71"/>
    </row>
    <row r="112">
      <c r="A112" s="68"/>
      <c r="B112" s="69"/>
      <c r="C112" s="73"/>
      <c r="D112" s="71"/>
      <c r="E112" s="71"/>
      <c r="F112" s="71"/>
    </row>
    <row r="113">
      <c r="A113" s="68"/>
      <c r="B113" s="69"/>
      <c r="C113" s="73"/>
      <c r="D113" s="71"/>
      <c r="E113" s="71"/>
      <c r="F113" s="71"/>
    </row>
    <row r="114">
      <c r="A114" s="68"/>
      <c r="B114" s="69"/>
      <c r="C114" s="73"/>
      <c r="D114" s="71"/>
      <c r="E114" s="71"/>
      <c r="F114" s="71"/>
    </row>
    <row r="115">
      <c r="A115" s="68"/>
      <c r="B115" s="69"/>
      <c r="C115" s="73"/>
      <c r="D115" s="71"/>
      <c r="E115" s="71"/>
      <c r="F115" s="71"/>
    </row>
    <row r="116">
      <c r="A116" s="68"/>
      <c r="B116" s="69"/>
      <c r="C116" s="73"/>
      <c r="D116" s="71"/>
      <c r="E116" s="71"/>
      <c r="F116" s="71"/>
    </row>
    <row r="117">
      <c r="A117" s="68"/>
      <c r="B117" s="69"/>
      <c r="C117" s="73"/>
      <c r="D117" s="71"/>
      <c r="E117" s="71"/>
      <c r="F117" s="71"/>
    </row>
    <row r="118">
      <c r="A118" s="68"/>
      <c r="B118" s="69"/>
      <c r="C118" s="73"/>
      <c r="D118" s="71"/>
      <c r="E118" s="71"/>
      <c r="F118" s="71"/>
    </row>
    <row r="119">
      <c r="A119" s="68"/>
      <c r="B119" s="69"/>
      <c r="C119" s="73"/>
      <c r="D119" s="71"/>
      <c r="E119" s="71"/>
      <c r="F119" s="71"/>
    </row>
    <row r="120">
      <c r="A120" s="68"/>
      <c r="B120" s="69"/>
      <c r="C120" s="73"/>
      <c r="D120" s="71"/>
      <c r="E120" s="71"/>
      <c r="F120" s="71"/>
    </row>
    <row r="121">
      <c r="A121" s="68"/>
      <c r="B121" s="69"/>
      <c r="C121" s="73"/>
      <c r="D121" s="71"/>
      <c r="E121" s="71"/>
      <c r="F121" s="71"/>
    </row>
    <row r="122">
      <c r="A122" s="68"/>
      <c r="B122" s="69"/>
      <c r="C122" s="73"/>
      <c r="D122" s="71"/>
      <c r="E122" s="71"/>
      <c r="F122" s="71"/>
    </row>
    <row r="123">
      <c r="A123" s="68"/>
      <c r="B123" s="69"/>
      <c r="C123" s="73"/>
      <c r="D123" s="71"/>
      <c r="E123" s="71"/>
      <c r="F123" s="71"/>
    </row>
    <row r="124">
      <c r="A124" s="68"/>
      <c r="B124" s="69"/>
      <c r="C124" s="73"/>
      <c r="D124" s="71"/>
      <c r="E124" s="71"/>
      <c r="F124" s="71"/>
    </row>
    <row r="125">
      <c r="A125" s="68"/>
      <c r="B125" s="69"/>
      <c r="C125" s="73"/>
      <c r="D125" s="71"/>
      <c r="E125" s="71"/>
      <c r="F125" s="71"/>
    </row>
    <row r="126">
      <c r="A126" s="68"/>
      <c r="B126" s="69"/>
      <c r="C126" s="73"/>
      <c r="D126" s="71"/>
      <c r="E126" s="71"/>
      <c r="F126" s="71"/>
    </row>
    <row r="127">
      <c r="A127" s="68"/>
      <c r="B127" s="69"/>
      <c r="C127" s="73"/>
      <c r="D127" s="71"/>
      <c r="E127" s="71"/>
      <c r="F127" s="71"/>
    </row>
    <row r="128">
      <c r="A128" s="68"/>
      <c r="B128" s="69"/>
      <c r="C128" s="73"/>
      <c r="D128" s="71"/>
      <c r="E128" s="71"/>
      <c r="F128" s="71"/>
    </row>
    <row r="129">
      <c r="A129" s="68"/>
      <c r="B129" s="69"/>
      <c r="C129" s="73"/>
      <c r="D129" s="71"/>
      <c r="E129" s="71"/>
      <c r="F129" s="71"/>
    </row>
    <row r="130">
      <c r="A130" s="68"/>
      <c r="B130" s="69"/>
      <c r="C130" s="73"/>
      <c r="D130" s="71"/>
      <c r="E130" s="71"/>
      <c r="F130" s="71"/>
    </row>
    <row r="131">
      <c r="A131" s="68"/>
      <c r="B131" s="69"/>
      <c r="C131" s="73"/>
      <c r="D131" s="71"/>
      <c r="E131" s="71"/>
      <c r="F131" s="71"/>
    </row>
    <row r="132">
      <c r="A132" s="68"/>
      <c r="B132" s="69"/>
      <c r="C132" s="73"/>
      <c r="D132" s="71"/>
      <c r="E132" s="71"/>
      <c r="F132" s="71"/>
    </row>
    <row r="133">
      <c r="A133" s="68"/>
      <c r="B133" s="69"/>
      <c r="C133" s="73"/>
      <c r="D133" s="71"/>
      <c r="E133" s="71"/>
      <c r="F133" s="71"/>
    </row>
    <row r="134">
      <c r="A134" s="68"/>
      <c r="B134" s="69"/>
      <c r="C134" s="73"/>
      <c r="D134" s="71"/>
      <c r="E134" s="71"/>
      <c r="F134" s="71"/>
    </row>
    <row r="135">
      <c r="A135" s="68"/>
      <c r="B135" s="69"/>
      <c r="C135" s="73"/>
      <c r="D135" s="71"/>
      <c r="E135" s="71"/>
      <c r="F135" s="71"/>
    </row>
    <row r="136">
      <c r="A136" s="68"/>
      <c r="B136" s="69"/>
      <c r="C136" s="73"/>
      <c r="D136" s="71"/>
      <c r="E136" s="71"/>
      <c r="F136" s="71"/>
    </row>
    <row r="137">
      <c r="A137" s="68"/>
      <c r="B137" s="69"/>
      <c r="C137" s="73"/>
      <c r="D137" s="71"/>
      <c r="E137" s="71"/>
      <c r="F137" s="71"/>
    </row>
    <row r="138">
      <c r="A138" s="68"/>
      <c r="B138" s="69"/>
      <c r="C138" s="73"/>
      <c r="D138" s="71"/>
      <c r="E138" s="71"/>
      <c r="F138" s="71"/>
    </row>
    <row r="139">
      <c r="A139" s="68"/>
      <c r="B139" s="69"/>
      <c r="C139" s="73"/>
      <c r="D139" s="71"/>
      <c r="E139" s="71"/>
      <c r="F139" s="71"/>
    </row>
    <row r="140">
      <c r="A140" s="68"/>
      <c r="B140" s="69"/>
      <c r="C140" s="73"/>
      <c r="D140" s="71"/>
      <c r="E140" s="71"/>
      <c r="F140" s="71"/>
    </row>
    <row r="141">
      <c r="A141" s="68"/>
      <c r="B141" s="69"/>
      <c r="C141" s="73"/>
      <c r="D141" s="71"/>
      <c r="E141" s="71"/>
      <c r="F141" s="71"/>
    </row>
    <row r="142">
      <c r="A142" s="68"/>
      <c r="B142" s="69"/>
      <c r="C142" s="73"/>
      <c r="D142" s="71"/>
      <c r="E142" s="71"/>
      <c r="F142" s="71"/>
    </row>
    <row r="143">
      <c r="A143" s="68"/>
      <c r="B143" s="69"/>
      <c r="C143" s="73"/>
      <c r="D143" s="71"/>
      <c r="E143" s="71"/>
      <c r="F143" s="71"/>
    </row>
    <row r="144">
      <c r="A144" s="68"/>
      <c r="B144" s="69"/>
      <c r="C144" s="73"/>
      <c r="D144" s="71"/>
      <c r="E144" s="71"/>
      <c r="F144" s="71"/>
    </row>
    <row r="145">
      <c r="A145" s="68"/>
      <c r="B145" s="69"/>
      <c r="C145" s="73"/>
      <c r="D145" s="71"/>
      <c r="E145" s="71"/>
      <c r="F145" s="71"/>
    </row>
    <row r="146">
      <c r="A146" s="68"/>
      <c r="B146" s="69"/>
      <c r="C146" s="73"/>
      <c r="D146" s="71"/>
      <c r="E146" s="71"/>
      <c r="F146" s="71"/>
    </row>
    <row r="147">
      <c r="A147" s="68"/>
      <c r="B147" s="69"/>
      <c r="C147" s="73"/>
      <c r="D147" s="71"/>
      <c r="E147" s="71"/>
      <c r="F147" s="71"/>
    </row>
    <row r="148">
      <c r="A148" s="68"/>
      <c r="B148" s="69"/>
      <c r="C148" s="73"/>
      <c r="D148" s="71"/>
      <c r="E148" s="71"/>
      <c r="F148" s="71"/>
    </row>
    <row r="149">
      <c r="A149" s="68"/>
      <c r="B149" s="69"/>
      <c r="C149" s="73"/>
      <c r="D149" s="71"/>
      <c r="E149" s="71"/>
      <c r="F149" s="71"/>
    </row>
    <row r="150">
      <c r="A150" s="68"/>
      <c r="B150" s="69"/>
      <c r="C150" s="73"/>
      <c r="D150" s="71"/>
      <c r="E150" s="71"/>
      <c r="F150" s="71"/>
    </row>
    <row r="151">
      <c r="A151" s="68"/>
      <c r="B151" s="69"/>
      <c r="C151" s="73"/>
      <c r="D151" s="71"/>
      <c r="E151" s="71"/>
      <c r="F151" s="71"/>
    </row>
    <row r="152">
      <c r="A152" s="68"/>
      <c r="B152" s="69"/>
      <c r="C152" s="73"/>
      <c r="D152" s="71"/>
      <c r="E152" s="71"/>
      <c r="F152" s="71"/>
    </row>
    <row r="153">
      <c r="A153" s="68"/>
      <c r="B153" s="69"/>
      <c r="C153" s="73"/>
      <c r="D153" s="71"/>
      <c r="E153" s="71"/>
      <c r="F153" s="71"/>
    </row>
    <row r="154">
      <c r="A154" s="68"/>
      <c r="B154" s="69"/>
      <c r="C154" s="73"/>
      <c r="D154" s="71"/>
      <c r="E154" s="71"/>
      <c r="F154" s="71"/>
    </row>
    <row r="155">
      <c r="A155" s="68"/>
      <c r="B155" s="69"/>
      <c r="C155" s="73"/>
      <c r="D155" s="71"/>
      <c r="E155" s="71"/>
      <c r="F155" s="71"/>
    </row>
    <row r="156">
      <c r="A156" s="68"/>
      <c r="B156" s="69"/>
      <c r="C156" s="73"/>
      <c r="D156" s="71"/>
      <c r="E156" s="71"/>
      <c r="F156" s="71"/>
    </row>
    <row r="157">
      <c r="A157" s="68"/>
      <c r="B157" s="69"/>
      <c r="C157" s="73"/>
      <c r="D157" s="71"/>
      <c r="E157" s="71"/>
      <c r="F157" s="71"/>
    </row>
    <row r="158">
      <c r="A158" s="68"/>
      <c r="B158" s="69"/>
      <c r="C158" s="73"/>
      <c r="D158" s="71"/>
      <c r="E158" s="71"/>
      <c r="F158" s="71"/>
    </row>
    <row r="159">
      <c r="A159" s="68"/>
      <c r="B159" s="69"/>
      <c r="C159" s="73"/>
      <c r="D159" s="71"/>
      <c r="E159" s="71"/>
      <c r="F159" s="71"/>
    </row>
    <row r="160">
      <c r="A160" s="68"/>
      <c r="B160" s="69"/>
      <c r="C160" s="73"/>
      <c r="D160" s="71"/>
      <c r="E160" s="71"/>
      <c r="F160" s="71"/>
    </row>
    <row r="161">
      <c r="A161" s="68"/>
      <c r="B161" s="69"/>
      <c r="C161" s="73"/>
      <c r="D161" s="71"/>
      <c r="E161" s="71"/>
      <c r="F161" s="71"/>
    </row>
    <row r="162">
      <c r="A162" s="68"/>
      <c r="B162" s="69"/>
      <c r="C162" s="73"/>
      <c r="D162" s="71"/>
      <c r="E162" s="71"/>
      <c r="F162" s="71"/>
    </row>
    <row r="163">
      <c r="A163" s="68"/>
      <c r="B163" s="69"/>
      <c r="C163" s="73"/>
      <c r="D163" s="71"/>
      <c r="E163" s="71"/>
      <c r="F163" s="71"/>
    </row>
    <row r="164">
      <c r="A164" s="68"/>
      <c r="B164" s="69"/>
      <c r="C164" s="73"/>
      <c r="D164" s="71"/>
      <c r="E164" s="71"/>
      <c r="F164" s="71"/>
    </row>
    <row r="165">
      <c r="A165" s="68"/>
      <c r="B165" s="69"/>
      <c r="C165" s="73"/>
      <c r="D165" s="71"/>
      <c r="E165" s="71"/>
      <c r="F165" s="71"/>
    </row>
    <row r="166">
      <c r="A166" s="68"/>
      <c r="B166" s="69"/>
      <c r="C166" s="73"/>
      <c r="D166" s="71"/>
      <c r="E166" s="71"/>
      <c r="F166" s="71"/>
    </row>
    <row r="167">
      <c r="A167" s="68"/>
      <c r="B167" s="69"/>
      <c r="C167" s="73"/>
      <c r="D167" s="71"/>
      <c r="E167" s="71"/>
      <c r="F167" s="71"/>
    </row>
    <row r="168">
      <c r="A168" s="68"/>
      <c r="B168" s="69"/>
      <c r="C168" s="73"/>
      <c r="D168" s="71"/>
      <c r="E168" s="71"/>
      <c r="F168" s="71"/>
    </row>
    <row r="169">
      <c r="A169" s="68"/>
      <c r="B169" s="69"/>
      <c r="C169" s="73"/>
      <c r="D169" s="71"/>
      <c r="E169" s="71"/>
      <c r="F169" s="71"/>
    </row>
    <row r="170">
      <c r="A170" s="68"/>
      <c r="B170" s="69"/>
      <c r="C170" s="73"/>
      <c r="D170" s="71"/>
      <c r="E170" s="71"/>
      <c r="F170" s="71"/>
    </row>
    <row r="171">
      <c r="A171" s="68"/>
      <c r="B171" s="69"/>
      <c r="C171" s="73"/>
      <c r="D171" s="71"/>
      <c r="E171" s="71"/>
      <c r="F171" s="71"/>
    </row>
    <row r="172">
      <c r="A172" s="68"/>
      <c r="B172" s="69"/>
      <c r="C172" s="73"/>
      <c r="D172" s="71"/>
      <c r="E172" s="71"/>
      <c r="F172" s="71"/>
    </row>
    <row r="173">
      <c r="A173" s="68"/>
      <c r="B173" s="69"/>
      <c r="C173" s="73"/>
      <c r="D173" s="71"/>
      <c r="E173" s="71"/>
      <c r="F173" s="71"/>
    </row>
    <row r="174">
      <c r="A174" s="68"/>
      <c r="B174" s="69"/>
      <c r="C174" s="73"/>
      <c r="D174" s="71"/>
      <c r="E174" s="71"/>
      <c r="F174" s="71"/>
    </row>
    <row r="175">
      <c r="A175" s="68"/>
      <c r="B175" s="69"/>
      <c r="C175" s="73"/>
      <c r="D175" s="71"/>
      <c r="E175" s="71"/>
      <c r="F175" s="71"/>
    </row>
    <row r="176">
      <c r="A176" s="68"/>
      <c r="B176" s="69"/>
      <c r="C176" s="73"/>
      <c r="D176" s="71"/>
      <c r="E176" s="71"/>
      <c r="F176" s="71"/>
    </row>
    <row r="177">
      <c r="A177" s="68"/>
      <c r="B177" s="69"/>
      <c r="C177" s="73"/>
      <c r="D177" s="71"/>
      <c r="E177" s="71"/>
      <c r="F177" s="71"/>
    </row>
    <row r="178">
      <c r="A178" s="68"/>
      <c r="B178" s="69"/>
      <c r="C178" s="73"/>
      <c r="D178" s="71"/>
      <c r="E178" s="71"/>
      <c r="F178" s="71"/>
    </row>
    <row r="179">
      <c r="A179" s="68"/>
      <c r="B179" s="69"/>
      <c r="C179" s="73"/>
      <c r="D179" s="71"/>
      <c r="E179" s="71"/>
      <c r="F179" s="71"/>
    </row>
    <row r="180">
      <c r="A180" s="68"/>
      <c r="B180" s="69"/>
      <c r="C180" s="73"/>
      <c r="D180" s="71"/>
      <c r="E180" s="71"/>
      <c r="F180" s="71"/>
    </row>
    <row r="181">
      <c r="A181" s="68"/>
      <c r="B181" s="69"/>
      <c r="C181" s="73"/>
      <c r="D181" s="71"/>
      <c r="E181" s="71"/>
      <c r="F181" s="71"/>
    </row>
    <row r="182">
      <c r="A182" s="68"/>
      <c r="B182" s="69"/>
      <c r="C182" s="73"/>
      <c r="D182" s="71"/>
      <c r="E182" s="71"/>
      <c r="F182" s="71"/>
    </row>
    <row r="183">
      <c r="A183" s="68"/>
      <c r="B183" s="69"/>
      <c r="C183" s="73"/>
      <c r="D183" s="71"/>
      <c r="E183" s="71"/>
      <c r="F183" s="71"/>
    </row>
    <row r="184">
      <c r="A184" s="68"/>
      <c r="B184" s="69"/>
      <c r="C184" s="73"/>
      <c r="D184" s="71"/>
      <c r="E184" s="71"/>
      <c r="F184" s="71"/>
    </row>
    <row r="185">
      <c r="A185" s="68"/>
      <c r="B185" s="69"/>
      <c r="C185" s="73"/>
      <c r="D185" s="71"/>
      <c r="E185" s="71"/>
      <c r="F185" s="71"/>
    </row>
    <row r="186">
      <c r="A186" s="68"/>
      <c r="B186" s="69"/>
      <c r="C186" s="73"/>
      <c r="D186" s="71"/>
      <c r="E186" s="71"/>
      <c r="F186" s="71"/>
    </row>
    <row r="187">
      <c r="A187" s="68"/>
      <c r="B187" s="69"/>
      <c r="C187" s="73"/>
      <c r="D187" s="71"/>
      <c r="E187" s="71"/>
      <c r="F187" s="71"/>
    </row>
    <row r="188">
      <c r="A188" s="68"/>
      <c r="B188" s="69"/>
      <c r="C188" s="73"/>
      <c r="D188" s="71"/>
      <c r="E188" s="71"/>
      <c r="F188" s="71"/>
    </row>
    <row r="189">
      <c r="A189" s="68"/>
      <c r="B189" s="69"/>
      <c r="C189" s="73"/>
      <c r="D189" s="71"/>
      <c r="E189" s="71"/>
      <c r="F189" s="71"/>
    </row>
    <row r="190">
      <c r="A190" s="68"/>
      <c r="B190" s="69"/>
      <c r="C190" s="73"/>
      <c r="D190" s="71"/>
      <c r="E190" s="71"/>
      <c r="F190" s="71"/>
    </row>
    <row r="191">
      <c r="A191" s="68"/>
      <c r="B191" s="69"/>
      <c r="C191" s="73"/>
      <c r="D191" s="71"/>
      <c r="E191" s="71"/>
      <c r="F191" s="71"/>
    </row>
    <row r="192">
      <c r="A192" s="68"/>
      <c r="B192" s="69"/>
      <c r="C192" s="73"/>
      <c r="D192" s="71"/>
      <c r="E192" s="71"/>
      <c r="F192" s="71"/>
    </row>
    <row r="193">
      <c r="A193" s="68"/>
      <c r="B193" s="69"/>
      <c r="C193" s="73"/>
      <c r="D193" s="71"/>
      <c r="E193" s="71"/>
      <c r="F193" s="71"/>
    </row>
    <row r="194">
      <c r="A194" s="68"/>
      <c r="B194" s="69"/>
      <c r="C194" s="73"/>
      <c r="D194" s="71"/>
      <c r="E194" s="71"/>
      <c r="F194" s="71"/>
    </row>
    <row r="195">
      <c r="A195" s="68"/>
      <c r="B195" s="69"/>
      <c r="C195" s="73"/>
      <c r="D195" s="71"/>
      <c r="E195" s="71"/>
      <c r="F195" s="71"/>
    </row>
    <row r="196">
      <c r="A196" s="68"/>
      <c r="B196" s="69"/>
      <c r="C196" s="73"/>
      <c r="D196" s="71"/>
      <c r="E196" s="71"/>
      <c r="F196" s="71"/>
    </row>
    <row r="197">
      <c r="A197" s="68"/>
      <c r="B197" s="69"/>
      <c r="C197" s="73"/>
      <c r="D197" s="71"/>
      <c r="E197" s="71"/>
      <c r="F197" s="71"/>
    </row>
    <row r="198">
      <c r="A198" s="68"/>
      <c r="B198" s="69"/>
      <c r="C198" s="73"/>
      <c r="D198" s="71"/>
      <c r="E198" s="71"/>
      <c r="F198" s="71"/>
    </row>
    <row r="199">
      <c r="A199" s="68"/>
      <c r="B199" s="69"/>
      <c r="C199" s="73"/>
      <c r="D199" s="71"/>
      <c r="E199" s="71"/>
      <c r="F199" s="71"/>
    </row>
    <row r="200">
      <c r="A200" s="68"/>
      <c r="B200" s="69"/>
      <c r="C200" s="73"/>
      <c r="D200" s="71"/>
      <c r="E200" s="71"/>
      <c r="F200" s="71"/>
    </row>
    <row r="201">
      <c r="A201" s="68"/>
      <c r="B201" s="69"/>
      <c r="C201" s="73"/>
      <c r="D201" s="71"/>
      <c r="E201" s="71"/>
      <c r="F201" s="71"/>
    </row>
    <row r="202">
      <c r="A202" s="68"/>
      <c r="B202" s="69"/>
      <c r="C202" s="73"/>
      <c r="D202" s="71"/>
      <c r="E202" s="71"/>
      <c r="F202" s="71"/>
    </row>
    <row r="203">
      <c r="A203" s="68"/>
      <c r="B203" s="69"/>
      <c r="C203" s="73"/>
      <c r="D203" s="71"/>
      <c r="E203" s="71"/>
      <c r="F203" s="71"/>
    </row>
    <row r="204">
      <c r="A204" s="68"/>
      <c r="B204" s="69"/>
      <c r="C204" s="73"/>
      <c r="D204" s="71"/>
      <c r="E204" s="71"/>
      <c r="F204" s="71"/>
    </row>
    <row r="205">
      <c r="A205" s="68"/>
      <c r="B205" s="69"/>
      <c r="C205" s="73"/>
      <c r="D205" s="71"/>
      <c r="E205" s="71"/>
      <c r="F205" s="71"/>
    </row>
    <row r="206">
      <c r="A206" s="68"/>
      <c r="B206" s="69"/>
      <c r="C206" s="73"/>
      <c r="D206" s="71"/>
      <c r="E206" s="71"/>
      <c r="F206" s="71"/>
    </row>
    <row r="207">
      <c r="A207" s="68"/>
      <c r="B207" s="69"/>
      <c r="C207" s="73"/>
      <c r="D207" s="71"/>
      <c r="E207" s="71"/>
      <c r="F207" s="71"/>
    </row>
    <row r="208">
      <c r="A208" s="68"/>
      <c r="B208" s="69"/>
      <c r="C208" s="73"/>
      <c r="D208" s="71"/>
      <c r="E208" s="71"/>
      <c r="F208" s="71"/>
    </row>
    <row r="209">
      <c r="A209" s="68"/>
      <c r="B209" s="69"/>
      <c r="C209" s="73"/>
      <c r="D209" s="71"/>
      <c r="E209" s="71"/>
      <c r="F209" s="71"/>
    </row>
    <row r="210">
      <c r="A210" s="68"/>
      <c r="B210" s="69"/>
      <c r="C210" s="73"/>
      <c r="D210" s="71"/>
      <c r="E210" s="71"/>
      <c r="F210" s="71"/>
    </row>
    <row r="211">
      <c r="A211" s="68"/>
      <c r="B211" s="69"/>
      <c r="C211" s="73"/>
      <c r="D211" s="71"/>
      <c r="E211" s="71"/>
      <c r="F211" s="71"/>
    </row>
    <row r="212">
      <c r="A212" s="68"/>
      <c r="B212" s="69"/>
      <c r="C212" s="73"/>
      <c r="D212" s="71"/>
      <c r="E212" s="71"/>
      <c r="F212" s="71"/>
    </row>
    <row r="213">
      <c r="A213" s="68"/>
      <c r="B213" s="69"/>
      <c r="C213" s="73"/>
      <c r="D213" s="71"/>
      <c r="E213" s="71"/>
      <c r="F213" s="71"/>
    </row>
    <row r="214">
      <c r="A214" s="68"/>
      <c r="B214" s="69"/>
      <c r="C214" s="73"/>
      <c r="D214" s="71"/>
      <c r="E214" s="71"/>
      <c r="F214" s="71"/>
    </row>
    <row r="215">
      <c r="A215" s="68"/>
      <c r="B215" s="69"/>
      <c r="C215" s="73"/>
      <c r="D215" s="71"/>
      <c r="E215" s="71"/>
      <c r="F215" s="71"/>
    </row>
    <row r="216">
      <c r="A216" s="68"/>
      <c r="B216" s="69"/>
      <c r="C216" s="73"/>
      <c r="D216" s="71"/>
      <c r="E216" s="71"/>
      <c r="F216" s="71"/>
    </row>
    <row r="217">
      <c r="A217" s="68"/>
      <c r="B217" s="69"/>
      <c r="C217" s="73"/>
      <c r="D217" s="71"/>
      <c r="E217" s="71"/>
      <c r="F217" s="71"/>
    </row>
    <row r="218">
      <c r="A218" s="68"/>
      <c r="B218" s="69"/>
      <c r="C218" s="73"/>
      <c r="D218" s="71"/>
      <c r="E218" s="71"/>
      <c r="F218" s="71"/>
    </row>
    <row r="219">
      <c r="A219" s="68"/>
      <c r="B219" s="69"/>
      <c r="C219" s="73"/>
      <c r="D219" s="71"/>
      <c r="E219" s="71"/>
      <c r="F219" s="71"/>
    </row>
    <row r="220">
      <c r="A220" s="68"/>
      <c r="B220" s="69"/>
      <c r="C220" s="73"/>
      <c r="D220" s="71"/>
      <c r="E220" s="71"/>
      <c r="F220" s="71"/>
    </row>
    <row r="221">
      <c r="A221" s="68"/>
      <c r="B221" s="69"/>
      <c r="C221" s="73"/>
      <c r="D221" s="71"/>
      <c r="E221" s="71"/>
      <c r="F221" s="71"/>
    </row>
    <row r="222">
      <c r="A222" s="68"/>
      <c r="B222" s="69"/>
      <c r="C222" s="73"/>
      <c r="D222" s="71"/>
      <c r="E222" s="71"/>
      <c r="F222" s="71"/>
    </row>
    <row r="223">
      <c r="A223" s="68"/>
      <c r="B223" s="69"/>
      <c r="C223" s="73"/>
      <c r="D223" s="71"/>
      <c r="E223" s="71"/>
      <c r="F223" s="71"/>
    </row>
    <row r="224">
      <c r="A224" s="68"/>
      <c r="B224" s="69"/>
      <c r="C224" s="73"/>
      <c r="D224" s="71"/>
      <c r="E224" s="71"/>
      <c r="F224" s="71"/>
    </row>
    <row r="225">
      <c r="A225" s="68"/>
      <c r="B225" s="69"/>
      <c r="C225" s="73"/>
      <c r="D225" s="71"/>
      <c r="E225" s="71"/>
      <c r="F225" s="71"/>
    </row>
    <row r="226">
      <c r="A226" s="68"/>
      <c r="B226" s="69"/>
      <c r="C226" s="73"/>
      <c r="D226" s="71"/>
      <c r="E226" s="71"/>
      <c r="F226" s="71"/>
    </row>
    <row r="227">
      <c r="A227" s="68"/>
      <c r="B227" s="69"/>
      <c r="C227" s="73"/>
      <c r="D227" s="71"/>
      <c r="E227" s="71"/>
      <c r="F227" s="71"/>
    </row>
    <row r="228">
      <c r="A228" s="68"/>
      <c r="B228" s="69"/>
      <c r="C228" s="73"/>
      <c r="D228" s="71"/>
      <c r="E228" s="71"/>
      <c r="F228" s="71"/>
    </row>
    <row r="229">
      <c r="A229" s="68"/>
      <c r="B229" s="69"/>
      <c r="C229" s="73"/>
      <c r="D229" s="71"/>
      <c r="E229" s="71"/>
      <c r="F229" s="71"/>
    </row>
    <row r="230">
      <c r="A230" s="68"/>
      <c r="B230" s="69"/>
      <c r="C230" s="73"/>
      <c r="D230" s="71"/>
      <c r="E230" s="71"/>
      <c r="F230" s="71"/>
    </row>
    <row r="231">
      <c r="A231" s="68"/>
      <c r="B231" s="69"/>
      <c r="C231" s="73"/>
      <c r="D231" s="71"/>
      <c r="E231" s="71"/>
      <c r="F231" s="71"/>
    </row>
    <row r="232">
      <c r="A232" s="68"/>
      <c r="B232" s="69"/>
      <c r="C232" s="73"/>
      <c r="D232" s="71"/>
      <c r="E232" s="71"/>
      <c r="F232" s="71"/>
    </row>
    <row r="233">
      <c r="A233" s="68"/>
      <c r="B233" s="69"/>
      <c r="C233" s="73"/>
      <c r="D233" s="71"/>
      <c r="E233" s="71"/>
      <c r="F233" s="71"/>
    </row>
    <row r="234">
      <c r="A234" s="68"/>
      <c r="B234" s="69"/>
      <c r="C234" s="73"/>
      <c r="D234" s="71"/>
      <c r="E234" s="71"/>
      <c r="F234" s="71"/>
    </row>
    <row r="235">
      <c r="A235" s="68"/>
      <c r="B235" s="69"/>
      <c r="C235" s="73"/>
      <c r="D235" s="71"/>
      <c r="E235" s="71"/>
      <c r="F235" s="71"/>
    </row>
    <row r="236">
      <c r="A236" s="68"/>
      <c r="B236" s="69"/>
      <c r="C236" s="73"/>
      <c r="D236" s="71"/>
      <c r="E236" s="71"/>
      <c r="F236" s="71"/>
    </row>
    <row r="237">
      <c r="A237" s="68"/>
      <c r="B237" s="69"/>
      <c r="C237" s="73"/>
      <c r="D237" s="71"/>
      <c r="E237" s="71"/>
      <c r="F237" s="71"/>
    </row>
    <row r="238">
      <c r="A238" s="68"/>
      <c r="B238" s="69"/>
      <c r="C238" s="73"/>
      <c r="D238" s="71"/>
      <c r="E238" s="71"/>
      <c r="F238" s="71"/>
    </row>
    <row r="239">
      <c r="A239" s="68"/>
      <c r="B239" s="69"/>
      <c r="C239" s="73"/>
      <c r="D239" s="71"/>
      <c r="E239" s="71"/>
      <c r="F239" s="71"/>
    </row>
    <row r="240">
      <c r="A240" s="68"/>
      <c r="B240" s="69"/>
      <c r="C240" s="73"/>
      <c r="D240" s="71"/>
      <c r="E240" s="71"/>
      <c r="F240" s="71"/>
    </row>
    <row r="241">
      <c r="A241" s="68"/>
      <c r="B241" s="69"/>
      <c r="C241" s="73"/>
      <c r="D241" s="71"/>
      <c r="E241" s="71"/>
      <c r="F241" s="71"/>
    </row>
    <row r="242">
      <c r="A242" s="68"/>
      <c r="B242" s="69"/>
      <c r="C242" s="73"/>
      <c r="D242" s="71"/>
      <c r="E242" s="71"/>
      <c r="F242" s="71"/>
    </row>
    <row r="243">
      <c r="A243" s="68"/>
      <c r="B243" s="69"/>
      <c r="C243" s="73"/>
      <c r="D243" s="71"/>
      <c r="E243" s="71"/>
      <c r="F243" s="71"/>
    </row>
    <row r="244">
      <c r="A244" s="68"/>
      <c r="B244" s="69"/>
      <c r="C244" s="73"/>
      <c r="D244" s="71"/>
      <c r="E244" s="71"/>
      <c r="F244" s="71"/>
    </row>
    <row r="245">
      <c r="A245" s="68"/>
      <c r="B245" s="69"/>
      <c r="C245" s="73"/>
      <c r="D245" s="71"/>
      <c r="E245" s="71"/>
      <c r="F245" s="71"/>
    </row>
    <row r="246">
      <c r="A246" s="68"/>
      <c r="B246" s="69"/>
      <c r="C246" s="73"/>
      <c r="D246" s="71"/>
      <c r="E246" s="71"/>
      <c r="F246" s="71"/>
    </row>
    <row r="247">
      <c r="A247" s="68"/>
      <c r="B247" s="69"/>
      <c r="C247" s="73"/>
      <c r="D247" s="71"/>
      <c r="E247" s="71"/>
      <c r="F247" s="71"/>
    </row>
    <row r="248">
      <c r="A248" s="68"/>
      <c r="B248" s="69"/>
      <c r="C248" s="73"/>
      <c r="D248" s="71"/>
      <c r="E248" s="71"/>
      <c r="F248" s="71"/>
    </row>
    <row r="249">
      <c r="A249" s="68"/>
      <c r="B249" s="69"/>
      <c r="C249" s="73"/>
      <c r="D249" s="71"/>
      <c r="E249" s="71"/>
      <c r="F249" s="71"/>
    </row>
    <row r="250">
      <c r="A250" s="68"/>
      <c r="B250" s="69"/>
      <c r="C250" s="73"/>
      <c r="D250" s="71"/>
      <c r="E250" s="71"/>
      <c r="F250" s="71"/>
    </row>
    <row r="251">
      <c r="A251" s="68"/>
      <c r="B251" s="69"/>
      <c r="C251" s="73"/>
      <c r="D251" s="71"/>
      <c r="E251" s="71"/>
      <c r="F251" s="71"/>
    </row>
    <row r="252">
      <c r="A252" s="68"/>
      <c r="B252" s="69"/>
      <c r="C252" s="73"/>
      <c r="D252" s="71"/>
      <c r="E252" s="71"/>
      <c r="F252" s="71"/>
    </row>
    <row r="253">
      <c r="A253" s="68"/>
      <c r="B253" s="69"/>
      <c r="C253" s="73"/>
      <c r="D253" s="71"/>
      <c r="E253" s="71"/>
      <c r="F253" s="71"/>
    </row>
    <row r="254">
      <c r="A254" s="68"/>
      <c r="B254" s="69"/>
      <c r="C254" s="73"/>
      <c r="D254" s="71"/>
      <c r="E254" s="71"/>
      <c r="F254" s="71"/>
    </row>
    <row r="255">
      <c r="A255" s="68"/>
      <c r="B255" s="69"/>
      <c r="C255" s="73"/>
      <c r="D255" s="71"/>
      <c r="E255" s="71"/>
      <c r="F255" s="71"/>
    </row>
    <row r="256">
      <c r="A256" s="68"/>
      <c r="B256" s="69"/>
      <c r="C256" s="73"/>
      <c r="D256" s="71"/>
      <c r="E256" s="71"/>
      <c r="F256" s="71"/>
    </row>
    <row r="257">
      <c r="A257" s="68"/>
      <c r="B257" s="69"/>
      <c r="C257" s="73"/>
      <c r="D257" s="71"/>
      <c r="E257" s="71"/>
      <c r="F257" s="71"/>
    </row>
    <row r="258">
      <c r="A258" s="68"/>
      <c r="B258" s="69"/>
      <c r="C258" s="73"/>
      <c r="D258" s="71"/>
      <c r="E258" s="71"/>
      <c r="F258" s="71"/>
    </row>
    <row r="259">
      <c r="A259" s="68"/>
      <c r="B259" s="69"/>
      <c r="C259" s="73"/>
      <c r="D259" s="71"/>
      <c r="E259" s="71"/>
      <c r="F259" s="71"/>
    </row>
    <row r="260">
      <c r="A260" s="68"/>
      <c r="B260" s="69"/>
      <c r="C260" s="73"/>
      <c r="D260" s="71"/>
      <c r="E260" s="71"/>
      <c r="F260" s="71"/>
    </row>
    <row r="261">
      <c r="A261" s="68"/>
      <c r="B261" s="69"/>
      <c r="C261" s="73"/>
      <c r="D261" s="71"/>
      <c r="E261" s="71"/>
      <c r="F261" s="71"/>
    </row>
    <row r="262">
      <c r="A262" s="68"/>
      <c r="B262" s="69"/>
      <c r="C262" s="73"/>
      <c r="D262" s="71"/>
      <c r="E262" s="71"/>
      <c r="F262" s="71"/>
    </row>
    <row r="263">
      <c r="A263" s="68"/>
      <c r="B263" s="69"/>
      <c r="C263" s="73"/>
      <c r="D263" s="71"/>
      <c r="E263" s="71"/>
      <c r="F263" s="71"/>
    </row>
    <row r="264">
      <c r="A264" s="68"/>
      <c r="B264" s="69"/>
      <c r="C264" s="73"/>
      <c r="D264" s="71"/>
      <c r="E264" s="71"/>
      <c r="F264" s="71"/>
    </row>
    <row r="265">
      <c r="A265" s="68"/>
      <c r="B265" s="69"/>
      <c r="C265" s="73"/>
      <c r="D265" s="71"/>
      <c r="E265" s="71"/>
      <c r="F265" s="71"/>
    </row>
    <row r="266">
      <c r="A266" s="68"/>
      <c r="B266" s="69"/>
      <c r="C266" s="73"/>
      <c r="D266" s="71"/>
      <c r="E266" s="71"/>
      <c r="F266" s="71"/>
    </row>
    <row r="267">
      <c r="A267" s="68"/>
      <c r="B267" s="69"/>
      <c r="C267" s="73"/>
      <c r="D267" s="71"/>
      <c r="E267" s="71"/>
      <c r="F267" s="71"/>
    </row>
    <row r="268">
      <c r="A268" s="68"/>
      <c r="B268" s="69"/>
      <c r="C268" s="73"/>
      <c r="D268" s="71"/>
      <c r="E268" s="71"/>
      <c r="F268" s="71"/>
    </row>
    <row r="269">
      <c r="A269" s="68"/>
      <c r="B269" s="69"/>
      <c r="C269" s="73"/>
      <c r="D269" s="71"/>
      <c r="E269" s="71"/>
      <c r="F269" s="71"/>
    </row>
    <row r="270">
      <c r="A270" s="68"/>
      <c r="B270" s="69"/>
      <c r="C270" s="73"/>
      <c r="D270" s="71"/>
      <c r="E270" s="71"/>
      <c r="F270" s="71"/>
    </row>
    <row r="271">
      <c r="A271" s="68"/>
      <c r="B271" s="69"/>
      <c r="C271" s="73"/>
      <c r="D271" s="71"/>
      <c r="E271" s="71"/>
      <c r="F271" s="71"/>
    </row>
    <row r="272">
      <c r="A272" s="68"/>
      <c r="B272" s="69"/>
      <c r="C272" s="73"/>
      <c r="D272" s="71"/>
      <c r="E272" s="71"/>
      <c r="F272" s="71"/>
    </row>
    <row r="273">
      <c r="A273" s="68"/>
      <c r="B273" s="69"/>
      <c r="C273" s="73"/>
      <c r="D273" s="71"/>
      <c r="E273" s="71"/>
      <c r="F273" s="71"/>
    </row>
    <row r="274">
      <c r="A274" s="68"/>
      <c r="B274" s="69"/>
      <c r="C274" s="73"/>
      <c r="D274" s="71"/>
      <c r="E274" s="71"/>
      <c r="F274" s="71"/>
    </row>
    <row r="275">
      <c r="A275" s="68"/>
      <c r="B275" s="69"/>
      <c r="C275" s="73"/>
      <c r="D275" s="71"/>
      <c r="E275" s="71"/>
      <c r="F275" s="71"/>
    </row>
    <row r="276">
      <c r="A276" s="68"/>
      <c r="B276" s="69"/>
      <c r="C276" s="73"/>
      <c r="D276" s="71"/>
      <c r="E276" s="71"/>
      <c r="F276" s="71"/>
    </row>
    <row r="277">
      <c r="A277" s="68"/>
      <c r="B277" s="69"/>
      <c r="C277" s="73"/>
      <c r="D277" s="71"/>
      <c r="E277" s="71"/>
      <c r="F277" s="71"/>
    </row>
    <row r="278">
      <c r="A278" s="68"/>
      <c r="B278" s="69"/>
      <c r="C278" s="73"/>
      <c r="D278" s="71"/>
      <c r="E278" s="71"/>
      <c r="F278" s="71"/>
    </row>
    <row r="279">
      <c r="A279" s="68"/>
      <c r="B279" s="69"/>
      <c r="C279" s="73"/>
      <c r="D279" s="71"/>
      <c r="E279" s="71"/>
      <c r="F279" s="71"/>
    </row>
    <row r="280">
      <c r="A280" s="68"/>
      <c r="B280" s="69"/>
      <c r="C280" s="73"/>
      <c r="D280" s="71"/>
      <c r="E280" s="71"/>
      <c r="F280" s="71"/>
    </row>
    <row r="281">
      <c r="A281" s="68"/>
      <c r="B281" s="69"/>
      <c r="C281" s="73"/>
      <c r="D281" s="71"/>
      <c r="E281" s="71"/>
      <c r="F281" s="71"/>
    </row>
    <row r="282">
      <c r="A282" s="68"/>
      <c r="B282" s="69"/>
      <c r="C282" s="73"/>
      <c r="D282" s="71"/>
      <c r="E282" s="71"/>
      <c r="F282" s="71"/>
    </row>
    <row r="283">
      <c r="A283" s="68"/>
      <c r="B283" s="69"/>
      <c r="C283" s="73"/>
      <c r="D283" s="71"/>
      <c r="E283" s="71"/>
      <c r="F283" s="71"/>
    </row>
    <row r="284">
      <c r="A284" s="68"/>
      <c r="B284" s="69"/>
      <c r="C284" s="73"/>
      <c r="D284" s="71"/>
      <c r="E284" s="71"/>
      <c r="F284" s="71"/>
    </row>
    <row r="285">
      <c r="A285" s="68"/>
      <c r="B285" s="69"/>
      <c r="C285" s="73"/>
      <c r="D285" s="71"/>
      <c r="E285" s="71"/>
      <c r="F285" s="71"/>
    </row>
    <row r="286">
      <c r="A286" s="68"/>
      <c r="B286" s="69"/>
      <c r="C286" s="73"/>
      <c r="D286" s="71"/>
      <c r="E286" s="71"/>
      <c r="F286" s="71"/>
    </row>
    <row r="287">
      <c r="A287" s="68"/>
      <c r="B287" s="69"/>
      <c r="C287" s="73"/>
      <c r="D287" s="71"/>
      <c r="E287" s="71"/>
      <c r="F287" s="71"/>
    </row>
    <row r="288">
      <c r="A288" s="68"/>
      <c r="B288" s="69"/>
      <c r="C288" s="73"/>
      <c r="D288" s="71"/>
      <c r="E288" s="71"/>
      <c r="F288" s="71"/>
    </row>
    <row r="289">
      <c r="A289" s="68"/>
      <c r="B289" s="69"/>
      <c r="C289" s="73"/>
      <c r="D289" s="71"/>
      <c r="E289" s="71"/>
      <c r="F289" s="71"/>
    </row>
    <row r="290">
      <c r="A290" s="68"/>
      <c r="B290" s="69"/>
      <c r="C290" s="73"/>
      <c r="D290" s="71"/>
      <c r="E290" s="71"/>
      <c r="F290" s="71"/>
    </row>
    <row r="291">
      <c r="A291" s="68"/>
      <c r="B291" s="69"/>
      <c r="C291" s="73"/>
      <c r="D291" s="71"/>
      <c r="E291" s="71"/>
      <c r="F291" s="71"/>
    </row>
    <row r="292">
      <c r="A292" s="68"/>
      <c r="B292" s="69"/>
      <c r="C292" s="73"/>
      <c r="D292" s="71"/>
      <c r="E292" s="71"/>
      <c r="F292" s="71"/>
    </row>
    <row r="293">
      <c r="A293" s="68"/>
      <c r="B293" s="69"/>
      <c r="C293" s="73"/>
      <c r="D293" s="71"/>
      <c r="E293" s="71"/>
      <c r="F293" s="71"/>
    </row>
    <row r="294">
      <c r="A294" s="68"/>
      <c r="B294" s="69"/>
      <c r="C294" s="73"/>
      <c r="D294" s="71"/>
      <c r="E294" s="71"/>
      <c r="F294" s="71"/>
    </row>
    <row r="295">
      <c r="A295" s="68"/>
      <c r="B295" s="69"/>
      <c r="C295" s="73"/>
      <c r="D295" s="71"/>
      <c r="E295" s="71"/>
      <c r="F295" s="71"/>
    </row>
    <row r="296">
      <c r="A296" s="68"/>
      <c r="B296" s="69"/>
      <c r="C296" s="73"/>
      <c r="D296" s="71"/>
      <c r="E296" s="71"/>
      <c r="F296" s="71"/>
    </row>
    <row r="297">
      <c r="A297" s="68"/>
      <c r="B297" s="69"/>
      <c r="C297" s="73"/>
      <c r="D297" s="71"/>
      <c r="E297" s="71"/>
      <c r="F297" s="71"/>
    </row>
    <row r="298">
      <c r="A298" s="68"/>
      <c r="B298" s="69"/>
      <c r="C298" s="73"/>
      <c r="D298" s="71"/>
      <c r="E298" s="71"/>
      <c r="F298" s="71"/>
    </row>
    <row r="299">
      <c r="A299" s="68"/>
      <c r="B299" s="69"/>
      <c r="C299" s="73"/>
      <c r="D299" s="71"/>
      <c r="E299" s="71"/>
      <c r="F299" s="71"/>
    </row>
    <row r="300">
      <c r="A300" s="68"/>
      <c r="B300" s="69"/>
      <c r="C300" s="73"/>
      <c r="D300" s="71"/>
      <c r="E300" s="71"/>
      <c r="F300" s="71"/>
    </row>
    <row r="301">
      <c r="A301" s="68"/>
      <c r="B301" s="69"/>
      <c r="C301" s="73"/>
      <c r="D301" s="71"/>
      <c r="E301" s="71"/>
      <c r="F301" s="71"/>
    </row>
    <row r="302">
      <c r="A302" s="68"/>
      <c r="B302" s="69"/>
      <c r="C302" s="73"/>
      <c r="D302" s="71"/>
      <c r="E302" s="71"/>
      <c r="F302" s="71"/>
    </row>
    <row r="303">
      <c r="A303" s="68"/>
      <c r="B303" s="69"/>
      <c r="C303" s="73"/>
      <c r="D303" s="71"/>
      <c r="E303" s="71"/>
      <c r="F303" s="71"/>
    </row>
    <row r="304">
      <c r="A304" s="68"/>
      <c r="B304" s="69"/>
      <c r="C304" s="73"/>
      <c r="D304" s="71"/>
      <c r="E304" s="71"/>
      <c r="F304" s="71"/>
    </row>
    <row r="305">
      <c r="A305" s="68"/>
      <c r="B305" s="69"/>
      <c r="C305" s="73"/>
      <c r="D305" s="71"/>
      <c r="E305" s="71"/>
      <c r="F305" s="71"/>
    </row>
    <row r="306">
      <c r="A306" s="68"/>
      <c r="B306" s="69"/>
      <c r="C306" s="73"/>
      <c r="D306" s="71"/>
      <c r="E306" s="71"/>
      <c r="F306" s="71"/>
    </row>
    <row r="307">
      <c r="A307" s="68"/>
      <c r="B307" s="69"/>
      <c r="C307" s="73"/>
      <c r="D307" s="71"/>
      <c r="E307" s="71"/>
      <c r="F307" s="71"/>
    </row>
    <row r="308">
      <c r="A308" s="68"/>
      <c r="B308" s="69"/>
      <c r="C308" s="73"/>
      <c r="D308" s="71"/>
      <c r="E308" s="71"/>
      <c r="F308" s="71"/>
    </row>
    <row r="309">
      <c r="A309" s="68"/>
      <c r="B309" s="69"/>
      <c r="C309" s="73"/>
      <c r="D309" s="71"/>
      <c r="E309" s="71"/>
      <c r="F309" s="71"/>
    </row>
    <row r="310">
      <c r="A310" s="68"/>
      <c r="B310" s="69"/>
      <c r="C310" s="73"/>
      <c r="D310" s="71"/>
      <c r="E310" s="71"/>
      <c r="F310" s="71"/>
    </row>
    <row r="311">
      <c r="A311" s="68"/>
      <c r="B311" s="69"/>
      <c r="C311" s="73"/>
      <c r="D311" s="71"/>
      <c r="E311" s="71"/>
      <c r="F311" s="71"/>
    </row>
    <row r="312">
      <c r="A312" s="68"/>
      <c r="B312" s="69"/>
      <c r="C312" s="73"/>
      <c r="D312" s="71"/>
      <c r="E312" s="71"/>
      <c r="F312" s="71"/>
    </row>
    <row r="313">
      <c r="A313" s="68"/>
      <c r="B313" s="69"/>
      <c r="C313" s="73"/>
      <c r="D313" s="71"/>
      <c r="E313" s="71"/>
      <c r="F313" s="71"/>
    </row>
    <row r="314">
      <c r="A314" s="68"/>
      <c r="B314" s="69"/>
      <c r="C314" s="73"/>
      <c r="D314" s="71"/>
      <c r="E314" s="71"/>
      <c r="F314" s="71"/>
    </row>
    <row r="315">
      <c r="A315" s="68"/>
      <c r="B315" s="69"/>
      <c r="C315" s="73"/>
      <c r="D315" s="71"/>
      <c r="E315" s="71"/>
      <c r="F315" s="71"/>
    </row>
    <row r="316">
      <c r="A316" s="68"/>
      <c r="B316" s="69"/>
      <c r="C316" s="73"/>
      <c r="D316" s="71"/>
      <c r="E316" s="71"/>
      <c r="F316" s="71"/>
    </row>
    <row r="317">
      <c r="A317" s="68"/>
      <c r="B317" s="69"/>
      <c r="C317" s="73"/>
      <c r="D317" s="71"/>
      <c r="E317" s="71"/>
      <c r="F317" s="71"/>
    </row>
    <row r="318">
      <c r="A318" s="68"/>
      <c r="B318" s="69"/>
      <c r="C318" s="73"/>
      <c r="D318" s="71"/>
      <c r="E318" s="71"/>
      <c r="F318" s="71"/>
    </row>
    <row r="319">
      <c r="A319" s="68"/>
      <c r="B319" s="69"/>
      <c r="C319" s="73"/>
      <c r="D319" s="71"/>
      <c r="E319" s="71"/>
      <c r="F319" s="71"/>
    </row>
    <row r="320">
      <c r="A320" s="68"/>
      <c r="B320" s="69"/>
      <c r="C320" s="73"/>
      <c r="D320" s="71"/>
      <c r="E320" s="71"/>
      <c r="F320" s="71"/>
    </row>
    <row r="321">
      <c r="A321" s="68"/>
      <c r="B321" s="69"/>
      <c r="C321" s="73"/>
      <c r="D321" s="71"/>
      <c r="E321" s="71"/>
      <c r="F321" s="71"/>
    </row>
    <row r="322">
      <c r="A322" s="68"/>
      <c r="B322" s="69"/>
      <c r="C322" s="73"/>
      <c r="D322" s="71"/>
      <c r="E322" s="71"/>
      <c r="F322" s="71"/>
    </row>
    <row r="323">
      <c r="A323" s="68"/>
      <c r="B323" s="69"/>
      <c r="C323" s="73"/>
      <c r="D323" s="71"/>
      <c r="E323" s="71"/>
      <c r="F323" s="71"/>
    </row>
    <row r="324">
      <c r="A324" s="68"/>
      <c r="B324" s="69"/>
      <c r="C324" s="73"/>
      <c r="D324" s="71"/>
      <c r="E324" s="71"/>
      <c r="F324" s="71"/>
    </row>
    <row r="325">
      <c r="A325" s="68"/>
      <c r="B325" s="69"/>
      <c r="C325" s="73"/>
      <c r="D325" s="71"/>
      <c r="E325" s="71"/>
      <c r="F325" s="71"/>
    </row>
    <row r="326">
      <c r="A326" s="68"/>
      <c r="B326" s="69"/>
      <c r="C326" s="73"/>
      <c r="D326" s="71"/>
      <c r="E326" s="71"/>
      <c r="F326" s="71"/>
    </row>
    <row r="327">
      <c r="A327" s="68"/>
      <c r="B327" s="69"/>
      <c r="C327" s="73"/>
      <c r="D327" s="71"/>
      <c r="E327" s="71"/>
      <c r="F327" s="71"/>
    </row>
    <row r="328">
      <c r="A328" s="68"/>
      <c r="B328" s="69"/>
      <c r="C328" s="73"/>
      <c r="D328" s="71"/>
      <c r="E328" s="71"/>
      <c r="F328" s="71"/>
    </row>
    <row r="329">
      <c r="A329" s="68"/>
      <c r="B329" s="69"/>
      <c r="C329" s="73"/>
      <c r="D329" s="71"/>
      <c r="E329" s="71"/>
      <c r="F329" s="71"/>
    </row>
    <row r="330">
      <c r="A330" s="68"/>
      <c r="B330" s="69"/>
      <c r="C330" s="73"/>
      <c r="D330" s="71"/>
      <c r="E330" s="71"/>
      <c r="F330" s="71"/>
    </row>
    <row r="331">
      <c r="A331" s="68"/>
      <c r="B331" s="69"/>
      <c r="C331" s="73"/>
      <c r="D331" s="71"/>
      <c r="E331" s="71"/>
      <c r="F331" s="71"/>
    </row>
    <row r="332">
      <c r="A332" s="68"/>
      <c r="B332" s="69"/>
      <c r="C332" s="73"/>
      <c r="D332" s="71"/>
      <c r="E332" s="71"/>
      <c r="F332" s="71"/>
    </row>
    <row r="333">
      <c r="A333" s="68"/>
      <c r="B333" s="69"/>
      <c r="C333" s="73"/>
      <c r="D333" s="71"/>
      <c r="E333" s="71"/>
      <c r="F333" s="71"/>
    </row>
    <row r="334">
      <c r="A334" s="68"/>
      <c r="B334" s="69"/>
      <c r="C334" s="73"/>
      <c r="D334" s="71"/>
      <c r="E334" s="71"/>
      <c r="F334" s="71"/>
    </row>
    <row r="335">
      <c r="A335" s="68"/>
      <c r="B335" s="69"/>
      <c r="C335" s="73"/>
      <c r="D335" s="71"/>
      <c r="E335" s="71"/>
      <c r="F335" s="71"/>
    </row>
    <row r="336">
      <c r="A336" s="68"/>
      <c r="B336" s="69"/>
      <c r="C336" s="73"/>
      <c r="D336" s="71"/>
      <c r="E336" s="71"/>
      <c r="F336" s="71"/>
    </row>
    <row r="337">
      <c r="A337" s="68"/>
      <c r="B337" s="69"/>
      <c r="C337" s="73"/>
      <c r="D337" s="71"/>
      <c r="E337" s="71"/>
      <c r="F337" s="71"/>
    </row>
    <row r="338">
      <c r="A338" s="68"/>
      <c r="B338" s="69"/>
      <c r="C338" s="73"/>
      <c r="D338" s="71"/>
      <c r="E338" s="71"/>
      <c r="F338" s="71"/>
    </row>
    <row r="339">
      <c r="A339" s="68"/>
      <c r="B339" s="69"/>
      <c r="C339" s="73"/>
      <c r="D339" s="71"/>
      <c r="E339" s="71"/>
      <c r="F339" s="71"/>
    </row>
    <row r="340">
      <c r="A340" s="68"/>
      <c r="B340" s="69"/>
      <c r="C340" s="73"/>
      <c r="D340" s="71"/>
      <c r="E340" s="71"/>
      <c r="F340" s="71"/>
    </row>
    <row r="341">
      <c r="A341" s="68"/>
      <c r="B341" s="69"/>
      <c r="C341" s="73"/>
      <c r="D341" s="71"/>
      <c r="E341" s="71"/>
      <c r="F341" s="71"/>
    </row>
    <row r="342">
      <c r="A342" s="68"/>
      <c r="B342" s="69"/>
      <c r="C342" s="73"/>
      <c r="D342" s="71"/>
      <c r="E342" s="71"/>
      <c r="F342" s="71"/>
    </row>
    <row r="343">
      <c r="A343" s="68"/>
      <c r="B343" s="69"/>
      <c r="C343" s="73"/>
      <c r="D343" s="71"/>
      <c r="E343" s="71"/>
      <c r="F343" s="71"/>
    </row>
    <row r="344">
      <c r="A344" s="68"/>
      <c r="B344" s="69"/>
      <c r="C344" s="73"/>
      <c r="D344" s="71"/>
      <c r="E344" s="71"/>
      <c r="F344" s="71"/>
    </row>
    <row r="345">
      <c r="A345" s="68"/>
      <c r="B345" s="69"/>
      <c r="C345" s="73"/>
      <c r="D345" s="71"/>
      <c r="E345" s="71"/>
      <c r="F345" s="71"/>
    </row>
    <row r="346">
      <c r="A346" s="68"/>
      <c r="B346" s="69"/>
      <c r="C346" s="73"/>
      <c r="D346" s="71"/>
      <c r="E346" s="71"/>
      <c r="F346" s="71"/>
    </row>
    <row r="347">
      <c r="A347" s="68"/>
      <c r="B347" s="69"/>
      <c r="C347" s="73"/>
      <c r="D347" s="71"/>
      <c r="E347" s="71"/>
      <c r="F347" s="71"/>
    </row>
    <row r="348">
      <c r="A348" s="68"/>
      <c r="B348" s="69"/>
      <c r="C348" s="73"/>
      <c r="D348" s="71"/>
      <c r="E348" s="71"/>
      <c r="F348" s="71"/>
    </row>
    <row r="349">
      <c r="A349" s="68"/>
      <c r="B349" s="69"/>
      <c r="C349" s="73"/>
      <c r="D349" s="71"/>
      <c r="E349" s="71"/>
      <c r="F349" s="71"/>
    </row>
    <row r="350">
      <c r="A350" s="68"/>
      <c r="B350" s="69"/>
      <c r="C350" s="73"/>
      <c r="D350" s="71"/>
      <c r="E350" s="71"/>
      <c r="F350" s="71"/>
    </row>
    <row r="351">
      <c r="A351" s="68"/>
      <c r="B351" s="69"/>
      <c r="C351" s="73"/>
      <c r="D351" s="71"/>
      <c r="E351" s="71"/>
      <c r="F351" s="71"/>
    </row>
    <row r="352">
      <c r="A352" s="68"/>
      <c r="B352" s="69"/>
      <c r="C352" s="73"/>
      <c r="D352" s="71"/>
      <c r="E352" s="71"/>
      <c r="F352" s="71"/>
    </row>
    <row r="353">
      <c r="A353" s="68"/>
      <c r="B353" s="69"/>
      <c r="C353" s="73"/>
      <c r="D353" s="71"/>
      <c r="E353" s="71"/>
      <c r="F353" s="71"/>
    </row>
    <row r="354">
      <c r="A354" s="68"/>
      <c r="B354" s="69"/>
      <c r="C354" s="73"/>
      <c r="D354" s="71"/>
      <c r="E354" s="71"/>
      <c r="F354" s="71"/>
    </row>
    <row r="355">
      <c r="A355" s="68"/>
      <c r="B355" s="69"/>
      <c r="C355" s="73"/>
      <c r="D355" s="71"/>
      <c r="E355" s="71"/>
      <c r="F355" s="71"/>
    </row>
    <row r="356">
      <c r="A356" s="68"/>
      <c r="B356" s="69"/>
      <c r="C356" s="73"/>
      <c r="D356" s="71"/>
      <c r="E356" s="71"/>
      <c r="F356" s="71"/>
    </row>
    <row r="357">
      <c r="A357" s="68"/>
      <c r="B357" s="69"/>
      <c r="C357" s="73"/>
      <c r="D357" s="71"/>
      <c r="E357" s="71"/>
      <c r="F357" s="71"/>
    </row>
    <row r="358">
      <c r="A358" s="68"/>
      <c r="B358" s="69"/>
      <c r="C358" s="73"/>
      <c r="D358" s="71"/>
      <c r="E358" s="71"/>
      <c r="F358" s="71"/>
    </row>
    <row r="359">
      <c r="A359" s="68"/>
      <c r="B359" s="69"/>
      <c r="C359" s="73"/>
      <c r="D359" s="71"/>
      <c r="E359" s="71"/>
      <c r="F359" s="71"/>
    </row>
    <row r="360">
      <c r="A360" s="68"/>
      <c r="B360" s="69"/>
      <c r="C360" s="73"/>
      <c r="D360" s="71"/>
      <c r="E360" s="71"/>
      <c r="F360" s="71"/>
    </row>
    <row r="361">
      <c r="A361" s="68"/>
      <c r="B361" s="69"/>
      <c r="C361" s="73"/>
      <c r="D361" s="71"/>
      <c r="E361" s="71"/>
      <c r="F361" s="71"/>
    </row>
    <row r="362">
      <c r="A362" s="68"/>
      <c r="B362" s="69"/>
      <c r="C362" s="73"/>
      <c r="D362" s="71"/>
      <c r="E362" s="71"/>
      <c r="F362" s="71"/>
    </row>
    <row r="363">
      <c r="A363" s="68"/>
      <c r="B363" s="69"/>
      <c r="C363" s="73"/>
      <c r="D363" s="71"/>
      <c r="E363" s="71"/>
      <c r="F363" s="71"/>
    </row>
    <row r="364">
      <c r="A364" s="68"/>
      <c r="B364" s="69"/>
      <c r="C364" s="73"/>
      <c r="D364" s="71"/>
      <c r="E364" s="71"/>
      <c r="F364" s="71"/>
    </row>
    <row r="365">
      <c r="A365" s="68"/>
      <c r="B365" s="69"/>
      <c r="C365" s="73"/>
      <c r="D365" s="71"/>
      <c r="E365" s="71"/>
      <c r="F365" s="71"/>
    </row>
    <row r="366">
      <c r="A366" s="68"/>
      <c r="B366" s="69"/>
      <c r="C366" s="73"/>
      <c r="D366" s="71"/>
      <c r="E366" s="71"/>
      <c r="F366" s="71"/>
    </row>
    <row r="367">
      <c r="A367" s="68"/>
      <c r="B367" s="69"/>
      <c r="C367" s="73"/>
      <c r="D367" s="71"/>
      <c r="E367" s="71"/>
      <c r="F367" s="71"/>
    </row>
    <row r="368">
      <c r="A368" s="68"/>
      <c r="B368" s="69"/>
      <c r="C368" s="73"/>
      <c r="D368" s="71"/>
      <c r="E368" s="71"/>
      <c r="F368" s="71"/>
    </row>
    <row r="369">
      <c r="A369" s="68"/>
      <c r="B369" s="69"/>
      <c r="C369" s="73"/>
      <c r="D369" s="71"/>
      <c r="E369" s="71"/>
      <c r="F369" s="71"/>
    </row>
    <row r="370">
      <c r="A370" s="68"/>
      <c r="B370" s="69"/>
      <c r="C370" s="73"/>
      <c r="D370" s="71"/>
      <c r="E370" s="71"/>
      <c r="F370" s="71"/>
    </row>
    <row r="371">
      <c r="A371" s="68"/>
      <c r="B371" s="69"/>
      <c r="C371" s="73"/>
      <c r="D371" s="71"/>
      <c r="E371" s="71"/>
      <c r="F371" s="71"/>
    </row>
    <row r="372">
      <c r="A372" s="68"/>
      <c r="B372" s="69"/>
      <c r="C372" s="73"/>
      <c r="D372" s="71"/>
      <c r="E372" s="71"/>
      <c r="F372" s="71"/>
    </row>
    <row r="373">
      <c r="A373" s="68"/>
      <c r="B373" s="69"/>
      <c r="C373" s="73"/>
      <c r="D373" s="71"/>
      <c r="E373" s="71"/>
      <c r="F373" s="71"/>
    </row>
    <row r="374">
      <c r="A374" s="68"/>
      <c r="B374" s="69"/>
      <c r="C374" s="73"/>
      <c r="D374" s="71"/>
      <c r="E374" s="71"/>
      <c r="F374" s="71"/>
    </row>
    <row r="375">
      <c r="A375" s="68"/>
      <c r="B375" s="69"/>
      <c r="C375" s="73"/>
      <c r="D375" s="71"/>
      <c r="E375" s="71"/>
      <c r="F375" s="71"/>
    </row>
    <row r="376">
      <c r="A376" s="68"/>
      <c r="B376" s="69"/>
      <c r="C376" s="73"/>
      <c r="D376" s="71"/>
      <c r="E376" s="71"/>
      <c r="F376" s="71"/>
    </row>
    <row r="377">
      <c r="A377" s="68"/>
      <c r="B377" s="69"/>
      <c r="C377" s="73"/>
      <c r="D377" s="71"/>
      <c r="E377" s="71"/>
      <c r="F377" s="71"/>
    </row>
    <row r="378">
      <c r="A378" s="68"/>
      <c r="B378" s="69"/>
      <c r="C378" s="73"/>
      <c r="D378" s="71"/>
      <c r="E378" s="71"/>
      <c r="F378" s="71"/>
    </row>
    <row r="379">
      <c r="A379" s="68"/>
      <c r="B379" s="69"/>
      <c r="C379" s="73"/>
      <c r="D379" s="71"/>
      <c r="E379" s="71"/>
      <c r="F379" s="71"/>
    </row>
    <row r="380">
      <c r="A380" s="68"/>
      <c r="B380" s="69"/>
      <c r="C380" s="73"/>
      <c r="D380" s="71"/>
      <c r="E380" s="71"/>
      <c r="F380" s="71"/>
    </row>
    <row r="381">
      <c r="A381" s="68"/>
      <c r="B381" s="69"/>
      <c r="C381" s="73"/>
      <c r="D381" s="71"/>
      <c r="E381" s="71"/>
      <c r="F381" s="71"/>
    </row>
    <row r="382">
      <c r="A382" s="68"/>
      <c r="B382" s="69"/>
      <c r="C382" s="73"/>
      <c r="D382" s="71"/>
      <c r="E382" s="71"/>
      <c r="F382" s="71"/>
    </row>
    <row r="383">
      <c r="A383" s="68"/>
      <c r="B383" s="69"/>
      <c r="C383" s="73"/>
      <c r="D383" s="71"/>
      <c r="E383" s="71"/>
      <c r="F383" s="71"/>
    </row>
    <row r="384">
      <c r="A384" s="68"/>
      <c r="B384" s="69"/>
      <c r="C384" s="73"/>
      <c r="D384" s="71"/>
      <c r="E384" s="71"/>
      <c r="F384" s="71"/>
    </row>
    <row r="385">
      <c r="A385" s="68"/>
      <c r="B385" s="69"/>
      <c r="C385" s="73"/>
      <c r="D385" s="71"/>
      <c r="E385" s="71"/>
      <c r="F385" s="71"/>
    </row>
    <row r="386">
      <c r="A386" s="68"/>
      <c r="B386" s="69"/>
      <c r="C386" s="73"/>
      <c r="D386" s="71"/>
      <c r="E386" s="71"/>
      <c r="F386" s="71"/>
    </row>
    <row r="387">
      <c r="A387" s="68"/>
      <c r="B387" s="69"/>
      <c r="C387" s="73"/>
      <c r="D387" s="71"/>
      <c r="E387" s="71"/>
      <c r="F387" s="71"/>
    </row>
    <row r="388">
      <c r="A388" s="68"/>
      <c r="B388" s="69"/>
      <c r="C388" s="73"/>
      <c r="D388" s="71"/>
      <c r="E388" s="71"/>
      <c r="F388" s="71"/>
    </row>
    <row r="389">
      <c r="A389" s="68"/>
      <c r="B389" s="69"/>
      <c r="C389" s="73"/>
      <c r="D389" s="71"/>
      <c r="E389" s="71"/>
      <c r="F389" s="71"/>
    </row>
    <row r="390">
      <c r="A390" s="68"/>
      <c r="B390" s="69"/>
      <c r="C390" s="73"/>
      <c r="D390" s="71"/>
      <c r="E390" s="71"/>
      <c r="F390" s="71"/>
    </row>
    <row r="391">
      <c r="A391" s="68"/>
      <c r="B391" s="69"/>
      <c r="C391" s="73"/>
      <c r="D391" s="71"/>
      <c r="E391" s="71"/>
      <c r="F391" s="71"/>
    </row>
    <row r="392">
      <c r="A392" s="68"/>
      <c r="B392" s="69"/>
      <c r="C392" s="73"/>
      <c r="D392" s="71"/>
      <c r="E392" s="71"/>
      <c r="F392" s="71"/>
    </row>
    <row r="393">
      <c r="A393" s="68"/>
      <c r="B393" s="69"/>
      <c r="C393" s="73"/>
      <c r="D393" s="71"/>
      <c r="E393" s="71"/>
      <c r="F393" s="71"/>
    </row>
    <row r="394">
      <c r="A394" s="68"/>
      <c r="B394" s="69"/>
      <c r="C394" s="73"/>
      <c r="D394" s="71"/>
      <c r="E394" s="71"/>
      <c r="F394" s="71"/>
    </row>
    <row r="395">
      <c r="A395" s="68"/>
      <c r="B395" s="69"/>
      <c r="C395" s="73"/>
      <c r="D395" s="71"/>
      <c r="E395" s="71"/>
      <c r="F395" s="71"/>
    </row>
    <row r="396">
      <c r="A396" s="68"/>
      <c r="B396" s="69"/>
      <c r="C396" s="73"/>
      <c r="D396" s="71"/>
      <c r="E396" s="71"/>
      <c r="F396" s="71"/>
    </row>
    <row r="397">
      <c r="A397" s="68"/>
      <c r="B397" s="69"/>
      <c r="C397" s="73"/>
      <c r="D397" s="71"/>
      <c r="E397" s="71"/>
      <c r="F397" s="71"/>
    </row>
    <row r="398">
      <c r="A398" s="68"/>
      <c r="B398" s="69"/>
      <c r="C398" s="73"/>
      <c r="D398" s="71"/>
      <c r="E398" s="71"/>
      <c r="F398" s="71"/>
    </row>
    <row r="399">
      <c r="A399" s="68"/>
      <c r="B399" s="69"/>
      <c r="C399" s="73"/>
      <c r="D399" s="71"/>
      <c r="E399" s="71"/>
      <c r="F399" s="71"/>
    </row>
    <row r="400">
      <c r="A400" s="68"/>
      <c r="B400" s="69"/>
      <c r="C400" s="73"/>
      <c r="D400" s="71"/>
      <c r="E400" s="71"/>
      <c r="F400" s="71"/>
    </row>
    <row r="401">
      <c r="A401" s="68"/>
      <c r="B401" s="69"/>
      <c r="C401" s="73"/>
      <c r="D401" s="71"/>
      <c r="E401" s="71"/>
      <c r="F401" s="71"/>
    </row>
    <row r="402">
      <c r="A402" s="68"/>
      <c r="B402" s="69"/>
      <c r="C402" s="73"/>
      <c r="D402" s="71"/>
      <c r="E402" s="71"/>
      <c r="F402" s="71"/>
    </row>
    <row r="403">
      <c r="A403" s="68"/>
      <c r="B403" s="69"/>
      <c r="C403" s="73"/>
      <c r="D403" s="71"/>
      <c r="E403" s="71"/>
      <c r="F403" s="71"/>
    </row>
    <row r="404">
      <c r="A404" s="68"/>
      <c r="B404" s="69"/>
      <c r="C404" s="73"/>
      <c r="D404" s="71"/>
      <c r="E404" s="71"/>
      <c r="F404" s="71"/>
    </row>
    <row r="405">
      <c r="A405" s="68"/>
      <c r="B405" s="69"/>
      <c r="C405" s="73"/>
      <c r="D405" s="71"/>
      <c r="E405" s="71"/>
      <c r="F405" s="71"/>
    </row>
    <row r="406">
      <c r="A406" s="68"/>
      <c r="B406" s="69"/>
      <c r="C406" s="73"/>
      <c r="D406" s="71"/>
      <c r="E406" s="71"/>
      <c r="F406" s="71"/>
    </row>
    <row r="407">
      <c r="A407" s="68"/>
      <c r="B407" s="69"/>
      <c r="C407" s="73"/>
      <c r="D407" s="71"/>
      <c r="E407" s="71"/>
      <c r="F407" s="71"/>
    </row>
    <row r="408">
      <c r="A408" s="68"/>
      <c r="B408" s="69"/>
      <c r="C408" s="73"/>
      <c r="D408" s="71"/>
      <c r="E408" s="71"/>
      <c r="F408" s="71"/>
    </row>
    <row r="409">
      <c r="A409" s="68"/>
      <c r="B409" s="69"/>
      <c r="C409" s="73"/>
      <c r="D409" s="71"/>
      <c r="E409" s="71"/>
      <c r="F409" s="71"/>
    </row>
    <row r="410">
      <c r="A410" s="68"/>
      <c r="B410" s="69"/>
      <c r="C410" s="73"/>
      <c r="D410" s="71"/>
      <c r="E410" s="71"/>
      <c r="F410" s="71"/>
    </row>
    <row r="411">
      <c r="A411" s="68"/>
      <c r="B411" s="69"/>
      <c r="C411" s="73"/>
      <c r="D411" s="71"/>
      <c r="E411" s="71"/>
      <c r="F411" s="71"/>
    </row>
    <row r="412">
      <c r="A412" s="68"/>
      <c r="B412" s="69"/>
      <c r="C412" s="73"/>
      <c r="D412" s="71"/>
      <c r="E412" s="71"/>
      <c r="F412" s="71"/>
    </row>
    <row r="413">
      <c r="A413" s="68"/>
      <c r="B413" s="69"/>
      <c r="C413" s="73"/>
      <c r="D413" s="71"/>
      <c r="E413" s="71"/>
      <c r="F413" s="71"/>
    </row>
    <row r="414">
      <c r="A414" s="68"/>
      <c r="B414" s="69"/>
      <c r="C414" s="73"/>
      <c r="D414" s="71"/>
      <c r="E414" s="71"/>
      <c r="F414" s="71"/>
    </row>
    <row r="415">
      <c r="A415" s="68"/>
      <c r="B415" s="69"/>
      <c r="C415" s="73"/>
      <c r="D415" s="71"/>
      <c r="E415" s="71"/>
      <c r="F415" s="71"/>
    </row>
    <row r="416">
      <c r="A416" s="68"/>
      <c r="B416" s="69"/>
      <c r="C416" s="73"/>
      <c r="D416" s="71"/>
      <c r="E416" s="71"/>
      <c r="F416" s="71"/>
    </row>
    <row r="417">
      <c r="A417" s="68"/>
      <c r="B417" s="69"/>
      <c r="C417" s="73"/>
      <c r="D417" s="71"/>
      <c r="E417" s="71"/>
      <c r="F417" s="71"/>
    </row>
    <row r="418">
      <c r="A418" s="68"/>
      <c r="B418" s="69"/>
      <c r="C418" s="73"/>
      <c r="D418" s="71"/>
      <c r="E418" s="71"/>
      <c r="F418" s="71"/>
    </row>
    <row r="419">
      <c r="A419" s="68"/>
      <c r="B419" s="69"/>
      <c r="C419" s="73"/>
      <c r="D419" s="71"/>
      <c r="E419" s="71"/>
      <c r="F419" s="71"/>
    </row>
    <row r="420">
      <c r="A420" s="68"/>
      <c r="B420" s="69"/>
      <c r="C420" s="73"/>
      <c r="D420" s="71"/>
      <c r="E420" s="71"/>
      <c r="F420" s="71"/>
    </row>
    <row r="421">
      <c r="A421" s="68"/>
      <c r="B421" s="69"/>
      <c r="C421" s="73"/>
      <c r="D421" s="71"/>
      <c r="E421" s="71"/>
      <c r="F421" s="71"/>
    </row>
    <row r="422">
      <c r="A422" s="68"/>
      <c r="B422" s="69"/>
      <c r="C422" s="73"/>
      <c r="D422" s="71"/>
      <c r="E422" s="71"/>
      <c r="F422" s="71"/>
    </row>
    <row r="423">
      <c r="A423" s="68"/>
      <c r="B423" s="69"/>
      <c r="C423" s="73"/>
      <c r="D423" s="71"/>
      <c r="E423" s="71"/>
      <c r="F423" s="71"/>
    </row>
    <row r="424">
      <c r="A424" s="68"/>
      <c r="B424" s="69"/>
      <c r="C424" s="73"/>
      <c r="D424" s="71"/>
      <c r="E424" s="71"/>
      <c r="F424" s="71"/>
    </row>
    <row r="425">
      <c r="A425" s="68"/>
      <c r="B425" s="69"/>
      <c r="C425" s="73"/>
      <c r="D425" s="71"/>
      <c r="E425" s="71"/>
      <c r="F425" s="71"/>
    </row>
    <row r="426">
      <c r="A426" s="68"/>
      <c r="B426" s="69"/>
      <c r="C426" s="73"/>
      <c r="D426" s="71"/>
      <c r="E426" s="71"/>
      <c r="F426" s="71"/>
    </row>
    <row r="427">
      <c r="A427" s="68"/>
      <c r="B427" s="69"/>
      <c r="C427" s="73"/>
      <c r="D427" s="71"/>
      <c r="E427" s="71"/>
      <c r="F427" s="71"/>
    </row>
    <row r="428">
      <c r="A428" s="68"/>
      <c r="B428" s="69"/>
      <c r="C428" s="73"/>
      <c r="D428" s="71"/>
      <c r="E428" s="71"/>
      <c r="F428" s="71"/>
    </row>
    <row r="429">
      <c r="A429" s="68"/>
      <c r="B429" s="69"/>
      <c r="C429" s="73"/>
      <c r="D429" s="71"/>
      <c r="E429" s="71"/>
      <c r="F429" s="71"/>
    </row>
    <row r="430">
      <c r="A430" s="68"/>
      <c r="B430" s="69"/>
      <c r="C430" s="73"/>
      <c r="D430" s="71"/>
      <c r="E430" s="71"/>
      <c r="F430" s="71"/>
    </row>
    <row r="431">
      <c r="A431" s="68"/>
      <c r="B431" s="69"/>
      <c r="C431" s="73"/>
      <c r="D431" s="71"/>
      <c r="E431" s="71"/>
      <c r="F431" s="71"/>
    </row>
    <row r="432">
      <c r="A432" s="68"/>
      <c r="B432" s="69"/>
      <c r="C432" s="73"/>
      <c r="D432" s="71"/>
      <c r="E432" s="71"/>
      <c r="F432" s="71"/>
    </row>
    <row r="433">
      <c r="A433" s="68"/>
      <c r="B433" s="69"/>
      <c r="C433" s="73"/>
      <c r="D433" s="71"/>
      <c r="E433" s="71"/>
      <c r="F433" s="71"/>
    </row>
    <row r="434">
      <c r="A434" s="68"/>
      <c r="B434" s="69"/>
      <c r="C434" s="73"/>
      <c r="D434" s="71"/>
      <c r="E434" s="71"/>
      <c r="F434" s="71"/>
    </row>
    <row r="435">
      <c r="A435" s="68"/>
      <c r="B435" s="69"/>
      <c r="C435" s="73"/>
      <c r="D435" s="71"/>
      <c r="E435" s="71"/>
      <c r="F435" s="71"/>
    </row>
    <row r="436">
      <c r="A436" s="68"/>
      <c r="B436" s="69"/>
      <c r="C436" s="73"/>
      <c r="D436" s="71"/>
      <c r="E436" s="71"/>
      <c r="F436" s="71"/>
    </row>
    <row r="437">
      <c r="A437" s="68"/>
      <c r="B437" s="69"/>
      <c r="C437" s="73"/>
      <c r="D437" s="71"/>
      <c r="E437" s="71"/>
      <c r="F437" s="71"/>
    </row>
    <row r="438">
      <c r="A438" s="68"/>
      <c r="B438" s="69"/>
      <c r="C438" s="73"/>
      <c r="D438" s="71"/>
      <c r="E438" s="71"/>
      <c r="F438" s="71"/>
    </row>
    <row r="439">
      <c r="A439" s="68"/>
      <c r="B439" s="69"/>
      <c r="C439" s="73"/>
      <c r="D439" s="71"/>
      <c r="E439" s="71"/>
      <c r="F439" s="71"/>
    </row>
    <row r="440">
      <c r="A440" s="68"/>
      <c r="B440" s="69"/>
      <c r="C440" s="73"/>
      <c r="D440" s="71"/>
      <c r="E440" s="71"/>
      <c r="F440" s="71"/>
    </row>
    <row r="441">
      <c r="A441" s="68"/>
      <c r="B441" s="69"/>
      <c r="C441" s="73"/>
      <c r="D441" s="71"/>
      <c r="E441" s="71"/>
      <c r="F441" s="71"/>
    </row>
    <row r="442">
      <c r="A442" s="68"/>
      <c r="B442" s="69"/>
      <c r="C442" s="73"/>
      <c r="D442" s="71"/>
      <c r="E442" s="71"/>
      <c r="F442" s="71"/>
    </row>
    <row r="443">
      <c r="A443" s="68"/>
      <c r="B443" s="69"/>
      <c r="C443" s="73"/>
      <c r="D443" s="71"/>
      <c r="E443" s="71"/>
      <c r="F443" s="71"/>
    </row>
    <row r="444">
      <c r="A444" s="68"/>
      <c r="B444" s="69"/>
      <c r="C444" s="73"/>
      <c r="D444" s="71"/>
      <c r="E444" s="71"/>
      <c r="F444" s="71"/>
    </row>
    <row r="445">
      <c r="A445" s="68"/>
      <c r="B445" s="69"/>
      <c r="C445" s="73"/>
      <c r="D445" s="71"/>
      <c r="E445" s="71"/>
      <c r="F445" s="71"/>
    </row>
    <row r="446">
      <c r="A446" s="68"/>
      <c r="B446" s="69"/>
      <c r="C446" s="73"/>
      <c r="D446" s="71"/>
      <c r="E446" s="71"/>
      <c r="F446" s="71"/>
    </row>
    <row r="447">
      <c r="A447" s="68"/>
      <c r="B447" s="69"/>
      <c r="C447" s="73"/>
      <c r="D447" s="71"/>
      <c r="E447" s="71"/>
      <c r="F447" s="71"/>
    </row>
    <row r="448">
      <c r="A448" s="68"/>
      <c r="B448" s="69"/>
      <c r="C448" s="73"/>
      <c r="D448" s="71"/>
      <c r="E448" s="71"/>
      <c r="F448" s="71"/>
    </row>
    <row r="449">
      <c r="A449" s="68"/>
      <c r="B449" s="69"/>
      <c r="C449" s="73"/>
      <c r="D449" s="71"/>
      <c r="E449" s="71"/>
      <c r="F449" s="71"/>
    </row>
    <row r="450">
      <c r="A450" s="68"/>
      <c r="B450" s="69"/>
      <c r="C450" s="73"/>
      <c r="D450" s="71"/>
      <c r="E450" s="71"/>
      <c r="F450" s="71"/>
    </row>
    <row r="451">
      <c r="A451" s="68"/>
      <c r="B451" s="69"/>
      <c r="C451" s="73"/>
      <c r="D451" s="71"/>
      <c r="E451" s="71"/>
      <c r="F451" s="71"/>
    </row>
    <row r="452">
      <c r="A452" s="68"/>
      <c r="B452" s="69"/>
      <c r="C452" s="73"/>
      <c r="D452" s="71"/>
      <c r="E452" s="71"/>
      <c r="F452" s="71"/>
    </row>
    <row r="453">
      <c r="A453" s="68"/>
      <c r="B453" s="69"/>
      <c r="C453" s="73"/>
      <c r="D453" s="71"/>
      <c r="E453" s="71"/>
      <c r="F453" s="71"/>
    </row>
    <row r="454">
      <c r="A454" s="68"/>
      <c r="B454" s="69"/>
      <c r="C454" s="73"/>
      <c r="D454" s="71"/>
      <c r="E454" s="71"/>
      <c r="F454" s="71"/>
    </row>
    <row r="455">
      <c r="A455" s="68"/>
      <c r="B455" s="69"/>
      <c r="C455" s="73"/>
      <c r="D455" s="71"/>
      <c r="E455" s="71"/>
      <c r="F455" s="71"/>
    </row>
    <row r="456">
      <c r="A456" s="68"/>
      <c r="B456" s="69"/>
      <c r="C456" s="73"/>
      <c r="D456" s="71"/>
      <c r="E456" s="71"/>
      <c r="F456" s="71"/>
    </row>
    <row r="457">
      <c r="A457" s="68"/>
      <c r="B457" s="69"/>
      <c r="C457" s="73"/>
      <c r="D457" s="71"/>
      <c r="E457" s="71"/>
      <c r="F457" s="71"/>
    </row>
    <row r="458">
      <c r="A458" s="68"/>
      <c r="B458" s="69"/>
      <c r="C458" s="73"/>
      <c r="D458" s="71"/>
      <c r="E458" s="71"/>
      <c r="F458" s="71"/>
    </row>
    <row r="459">
      <c r="A459" s="68"/>
      <c r="B459" s="69"/>
      <c r="C459" s="73"/>
      <c r="D459" s="71"/>
      <c r="E459" s="71"/>
      <c r="F459" s="71"/>
    </row>
    <row r="460">
      <c r="A460" s="68"/>
      <c r="B460" s="69"/>
      <c r="C460" s="73"/>
      <c r="D460" s="71"/>
      <c r="E460" s="71"/>
      <c r="F460" s="71"/>
    </row>
    <row r="461">
      <c r="A461" s="68"/>
      <c r="B461" s="69"/>
      <c r="C461" s="73"/>
      <c r="D461" s="71"/>
      <c r="E461" s="71"/>
      <c r="F461" s="71"/>
    </row>
    <row r="462">
      <c r="A462" s="68"/>
      <c r="B462" s="69"/>
      <c r="C462" s="73"/>
      <c r="D462" s="71"/>
      <c r="E462" s="71"/>
      <c r="F462" s="71"/>
    </row>
    <row r="463">
      <c r="A463" s="68"/>
      <c r="B463" s="69"/>
      <c r="C463" s="73"/>
      <c r="D463" s="71"/>
      <c r="E463" s="71"/>
      <c r="F463" s="71"/>
    </row>
    <row r="464">
      <c r="A464" s="68"/>
      <c r="B464" s="69"/>
      <c r="C464" s="73"/>
      <c r="D464" s="71"/>
      <c r="E464" s="71"/>
      <c r="F464" s="71"/>
    </row>
    <row r="465">
      <c r="A465" s="68"/>
      <c r="B465" s="69"/>
      <c r="C465" s="73"/>
      <c r="D465" s="71"/>
      <c r="E465" s="71"/>
      <c r="F465" s="71"/>
    </row>
    <row r="466">
      <c r="A466" s="68"/>
      <c r="B466" s="69"/>
      <c r="C466" s="73"/>
      <c r="D466" s="71"/>
      <c r="E466" s="71"/>
      <c r="F466" s="71"/>
    </row>
    <row r="467">
      <c r="A467" s="68"/>
      <c r="B467" s="69"/>
      <c r="C467" s="73"/>
      <c r="D467" s="71"/>
      <c r="E467" s="71"/>
      <c r="F467" s="71"/>
    </row>
    <row r="468">
      <c r="A468" s="68"/>
      <c r="B468" s="69"/>
      <c r="C468" s="73"/>
      <c r="D468" s="71"/>
      <c r="E468" s="71"/>
      <c r="F468" s="71"/>
    </row>
    <row r="469">
      <c r="A469" s="68"/>
      <c r="B469" s="69"/>
      <c r="C469" s="73"/>
      <c r="D469" s="71"/>
      <c r="E469" s="71"/>
      <c r="F469" s="71"/>
    </row>
    <row r="470">
      <c r="A470" s="68"/>
      <c r="B470" s="69"/>
      <c r="C470" s="73"/>
      <c r="D470" s="71"/>
      <c r="E470" s="71"/>
      <c r="F470" s="71"/>
    </row>
    <row r="471">
      <c r="A471" s="68"/>
      <c r="B471" s="69"/>
      <c r="C471" s="73"/>
      <c r="D471" s="71"/>
      <c r="E471" s="71"/>
      <c r="F471" s="71"/>
    </row>
    <row r="472">
      <c r="A472" s="68"/>
      <c r="B472" s="69"/>
      <c r="C472" s="73"/>
      <c r="D472" s="71"/>
      <c r="E472" s="71"/>
      <c r="F472" s="71"/>
    </row>
    <row r="473">
      <c r="A473" s="68"/>
      <c r="B473" s="69"/>
      <c r="C473" s="73"/>
      <c r="D473" s="71"/>
      <c r="E473" s="71"/>
      <c r="F473" s="71"/>
    </row>
    <row r="474">
      <c r="A474" s="68"/>
      <c r="B474" s="69"/>
      <c r="C474" s="73"/>
      <c r="D474" s="71"/>
      <c r="E474" s="71"/>
      <c r="F474" s="71"/>
    </row>
    <row r="475">
      <c r="A475" s="68"/>
      <c r="B475" s="69"/>
      <c r="C475" s="73"/>
      <c r="D475" s="71"/>
      <c r="E475" s="71"/>
      <c r="F475" s="71"/>
    </row>
    <row r="476">
      <c r="A476" s="68"/>
      <c r="B476" s="69"/>
      <c r="C476" s="73"/>
      <c r="D476" s="71"/>
      <c r="E476" s="71"/>
      <c r="F476" s="71"/>
    </row>
    <row r="477">
      <c r="A477" s="68"/>
      <c r="B477" s="69"/>
      <c r="C477" s="73"/>
      <c r="D477" s="71"/>
      <c r="E477" s="71"/>
      <c r="F477" s="71"/>
    </row>
    <row r="478">
      <c r="A478" s="68"/>
      <c r="B478" s="69"/>
      <c r="C478" s="73"/>
      <c r="D478" s="71"/>
      <c r="E478" s="71"/>
      <c r="F478" s="71"/>
    </row>
    <row r="479">
      <c r="A479" s="68"/>
      <c r="B479" s="69"/>
      <c r="C479" s="73"/>
      <c r="D479" s="71"/>
      <c r="E479" s="71"/>
      <c r="F479" s="71"/>
    </row>
    <row r="480">
      <c r="A480" s="68"/>
      <c r="B480" s="69"/>
      <c r="C480" s="73"/>
      <c r="D480" s="71"/>
      <c r="E480" s="71"/>
      <c r="F480" s="71"/>
    </row>
    <row r="481">
      <c r="A481" s="68"/>
      <c r="B481" s="69"/>
      <c r="C481" s="73"/>
      <c r="D481" s="71"/>
      <c r="E481" s="71"/>
      <c r="F481" s="71"/>
    </row>
    <row r="482">
      <c r="A482" s="68"/>
      <c r="B482" s="69"/>
      <c r="C482" s="73"/>
      <c r="D482" s="71"/>
      <c r="E482" s="71"/>
      <c r="F482" s="71"/>
    </row>
    <row r="483">
      <c r="A483" s="68"/>
      <c r="B483" s="69"/>
      <c r="C483" s="73"/>
      <c r="D483" s="71"/>
      <c r="E483" s="71"/>
      <c r="F483" s="71"/>
    </row>
    <row r="484">
      <c r="A484" s="68"/>
      <c r="B484" s="69"/>
      <c r="C484" s="73"/>
      <c r="D484" s="71"/>
      <c r="E484" s="71"/>
      <c r="F484" s="71"/>
    </row>
    <row r="485">
      <c r="A485" s="68"/>
      <c r="B485" s="69"/>
      <c r="C485" s="73"/>
      <c r="D485" s="71"/>
      <c r="E485" s="71"/>
      <c r="F485" s="71"/>
    </row>
    <row r="486">
      <c r="A486" s="68"/>
      <c r="B486" s="69"/>
      <c r="C486" s="73"/>
      <c r="D486" s="71"/>
      <c r="E486" s="71"/>
      <c r="F486" s="71"/>
    </row>
    <row r="487">
      <c r="A487" s="68"/>
      <c r="B487" s="69"/>
      <c r="C487" s="73"/>
      <c r="D487" s="71"/>
      <c r="E487" s="71"/>
      <c r="F487" s="71"/>
    </row>
    <row r="488">
      <c r="A488" s="68"/>
      <c r="B488" s="69"/>
      <c r="C488" s="73"/>
      <c r="D488" s="71"/>
      <c r="E488" s="71"/>
      <c r="F488" s="71"/>
    </row>
    <row r="489">
      <c r="A489" s="68"/>
      <c r="B489" s="69"/>
      <c r="C489" s="73"/>
      <c r="D489" s="71"/>
      <c r="E489" s="71"/>
      <c r="F489" s="71"/>
    </row>
    <row r="490">
      <c r="A490" s="68"/>
      <c r="B490" s="69"/>
      <c r="C490" s="73"/>
      <c r="D490" s="71"/>
      <c r="E490" s="71"/>
      <c r="F490" s="71"/>
    </row>
    <row r="491">
      <c r="A491" s="68"/>
      <c r="B491" s="69"/>
      <c r="C491" s="73"/>
      <c r="D491" s="71"/>
      <c r="E491" s="71"/>
      <c r="F491" s="71"/>
    </row>
    <row r="492">
      <c r="A492" s="68"/>
      <c r="B492" s="69"/>
      <c r="C492" s="73"/>
      <c r="D492" s="71"/>
      <c r="E492" s="71"/>
      <c r="F492" s="71"/>
    </row>
    <row r="493">
      <c r="A493" s="68"/>
      <c r="B493" s="69"/>
      <c r="C493" s="73"/>
      <c r="D493" s="71"/>
      <c r="E493" s="71"/>
      <c r="F493" s="71"/>
    </row>
    <row r="494">
      <c r="A494" s="68"/>
      <c r="B494" s="69"/>
      <c r="C494" s="73"/>
      <c r="D494" s="71"/>
      <c r="E494" s="71"/>
      <c r="F494" s="71"/>
    </row>
    <row r="495">
      <c r="A495" s="68"/>
      <c r="B495" s="69"/>
      <c r="C495" s="73"/>
      <c r="D495" s="71"/>
      <c r="E495" s="71"/>
      <c r="F495" s="71"/>
    </row>
    <row r="496">
      <c r="A496" s="68"/>
      <c r="B496" s="69"/>
      <c r="C496" s="73"/>
      <c r="D496" s="71"/>
      <c r="E496" s="71"/>
      <c r="F496" s="71"/>
    </row>
    <row r="497">
      <c r="A497" s="68"/>
      <c r="B497" s="69"/>
      <c r="C497" s="73"/>
      <c r="D497" s="71"/>
      <c r="E497" s="71"/>
      <c r="F497" s="71"/>
    </row>
    <row r="498">
      <c r="A498" s="68"/>
      <c r="B498" s="69"/>
      <c r="C498" s="73"/>
      <c r="D498" s="71"/>
      <c r="E498" s="71"/>
      <c r="F498" s="71"/>
    </row>
    <row r="499">
      <c r="A499" s="68"/>
      <c r="B499" s="69"/>
      <c r="C499" s="73"/>
      <c r="D499" s="71"/>
      <c r="E499" s="71"/>
      <c r="F499" s="71"/>
    </row>
    <row r="500">
      <c r="A500" s="68"/>
      <c r="B500" s="69"/>
      <c r="C500" s="73"/>
      <c r="D500" s="71"/>
      <c r="E500" s="71"/>
      <c r="F500" s="71"/>
    </row>
    <row r="501">
      <c r="A501" s="68"/>
      <c r="B501" s="69"/>
      <c r="C501" s="73"/>
      <c r="D501" s="71"/>
      <c r="E501" s="71"/>
      <c r="F501" s="71"/>
    </row>
    <row r="502">
      <c r="A502" s="68"/>
      <c r="B502" s="69"/>
      <c r="C502" s="73"/>
      <c r="D502" s="71"/>
      <c r="E502" s="71"/>
      <c r="F502" s="71"/>
    </row>
    <row r="503">
      <c r="A503" s="68"/>
      <c r="B503" s="69"/>
      <c r="C503" s="73"/>
      <c r="D503" s="71"/>
      <c r="E503" s="71"/>
      <c r="F503" s="71"/>
    </row>
    <row r="504">
      <c r="A504" s="68"/>
      <c r="B504" s="69"/>
      <c r="C504" s="73"/>
      <c r="D504" s="71"/>
      <c r="E504" s="71"/>
      <c r="F504" s="71"/>
    </row>
    <row r="505">
      <c r="A505" s="68"/>
      <c r="B505" s="69"/>
      <c r="C505" s="73"/>
      <c r="D505" s="71"/>
      <c r="E505" s="71"/>
      <c r="F505" s="71"/>
    </row>
    <row r="506">
      <c r="A506" s="68"/>
      <c r="B506" s="69"/>
      <c r="C506" s="73"/>
      <c r="D506" s="71"/>
      <c r="E506" s="71"/>
      <c r="F506" s="71"/>
    </row>
    <row r="507">
      <c r="A507" s="68"/>
      <c r="B507" s="69"/>
      <c r="C507" s="73"/>
      <c r="D507" s="71"/>
      <c r="E507" s="71"/>
      <c r="F507" s="71"/>
    </row>
    <row r="508">
      <c r="A508" s="68"/>
      <c r="B508" s="69"/>
      <c r="C508" s="73"/>
      <c r="D508" s="71"/>
      <c r="E508" s="71"/>
      <c r="F508" s="71"/>
    </row>
    <row r="509">
      <c r="A509" s="68"/>
      <c r="B509" s="69"/>
      <c r="C509" s="73"/>
      <c r="D509" s="71"/>
      <c r="E509" s="71"/>
      <c r="F509" s="71"/>
    </row>
    <row r="510">
      <c r="A510" s="68"/>
      <c r="B510" s="69"/>
      <c r="C510" s="73"/>
      <c r="D510" s="71"/>
      <c r="E510" s="71"/>
      <c r="F510" s="71"/>
    </row>
    <row r="511">
      <c r="A511" s="68"/>
      <c r="B511" s="69"/>
      <c r="C511" s="73"/>
      <c r="D511" s="71"/>
      <c r="E511" s="71"/>
      <c r="F511" s="71"/>
    </row>
    <row r="512">
      <c r="A512" s="68"/>
      <c r="B512" s="69"/>
      <c r="C512" s="73"/>
      <c r="D512" s="71"/>
      <c r="E512" s="71"/>
      <c r="F512" s="71"/>
    </row>
    <row r="513">
      <c r="A513" s="68"/>
      <c r="B513" s="69"/>
      <c r="C513" s="73"/>
      <c r="D513" s="71"/>
      <c r="E513" s="71"/>
      <c r="F513" s="71"/>
    </row>
    <row r="514">
      <c r="A514" s="68"/>
      <c r="B514" s="69"/>
      <c r="C514" s="73"/>
      <c r="D514" s="71"/>
      <c r="E514" s="71"/>
      <c r="F514" s="71"/>
    </row>
    <row r="515">
      <c r="A515" s="68"/>
      <c r="B515" s="69"/>
      <c r="C515" s="73"/>
      <c r="D515" s="71"/>
      <c r="E515" s="71"/>
      <c r="F515" s="71"/>
    </row>
    <row r="516">
      <c r="A516" s="68"/>
      <c r="B516" s="69"/>
      <c r="C516" s="73"/>
      <c r="D516" s="71"/>
      <c r="E516" s="71"/>
      <c r="F516" s="71"/>
    </row>
    <row r="517">
      <c r="A517" s="68"/>
      <c r="B517" s="69"/>
      <c r="C517" s="73"/>
      <c r="D517" s="71"/>
      <c r="E517" s="71"/>
      <c r="F517" s="71"/>
    </row>
    <row r="518">
      <c r="A518" s="68"/>
      <c r="B518" s="69"/>
      <c r="C518" s="73"/>
      <c r="D518" s="71"/>
      <c r="E518" s="71"/>
      <c r="F518" s="71"/>
    </row>
    <row r="519">
      <c r="A519" s="68"/>
      <c r="B519" s="69"/>
      <c r="C519" s="73"/>
      <c r="D519" s="71"/>
      <c r="E519" s="71"/>
      <c r="F519" s="71"/>
    </row>
    <row r="520">
      <c r="A520" s="68"/>
      <c r="B520" s="69"/>
      <c r="C520" s="73"/>
      <c r="D520" s="71"/>
      <c r="E520" s="71"/>
      <c r="F520" s="71"/>
    </row>
    <row r="521">
      <c r="A521" s="68"/>
      <c r="B521" s="69"/>
      <c r="C521" s="73"/>
      <c r="D521" s="71"/>
      <c r="E521" s="71"/>
      <c r="F521" s="71"/>
    </row>
    <row r="522">
      <c r="A522" s="68"/>
      <c r="B522" s="69"/>
      <c r="C522" s="73"/>
      <c r="D522" s="71"/>
      <c r="E522" s="71"/>
      <c r="F522" s="71"/>
    </row>
    <row r="523">
      <c r="A523" s="68"/>
      <c r="B523" s="69"/>
      <c r="C523" s="73"/>
      <c r="D523" s="71"/>
      <c r="E523" s="71"/>
      <c r="F523" s="71"/>
    </row>
    <row r="524">
      <c r="A524" s="68"/>
      <c r="B524" s="69"/>
      <c r="C524" s="73"/>
      <c r="D524" s="71"/>
      <c r="E524" s="71"/>
      <c r="F524" s="71"/>
    </row>
    <row r="525">
      <c r="A525" s="68"/>
      <c r="B525" s="69"/>
      <c r="C525" s="73"/>
      <c r="D525" s="71"/>
      <c r="E525" s="71"/>
      <c r="F525" s="71"/>
    </row>
    <row r="526">
      <c r="A526" s="68"/>
      <c r="B526" s="69"/>
      <c r="C526" s="73"/>
      <c r="D526" s="71"/>
      <c r="E526" s="71"/>
      <c r="F526" s="71"/>
    </row>
    <row r="527">
      <c r="A527" s="68"/>
      <c r="B527" s="69"/>
      <c r="C527" s="73"/>
      <c r="D527" s="71"/>
      <c r="E527" s="71"/>
      <c r="F527" s="71"/>
    </row>
    <row r="528">
      <c r="A528" s="68"/>
      <c r="B528" s="69"/>
      <c r="C528" s="73"/>
      <c r="D528" s="71"/>
      <c r="E528" s="71"/>
      <c r="F528" s="71"/>
    </row>
    <row r="529">
      <c r="A529" s="68"/>
      <c r="B529" s="69"/>
      <c r="C529" s="73"/>
      <c r="D529" s="71"/>
      <c r="E529" s="71"/>
      <c r="F529" s="71"/>
    </row>
    <row r="530">
      <c r="A530" s="68"/>
      <c r="B530" s="69"/>
      <c r="C530" s="73"/>
      <c r="D530" s="71"/>
      <c r="E530" s="71"/>
      <c r="F530" s="71"/>
    </row>
    <row r="531">
      <c r="A531" s="68"/>
      <c r="B531" s="69"/>
      <c r="C531" s="73"/>
      <c r="D531" s="71"/>
      <c r="E531" s="71"/>
      <c r="F531" s="71"/>
    </row>
    <row r="532">
      <c r="A532" s="68"/>
      <c r="B532" s="69"/>
      <c r="C532" s="73"/>
      <c r="D532" s="71"/>
      <c r="E532" s="71"/>
      <c r="F532" s="71"/>
    </row>
    <row r="533">
      <c r="A533" s="68"/>
      <c r="B533" s="69"/>
      <c r="C533" s="73"/>
      <c r="D533" s="71"/>
      <c r="E533" s="71"/>
      <c r="F533" s="71"/>
    </row>
    <row r="534">
      <c r="A534" s="68"/>
      <c r="B534" s="69"/>
      <c r="C534" s="73"/>
      <c r="D534" s="71"/>
      <c r="E534" s="71"/>
      <c r="F534" s="71"/>
    </row>
    <row r="535">
      <c r="A535" s="68"/>
      <c r="B535" s="69"/>
      <c r="C535" s="73"/>
      <c r="D535" s="71"/>
      <c r="E535" s="71"/>
      <c r="F535" s="71"/>
    </row>
    <row r="536">
      <c r="A536" s="68"/>
      <c r="B536" s="69"/>
      <c r="C536" s="73"/>
      <c r="D536" s="71"/>
      <c r="E536" s="71"/>
      <c r="F536" s="71"/>
    </row>
    <row r="537">
      <c r="A537" s="68"/>
      <c r="B537" s="69"/>
      <c r="C537" s="73"/>
      <c r="D537" s="71"/>
      <c r="E537" s="71"/>
      <c r="F537" s="71"/>
    </row>
    <row r="538">
      <c r="A538" s="68"/>
      <c r="B538" s="69"/>
      <c r="C538" s="73"/>
      <c r="D538" s="71"/>
      <c r="E538" s="71"/>
      <c r="F538" s="71"/>
    </row>
    <row r="539">
      <c r="A539" s="68"/>
      <c r="B539" s="69"/>
      <c r="C539" s="73"/>
      <c r="D539" s="71"/>
      <c r="E539" s="71"/>
      <c r="F539" s="71"/>
    </row>
    <row r="540">
      <c r="A540" s="68"/>
      <c r="B540" s="69"/>
      <c r="C540" s="73"/>
      <c r="D540" s="71"/>
      <c r="E540" s="71"/>
      <c r="F540" s="71"/>
    </row>
    <row r="541">
      <c r="A541" s="68"/>
      <c r="B541" s="69"/>
      <c r="C541" s="73"/>
      <c r="D541" s="71"/>
      <c r="E541" s="71"/>
      <c r="F541" s="71"/>
    </row>
    <row r="542">
      <c r="A542" s="68"/>
      <c r="B542" s="69"/>
      <c r="C542" s="73"/>
      <c r="D542" s="71"/>
      <c r="E542" s="71"/>
      <c r="F542" s="71"/>
    </row>
    <row r="543">
      <c r="A543" s="68"/>
      <c r="B543" s="69"/>
      <c r="C543" s="73"/>
      <c r="D543" s="71"/>
      <c r="E543" s="71"/>
      <c r="F543" s="71"/>
    </row>
    <row r="544">
      <c r="A544" s="68"/>
      <c r="B544" s="69"/>
      <c r="C544" s="73"/>
      <c r="D544" s="71"/>
      <c r="E544" s="71"/>
      <c r="F544" s="71"/>
    </row>
    <row r="545">
      <c r="A545" s="68"/>
      <c r="B545" s="69"/>
      <c r="C545" s="73"/>
      <c r="D545" s="71"/>
      <c r="E545" s="71"/>
      <c r="F545" s="71"/>
    </row>
    <row r="546">
      <c r="A546" s="68"/>
      <c r="B546" s="69"/>
      <c r="C546" s="73"/>
      <c r="D546" s="71"/>
      <c r="E546" s="71"/>
      <c r="F546" s="71"/>
    </row>
    <row r="547">
      <c r="A547" s="68"/>
      <c r="B547" s="69"/>
      <c r="C547" s="73"/>
      <c r="D547" s="71"/>
      <c r="E547" s="71"/>
      <c r="F547" s="71"/>
    </row>
    <row r="548">
      <c r="A548" s="68"/>
      <c r="B548" s="69"/>
      <c r="C548" s="73"/>
      <c r="D548" s="71"/>
      <c r="E548" s="71"/>
      <c r="F548" s="71"/>
    </row>
    <row r="549">
      <c r="A549" s="68"/>
      <c r="B549" s="69"/>
      <c r="C549" s="73"/>
      <c r="D549" s="71"/>
      <c r="E549" s="71"/>
      <c r="F549" s="71"/>
    </row>
    <row r="550">
      <c r="A550" s="68"/>
      <c r="B550" s="69"/>
      <c r="C550" s="73"/>
      <c r="D550" s="71"/>
      <c r="E550" s="71"/>
      <c r="F550" s="71"/>
    </row>
    <row r="551">
      <c r="A551" s="68"/>
      <c r="B551" s="69"/>
      <c r="C551" s="73"/>
      <c r="D551" s="71"/>
      <c r="E551" s="71"/>
      <c r="F551" s="71"/>
    </row>
    <row r="552">
      <c r="A552" s="68"/>
      <c r="B552" s="69"/>
      <c r="C552" s="73"/>
      <c r="D552" s="71"/>
      <c r="E552" s="71"/>
      <c r="F552" s="71"/>
    </row>
    <row r="553">
      <c r="A553" s="68"/>
      <c r="B553" s="69"/>
      <c r="C553" s="73"/>
      <c r="D553" s="71"/>
      <c r="E553" s="71"/>
      <c r="F553" s="71"/>
    </row>
    <row r="554">
      <c r="A554" s="68"/>
      <c r="B554" s="69"/>
      <c r="C554" s="73"/>
      <c r="D554" s="71"/>
      <c r="E554" s="71"/>
      <c r="F554" s="71"/>
    </row>
    <row r="555">
      <c r="A555" s="68"/>
      <c r="B555" s="69"/>
      <c r="C555" s="73"/>
      <c r="D555" s="71"/>
      <c r="E555" s="71"/>
      <c r="F555" s="71"/>
    </row>
    <row r="556">
      <c r="A556" s="68"/>
      <c r="B556" s="69"/>
      <c r="C556" s="73"/>
      <c r="D556" s="71"/>
      <c r="E556" s="71"/>
      <c r="F556" s="71"/>
    </row>
    <row r="557">
      <c r="A557" s="68"/>
      <c r="B557" s="69"/>
      <c r="C557" s="73"/>
      <c r="D557" s="71"/>
      <c r="E557" s="71"/>
      <c r="F557" s="71"/>
    </row>
    <row r="558">
      <c r="A558" s="68"/>
      <c r="B558" s="69"/>
      <c r="C558" s="73"/>
      <c r="D558" s="71"/>
      <c r="E558" s="71"/>
      <c r="F558" s="71"/>
    </row>
    <row r="559">
      <c r="A559" s="68"/>
      <c r="B559" s="69"/>
      <c r="C559" s="73"/>
      <c r="D559" s="71"/>
      <c r="E559" s="71"/>
      <c r="F559" s="71"/>
    </row>
    <row r="560">
      <c r="A560" s="68"/>
      <c r="B560" s="69"/>
      <c r="C560" s="73"/>
      <c r="D560" s="71"/>
      <c r="E560" s="71"/>
      <c r="F560" s="71"/>
    </row>
    <row r="561">
      <c r="A561" s="68"/>
      <c r="B561" s="69"/>
      <c r="C561" s="73"/>
      <c r="D561" s="71"/>
      <c r="E561" s="71"/>
      <c r="F561" s="71"/>
    </row>
    <row r="562">
      <c r="A562" s="68"/>
      <c r="B562" s="69"/>
      <c r="C562" s="73"/>
      <c r="D562" s="71"/>
      <c r="E562" s="71"/>
      <c r="F562" s="71"/>
    </row>
    <row r="563">
      <c r="A563" s="68"/>
      <c r="B563" s="69"/>
      <c r="C563" s="73"/>
      <c r="D563" s="71"/>
      <c r="E563" s="71"/>
      <c r="F563" s="71"/>
    </row>
    <row r="564">
      <c r="A564" s="68"/>
      <c r="B564" s="69"/>
      <c r="C564" s="73"/>
      <c r="D564" s="71"/>
      <c r="E564" s="71"/>
      <c r="F564" s="71"/>
    </row>
    <row r="565">
      <c r="A565" s="68"/>
      <c r="B565" s="69"/>
      <c r="C565" s="73"/>
      <c r="D565" s="71"/>
      <c r="E565" s="71"/>
      <c r="F565" s="71"/>
    </row>
    <row r="566">
      <c r="A566" s="68"/>
      <c r="B566" s="69"/>
      <c r="C566" s="73"/>
      <c r="D566" s="71"/>
      <c r="E566" s="71"/>
      <c r="F566" s="71"/>
    </row>
    <row r="567">
      <c r="A567" s="68"/>
      <c r="B567" s="69"/>
      <c r="C567" s="73"/>
      <c r="D567" s="71"/>
      <c r="E567" s="71"/>
      <c r="F567" s="71"/>
    </row>
    <row r="568">
      <c r="A568" s="68"/>
      <c r="B568" s="69"/>
      <c r="C568" s="73"/>
      <c r="D568" s="71"/>
      <c r="E568" s="71"/>
      <c r="F568" s="71"/>
    </row>
    <row r="569">
      <c r="A569" s="68"/>
      <c r="B569" s="69"/>
      <c r="C569" s="73"/>
      <c r="D569" s="71"/>
      <c r="E569" s="71"/>
      <c r="F569" s="71"/>
    </row>
    <row r="570">
      <c r="A570" s="68"/>
      <c r="B570" s="69"/>
      <c r="C570" s="73"/>
      <c r="D570" s="71"/>
      <c r="E570" s="71"/>
      <c r="F570" s="71"/>
    </row>
    <row r="571">
      <c r="A571" s="68"/>
      <c r="B571" s="69"/>
      <c r="C571" s="73"/>
      <c r="D571" s="71"/>
      <c r="E571" s="71"/>
      <c r="F571" s="71"/>
    </row>
    <row r="572">
      <c r="A572" s="68"/>
      <c r="B572" s="69"/>
      <c r="C572" s="73"/>
      <c r="D572" s="71"/>
      <c r="E572" s="71"/>
      <c r="F572" s="71"/>
    </row>
    <row r="573">
      <c r="A573" s="68"/>
      <c r="B573" s="69"/>
      <c r="C573" s="73"/>
      <c r="D573" s="71"/>
      <c r="E573" s="71"/>
      <c r="F573" s="71"/>
    </row>
    <row r="574">
      <c r="A574" s="68"/>
      <c r="B574" s="69"/>
      <c r="C574" s="73"/>
      <c r="D574" s="71"/>
      <c r="E574" s="71"/>
      <c r="F574" s="71"/>
    </row>
    <row r="575">
      <c r="A575" s="68"/>
      <c r="B575" s="69"/>
      <c r="C575" s="73"/>
      <c r="D575" s="71"/>
      <c r="E575" s="71"/>
      <c r="F575" s="71"/>
    </row>
    <row r="576">
      <c r="A576" s="68"/>
      <c r="B576" s="69"/>
      <c r="C576" s="73"/>
      <c r="D576" s="71"/>
      <c r="E576" s="71"/>
      <c r="F576" s="71"/>
    </row>
    <row r="577">
      <c r="A577" s="68"/>
      <c r="B577" s="69"/>
      <c r="C577" s="73"/>
      <c r="D577" s="71"/>
      <c r="E577" s="71"/>
      <c r="F577" s="71"/>
    </row>
    <row r="578">
      <c r="A578" s="68"/>
      <c r="B578" s="69"/>
      <c r="C578" s="73"/>
      <c r="D578" s="71"/>
      <c r="E578" s="71"/>
      <c r="F578" s="71"/>
    </row>
    <row r="579">
      <c r="A579" s="68"/>
      <c r="B579" s="69"/>
      <c r="C579" s="73"/>
      <c r="D579" s="71"/>
      <c r="E579" s="71"/>
      <c r="F579" s="71"/>
    </row>
    <row r="580">
      <c r="A580" s="68"/>
      <c r="B580" s="69"/>
      <c r="C580" s="73"/>
      <c r="D580" s="71"/>
      <c r="E580" s="71"/>
      <c r="F580" s="71"/>
    </row>
    <row r="581">
      <c r="A581" s="68"/>
      <c r="B581" s="69"/>
      <c r="C581" s="73"/>
      <c r="D581" s="71"/>
      <c r="E581" s="71"/>
      <c r="F581" s="71"/>
    </row>
    <row r="582">
      <c r="A582" s="68"/>
      <c r="B582" s="69"/>
      <c r="C582" s="73"/>
      <c r="D582" s="71"/>
      <c r="E582" s="71"/>
      <c r="F582" s="71"/>
    </row>
    <row r="583">
      <c r="A583" s="68"/>
      <c r="B583" s="69"/>
      <c r="C583" s="73"/>
      <c r="D583" s="71"/>
      <c r="E583" s="71"/>
      <c r="F583" s="71"/>
    </row>
    <row r="584">
      <c r="A584" s="68"/>
      <c r="B584" s="69"/>
      <c r="C584" s="73"/>
      <c r="D584" s="71"/>
      <c r="E584" s="71"/>
      <c r="F584" s="71"/>
    </row>
    <row r="585">
      <c r="A585" s="68"/>
      <c r="B585" s="69"/>
      <c r="C585" s="73"/>
      <c r="D585" s="71"/>
      <c r="E585" s="71"/>
      <c r="F585" s="71"/>
    </row>
    <row r="586">
      <c r="A586" s="68"/>
      <c r="B586" s="69"/>
      <c r="C586" s="73"/>
      <c r="D586" s="71"/>
      <c r="E586" s="71"/>
      <c r="F586" s="71"/>
    </row>
    <row r="587">
      <c r="A587" s="68"/>
      <c r="B587" s="69"/>
      <c r="C587" s="73"/>
      <c r="D587" s="71"/>
      <c r="E587" s="71"/>
      <c r="F587" s="71"/>
    </row>
    <row r="588">
      <c r="A588" s="68"/>
      <c r="B588" s="69"/>
      <c r="C588" s="73"/>
      <c r="D588" s="71"/>
      <c r="E588" s="71"/>
      <c r="F588" s="71"/>
    </row>
    <row r="589">
      <c r="A589" s="68"/>
      <c r="B589" s="69"/>
      <c r="C589" s="73"/>
      <c r="D589" s="71"/>
      <c r="E589" s="71"/>
      <c r="F589" s="71"/>
    </row>
    <row r="590">
      <c r="A590" s="68"/>
      <c r="B590" s="69"/>
      <c r="C590" s="73"/>
      <c r="D590" s="71"/>
      <c r="E590" s="71"/>
      <c r="F590" s="71"/>
    </row>
    <row r="591">
      <c r="A591" s="68"/>
      <c r="B591" s="69"/>
      <c r="C591" s="73"/>
      <c r="D591" s="71"/>
      <c r="E591" s="71"/>
      <c r="F591" s="71"/>
    </row>
    <row r="592">
      <c r="A592" s="68"/>
      <c r="B592" s="69"/>
      <c r="C592" s="73"/>
      <c r="D592" s="71"/>
      <c r="E592" s="71"/>
      <c r="F592" s="71"/>
    </row>
    <row r="593">
      <c r="A593" s="68"/>
      <c r="B593" s="69"/>
      <c r="C593" s="73"/>
      <c r="D593" s="71"/>
      <c r="E593" s="71"/>
      <c r="F593" s="71"/>
    </row>
    <row r="594">
      <c r="A594" s="68"/>
      <c r="B594" s="69"/>
      <c r="C594" s="73"/>
      <c r="D594" s="71"/>
      <c r="E594" s="71"/>
      <c r="F594" s="71"/>
    </row>
    <row r="595">
      <c r="A595" s="68"/>
      <c r="B595" s="69"/>
      <c r="C595" s="73"/>
      <c r="D595" s="71"/>
      <c r="E595" s="71"/>
      <c r="F595" s="71"/>
    </row>
    <row r="596">
      <c r="A596" s="68"/>
      <c r="B596" s="69"/>
      <c r="C596" s="73"/>
      <c r="D596" s="71"/>
      <c r="E596" s="71"/>
      <c r="F596" s="71"/>
    </row>
    <row r="597">
      <c r="A597" s="68"/>
      <c r="B597" s="69"/>
      <c r="C597" s="73"/>
      <c r="D597" s="71"/>
      <c r="E597" s="71"/>
      <c r="F597" s="71"/>
    </row>
    <row r="598">
      <c r="A598" s="68"/>
      <c r="B598" s="69"/>
      <c r="C598" s="73"/>
      <c r="D598" s="71"/>
      <c r="E598" s="71"/>
      <c r="F598" s="71"/>
    </row>
    <row r="599">
      <c r="A599" s="68"/>
      <c r="B599" s="69"/>
      <c r="C599" s="73"/>
      <c r="D599" s="71"/>
      <c r="E599" s="71"/>
      <c r="F599" s="71"/>
    </row>
    <row r="600">
      <c r="A600" s="68"/>
      <c r="B600" s="69"/>
      <c r="C600" s="73"/>
      <c r="D600" s="71"/>
      <c r="E600" s="71"/>
      <c r="F600" s="71"/>
    </row>
    <row r="601">
      <c r="A601" s="68"/>
      <c r="B601" s="69"/>
      <c r="C601" s="73"/>
      <c r="D601" s="71"/>
      <c r="E601" s="71"/>
      <c r="F601" s="71"/>
    </row>
    <row r="602">
      <c r="A602" s="68"/>
      <c r="B602" s="69"/>
      <c r="C602" s="73"/>
      <c r="D602" s="71"/>
      <c r="E602" s="71"/>
      <c r="F602" s="71"/>
    </row>
    <row r="603">
      <c r="A603" s="68"/>
      <c r="B603" s="69"/>
      <c r="C603" s="73"/>
      <c r="D603" s="71"/>
      <c r="E603" s="71"/>
      <c r="F603" s="71"/>
    </row>
    <row r="604">
      <c r="A604" s="68"/>
      <c r="B604" s="69"/>
      <c r="C604" s="73"/>
      <c r="D604" s="71"/>
      <c r="E604" s="71"/>
      <c r="F604" s="71"/>
    </row>
    <row r="605">
      <c r="A605" s="68"/>
      <c r="B605" s="69"/>
      <c r="C605" s="73"/>
      <c r="D605" s="71"/>
      <c r="E605" s="71"/>
      <c r="F605" s="71"/>
    </row>
    <row r="606">
      <c r="A606" s="68"/>
      <c r="B606" s="69"/>
      <c r="C606" s="73"/>
      <c r="D606" s="71"/>
      <c r="E606" s="71"/>
      <c r="F606" s="71"/>
    </row>
    <row r="607">
      <c r="A607" s="68"/>
      <c r="B607" s="69"/>
      <c r="C607" s="73"/>
      <c r="D607" s="71"/>
      <c r="E607" s="71"/>
      <c r="F607" s="71"/>
    </row>
    <row r="608">
      <c r="A608" s="68"/>
      <c r="B608" s="69"/>
      <c r="C608" s="73"/>
      <c r="D608" s="71"/>
      <c r="E608" s="71"/>
      <c r="F608" s="71"/>
    </row>
    <row r="609">
      <c r="A609" s="68"/>
      <c r="B609" s="69"/>
      <c r="C609" s="73"/>
      <c r="D609" s="71"/>
      <c r="E609" s="71"/>
      <c r="F609" s="71"/>
    </row>
    <row r="610">
      <c r="A610" s="68"/>
      <c r="B610" s="69"/>
      <c r="C610" s="73"/>
      <c r="D610" s="71"/>
      <c r="E610" s="71"/>
      <c r="F610" s="71"/>
    </row>
    <row r="611">
      <c r="A611" s="68"/>
      <c r="B611" s="69"/>
      <c r="C611" s="73"/>
      <c r="D611" s="71"/>
      <c r="E611" s="71"/>
      <c r="F611" s="71"/>
    </row>
    <row r="612">
      <c r="A612" s="68"/>
      <c r="B612" s="69"/>
      <c r="C612" s="73"/>
      <c r="D612" s="71"/>
      <c r="E612" s="71"/>
      <c r="F612" s="71"/>
    </row>
    <row r="613">
      <c r="A613" s="68"/>
      <c r="B613" s="69"/>
      <c r="C613" s="73"/>
      <c r="D613" s="71"/>
      <c r="E613" s="71"/>
      <c r="F613" s="71"/>
    </row>
    <row r="614">
      <c r="A614" s="68"/>
      <c r="B614" s="69"/>
      <c r="C614" s="73"/>
      <c r="D614" s="71"/>
      <c r="E614" s="71"/>
      <c r="F614" s="71"/>
    </row>
    <row r="615">
      <c r="A615" s="68"/>
      <c r="B615" s="69"/>
      <c r="C615" s="73"/>
      <c r="D615" s="71"/>
      <c r="E615" s="71"/>
      <c r="F615" s="71"/>
    </row>
    <row r="616">
      <c r="A616" s="68"/>
      <c r="B616" s="69"/>
      <c r="C616" s="73"/>
      <c r="D616" s="71"/>
      <c r="E616" s="71"/>
      <c r="F616" s="71"/>
    </row>
    <row r="617">
      <c r="A617" s="68"/>
      <c r="B617" s="69"/>
      <c r="C617" s="73"/>
      <c r="D617" s="71"/>
      <c r="E617" s="71"/>
      <c r="F617" s="71"/>
    </row>
    <row r="618">
      <c r="A618" s="68"/>
      <c r="B618" s="69"/>
      <c r="C618" s="73"/>
      <c r="D618" s="71"/>
      <c r="E618" s="71"/>
      <c r="F618" s="71"/>
    </row>
    <row r="619">
      <c r="A619" s="68"/>
      <c r="B619" s="69"/>
      <c r="C619" s="73"/>
      <c r="D619" s="71"/>
      <c r="E619" s="71"/>
      <c r="F619" s="71"/>
    </row>
    <row r="620">
      <c r="A620" s="68"/>
      <c r="B620" s="69"/>
      <c r="C620" s="73"/>
      <c r="D620" s="71"/>
      <c r="E620" s="71"/>
      <c r="F620" s="71"/>
    </row>
    <row r="621">
      <c r="A621" s="68"/>
      <c r="B621" s="69"/>
      <c r="C621" s="73"/>
      <c r="D621" s="71"/>
      <c r="E621" s="71"/>
      <c r="F621" s="71"/>
    </row>
    <row r="622">
      <c r="A622" s="68"/>
      <c r="B622" s="69"/>
      <c r="C622" s="73"/>
      <c r="D622" s="71"/>
      <c r="E622" s="71"/>
      <c r="F622" s="71"/>
    </row>
    <row r="623">
      <c r="A623" s="68"/>
      <c r="B623" s="69"/>
      <c r="C623" s="73"/>
      <c r="D623" s="71"/>
      <c r="E623" s="71"/>
      <c r="F623" s="71"/>
    </row>
    <row r="624">
      <c r="A624" s="68"/>
      <c r="B624" s="69"/>
      <c r="C624" s="73"/>
      <c r="D624" s="71"/>
      <c r="E624" s="71"/>
      <c r="F624" s="71"/>
    </row>
    <row r="625">
      <c r="A625" s="68"/>
      <c r="B625" s="69"/>
      <c r="C625" s="73"/>
      <c r="D625" s="71"/>
      <c r="E625" s="71"/>
      <c r="F625" s="71"/>
    </row>
    <row r="626">
      <c r="A626" s="68"/>
      <c r="B626" s="69"/>
      <c r="C626" s="73"/>
      <c r="D626" s="71"/>
      <c r="E626" s="71"/>
      <c r="F626" s="71"/>
    </row>
    <row r="627">
      <c r="A627" s="68"/>
      <c r="B627" s="69"/>
      <c r="C627" s="73"/>
      <c r="D627" s="71"/>
      <c r="E627" s="71"/>
      <c r="F627" s="71"/>
    </row>
    <row r="628">
      <c r="A628" s="68"/>
      <c r="B628" s="69"/>
      <c r="C628" s="73"/>
      <c r="D628" s="71"/>
      <c r="E628" s="71"/>
      <c r="F628" s="71"/>
    </row>
    <row r="629">
      <c r="A629" s="68"/>
      <c r="B629" s="69"/>
      <c r="C629" s="73"/>
      <c r="D629" s="71"/>
      <c r="E629" s="71"/>
      <c r="F629" s="71"/>
    </row>
    <row r="630">
      <c r="A630" s="68"/>
      <c r="B630" s="69"/>
      <c r="C630" s="73"/>
      <c r="D630" s="71"/>
      <c r="E630" s="71"/>
      <c r="F630" s="71"/>
    </row>
    <row r="631">
      <c r="A631" s="68"/>
      <c r="B631" s="69"/>
      <c r="C631" s="73"/>
      <c r="D631" s="71"/>
      <c r="E631" s="71"/>
      <c r="F631" s="71"/>
    </row>
    <row r="632">
      <c r="A632" s="68"/>
      <c r="B632" s="69"/>
      <c r="C632" s="73"/>
      <c r="D632" s="71"/>
      <c r="E632" s="71"/>
      <c r="F632" s="71"/>
    </row>
    <row r="633">
      <c r="A633" s="68"/>
      <c r="B633" s="69"/>
      <c r="C633" s="73"/>
      <c r="D633" s="71"/>
      <c r="E633" s="71"/>
      <c r="F633" s="71"/>
    </row>
    <row r="634">
      <c r="A634" s="68"/>
      <c r="B634" s="69"/>
      <c r="C634" s="73"/>
      <c r="D634" s="71"/>
      <c r="E634" s="71"/>
      <c r="F634" s="71"/>
    </row>
    <row r="635">
      <c r="A635" s="68"/>
      <c r="B635" s="69"/>
      <c r="C635" s="73"/>
      <c r="D635" s="71"/>
      <c r="E635" s="71"/>
      <c r="F635" s="71"/>
    </row>
    <row r="636">
      <c r="A636" s="68"/>
      <c r="B636" s="69"/>
      <c r="C636" s="73"/>
      <c r="D636" s="71"/>
      <c r="E636" s="71"/>
      <c r="F636" s="71"/>
    </row>
    <row r="637">
      <c r="A637" s="68"/>
      <c r="B637" s="69"/>
      <c r="C637" s="73"/>
      <c r="D637" s="71"/>
      <c r="E637" s="71"/>
      <c r="F637" s="71"/>
    </row>
    <row r="638">
      <c r="A638" s="68"/>
      <c r="B638" s="69"/>
      <c r="C638" s="73"/>
      <c r="D638" s="71"/>
      <c r="E638" s="71"/>
      <c r="F638" s="71"/>
    </row>
    <row r="639">
      <c r="A639" s="68"/>
      <c r="B639" s="69"/>
      <c r="C639" s="73"/>
      <c r="D639" s="71"/>
      <c r="E639" s="71"/>
      <c r="F639" s="71"/>
    </row>
    <row r="640">
      <c r="A640" s="68"/>
      <c r="B640" s="69"/>
      <c r="C640" s="73"/>
      <c r="D640" s="71"/>
      <c r="E640" s="71"/>
      <c r="F640" s="71"/>
    </row>
    <row r="641">
      <c r="A641" s="68"/>
      <c r="B641" s="69"/>
      <c r="C641" s="73"/>
      <c r="D641" s="71"/>
      <c r="E641" s="71"/>
      <c r="F641" s="71"/>
    </row>
    <row r="642">
      <c r="A642" s="68"/>
      <c r="B642" s="69"/>
      <c r="C642" s="73"/>
      <c r="D642" s="71"/>
      <c r="E642" s="71"/>
      <c r="F642" s="71"/>
    </row>
    <row r="643">
      <c r="A643" s="68"/>
      <c r="B643" s="69"/>
      <c r="C643" s="73"/>
      <c r="D643" s="71"/>
      <c r="E643" s="71"/>
      <c r="F643" s="71"/>
    </row>
    <row r="644">
      <c r="A644" s="68"/>
      <c r="B644" s="69"/>
      <c r="C644" s="73"/>
      <c r="D644" s="71"/>
      <c r="E644" s="71"/>
      <c r="F644" s="71"/>
    </row>
    <row r="645">
      <c r="A645" s="68"/>
      <c r="B645" s="69"/>
      <c r="C645" s="73"/>
      <c r="D645" s="71"/>
      <c r="E645" s="71"/>
      <c r="F645" s="71"/>
    </row>
    <row r="646">
      <c r="A646" s="68"/>
      <c r="B646" s="69"/>
      <c r="C646" s="73"/>
      <c r="D646" s="71"/>
      <c r="E646" s="71"/>
      <c r="F646" s="71"/>
    </row>
    <row r="647">
      <c r="A647" s="68"/>
      <c r="B647" s="69"/>
      <c r="C647" s="73"/>
      <c r="D647" s="71"/>
      <c r="E647" s="71"/>
      <c r="F647" s="71"/>
    </row>
    <row r="648">
      <c r="A648" s="68"/>
      <c r="B648" s="69"/>
      <c r="C648" s="73"/>
      <c r="D648" s="71"/>
      <c r="E648" s="71"/>
      <c r="F648" s="71"/>
    </row>
    <row r="649">
      <c r="A649" s="68"/>
      <c r="B649" s="69"/>
      <c r="C649" s="73"/>
      <c r="D649" s="71"/>
      <c r="E649" s="71"/>
      <c r="F649" s="71"/>
    </row>
    <row r="650">
      <c r="A650" s="68"/>
      <c r="B650" s="69"/>
      <c r="C650" s="73"/>
      <c r="D650" s="71"/>
      <c r="E650" s="71"/>
      <c r="F650" s="71"/>
    </row>
    <row r="651">
      <c r="A651" s="68"/>
      <c r="B651" s="69"/>
      <c r="C651" s="73"/>
      <c r="D651" s="71"/>
      <c r="E651" s="71"/>
      <c r="F651" s="71"/>
    </row>
    <row r="652">
      <c r="A652" s="68"/>
      <c r="B652" s="69"/>
      <c r="C652" s="73"/>
      <c r="D652" s="71"/>
      <c r="E652" s="71"/>
      <c r="F652" s="71"/>
    </row>
    <row r="653">
      <c r="A653" s="68"/>
      <c r="B653" s="69"/>
      <c r="C653" s="73"/>
      <c r="D653" s="71"/>
      <c r="E653" s="71"/>
      <c r="F653" s="71"/>
    </row>
    <row r="654">
      <c r="A654" s="68"/>
      <c r="B654" s="69"/>
      <c r="C654" s="73"/>
      <c r="D654" s="71"/>
      <c r="E654" s="71"/>
      <c r="F654" s="71"/>
    </row>
    <row r="655">
      <c r="A655" s="68"/>
      <c r="B655" s="69"/>
      <c r="C655" s="73"/>
      <c r="D655" s="71"/>
      <c r="E655" s="71"/>
      <c r="F655" s="71"/>
    </row>
    <row r="656">
      <c r="A656" s="68"/>
      <c r="B656" s="69"/>
      <c r="C656" s="73"/>
      <c r="D656" s="71"/>
      <c r="E656" s="71"/>
      <c r="F656" s="71"/>
    </row>
    <row r="657">
      <c r="A657" s="68"/>
      <c r="B657" s="69"/>
      <c r="C657" s="73"/>
      <c r="D657" s="71"/>
      <c r="E657" s="71"/>
      <c r="F657" s="71"/>
    </row>
    <row r="658">
      <c r="A658" s="68"/>
      <c r="B658" s="69"/>
      <c r="C658" s="73"/>
      <c r="D658" s="71"/>
      <c r="E658" s="71"/>
      <c r="F658" s="71"/>
    </row>
    <row r="659">
      <c r="A659" s="68"/>
      <c r="B659" s="69"/>
      <c r="C659" s="73"/>
      <c r="D659" s="71"/>
      <c r="E659" s="71"/>
      <c r="F659" s="71"/>
    </row>
    <row r="660">
      <c r="A660" s="68"/>
      <c r="B660" s="69"/>
      <c r="C660" s="73"/>
      <c r="D660" s="71"/>
      <c r="E660" s="71"/>
      <c r="F660" s="71"/>
    </row>
    <row r="661">
      <c r="A661" s="68"/>
      <c r="B661" s="69"/>
      <c r="C661" s="73"/>
      <c r="D661" s="71"/>
      <c r="E661" s="71"/>
      <c r="F661" s="71"/>
    </row>
    <row r="662">
      <c r="A662" s="68"/>
      <c r="B662" s="69"/>
      <c r="C662" s="73"/>
      <c r="D662" s="71"/>
      <c r="E662" s="71"/>
      <c r="F662" s="71"/>
    </row>
    <row r="663">
      <c r="A663" s="68"/>
      <c r="B663" s="69"/>
      <c r="C663" s="73"/>
      <c r="D663" s="71"/>
      <c r="E663" s="71"/>
      <c r="F663" s="71"/>
    </row>
    <row r="664">
      <c r="A664" s="68"/>
      <c r="B664" s="69"/>
      <c r="C664" s="73"/>
      <c r="D664" s="71"/>
      <c r="E664" s="71"/>
      <c r="F664" s="71"/>
    </row>
    <row r="665">
      <c r="A665" s="68"/>
      <c r="B665" s="69"/>
      <c r="C665" s="73"/>
      <c r="D665" s="71"/>
      <c r="E665" s="71"/>
      <c r="F665" s="71"/>
    </row>
    <row r="666">
      <c r="A666" s="68"/>
      <c r="B666" s="69"/>
      <c r="C666" s="73"/>
      <c r="D666" s="71"/>
      <c r="E666" s="71"/>
      <c r="F666" s="71"/>
    </row>
    <row r="667">
      <c r="A667" s="68"/>
      <c r="B667" s="69"/>
      <c r="C667" s="73"/>
      <c r="D667" s="71"/>
      <c r="E667" s="71"/>
      <c r="F667" s="71"/>
    </row>
    <row r="668">
      <c r="A668" s="68"/>
      <c r="B668" s="69"/>
      <c r="C668" s="73"/>
      <c r="D668" s="71"/>
      <c r="E668" s="71"/>
      <c r="F668" s="71"/>
    </row>
    <row r="669">
      <c r="A669" s="68"/>
      <c r="B669" s="69"/>
      <c r="C669" s="73"/>
      <c r="D669" s="71"/>
      <c r="E669" s="71"/>
      <c r="F669" s="71"/>
    </row>
    <row r="670">
      <c r="A670" s="68"/>
      <c r="B670" s="69"/>
      <c r="C670" s="73"/>
      <c r="D670" s="71"/>
      <c r="E670" s="71"/>
      <c r="F670" s="71"/>
    </row>
    <row r="671">
      <c r="A671" s="68"/>
      <c r="B671" s="69"/>
      <c r="C671" s="73"/>
      <c r="D671" s="71"/>
      <c r="E671" s="71"/>
      <c r="F671" s="71"/>
    </row>
    <row r="672">
      <c r="A672" s="68"/>
      <c r="B672" s="69"/>
      <c r="C672" s="73"/>
      <c r="D672" s="71"/>
      <c r="E672" s="71"/>
      <c r="F672" s="71"/>
    </row>
    <row r="673">
      <c r="A673" s="68"/>
      <c r="B673" s="69"/>
      <c r="C673" s="73"/>
      <c r="D673" s="71"/>
      <c r="E673" s="71"/>
      <c r="F673" s="71"/>
    </row>
    <row r="674">
      <c r="A674" s="68"/>
      <c r="B674" s="69"/>
      <c r="C674" s="73"/>
      <c r="D674" s="71"/>
      <c r="E674" s="71"/>
      <c r="F674" s="71"/>
    </row>
    <row r="675">
      <c r="A675" s="68"/>
      <c r="B675" s="69"/>
      <c r="C675" s="73"/>
      <c r="D675" s="71"/>
      <c r="E675" s="71"/>
      <c r="F675" s="71"/>
    </row>
    <row r="676">
      <c r="A676" s="68"/>
      <c r="B676" s="69"/>
      <c r="C676" s="73"/>
      <c r="D676" s="71"/>
      <c r="E676" s="71"/>
      <c r="F676" s="71"/>
    </row>
    <row r="677">
      <c r="A677" s="68"/>
      <c r="B677" s="69"/>
      <c r="C677" s="73"/>
      <c r="D677" s="71"/>
      <c r="E677" s="71"/>
      <c r="F677" s="71"/>
    </row>
    <row r="678">
      <c r="A678" s="68"/>
      <c r="B678" s="69"/>
      <c r="C678" s="73"/>
      <c r="D678" s="71"/>
      <c r="E678" s="71"/>
      <c r="F678" s="71"/>
    </row>
    <row r="679">
      <c r="A679" s="68"/>
      <c r="B679" s="69"/>
      <c r="C679" s="73"/>
      <c r="D679" s="71"/>
      <c r="E679" s="71"/>
      <c r="F679" s="71"/>
    </row>
    <row r="680">
      <c r="A680" s="68"/>
      <c r="B680" s="69"/>
      <c r="C680" s="73"/>
      <c r="D680" s="71"/>
      <c r="E680" s="71"/>
      <c r="F680" s="71"/>
    </row>
    <row r="681">
      <c r="A681" s="68"/>
      <c r="B681" s="69"/>
      <c r="C681" s="73"/>
      <c r="D681" s="71"/>
      <c r="E681" s="71"/>
      <c r="F681" s="71"/>
    </row>
    <row r="682">
      <c r="A682" s="68"/>
      <c r="B682" s="69"/>
      <c r="C682" s="73"/>
      <c r="D682" s="71"/>
      <c r="E682" s="71"/>
      <c r="F682" s="71"/>
    </row>
    <row r="683">
      <c r="A683" s="68"/>
      <c r="B683" s="69"/>
      <c r="C683" s="73"/>
      <c r="D683" s="71"/>
      <c r="E683" s="71"/>
      <c r="F683" s="71"/>
    </row>
    <row r="684">
      <c r="A684" s="68"/>
      <c r="B684" s="69"/>
      <c r="C684" s="73"/>
      <c r="D684" s="71"/>
      <c r="E684" s="71"/>
      <c r="F684" s="71"/>
    </row>
    <row r="685">
      <c r="A685" s="68"/>
      <c r="B685" s="69"/>
      <c r="C685" s="73"/>
      <c r="D685" s="71"/>
      <c r="E685" s="71"/>
      <c r="F685" s="71"/>
    </row>
    <row r="686">
      <c r="A686" s="68"/>
      <c r="B686" s="69"/>
      <c r="C686" s="73"/>
      <c r="D686" s="71"/>
      <c r="E686" s="71"/>
      <c r="F686" s="71"/>
    </row>
    <row r="687">
      <c r="A687" s="68"/>
      <c r="B687" s="69"/>
      <c r="C687" s="73"/>
      <c r="D687" s="71"/>
      <c r="E687" s="71"/>
      <c r="F687" s="71"/>
    </row>
    <row r="688">
      <c r="A688" s="68"/>
      <c r="B688" s="69"/>
      <c r="C688" s="73"/>
      <c r="D688" s="71"/>
      <c r="E688" s="71"/>
      <c r="F688" s="71"/>
    </row>
    <row r="689">
      <c r="A689" s="68"/>
      <c r="B689" s="69"/>
      <c r="C689" s="73"/>
      <c r="D689" s="71"/>
      <c r="E689" s="71"/>
      <c r="F689" s="71"/>
    </row>
    <row r="690">
      <c r="A690" s="68"/>
      <c r="B690" s="69"/>
      <c r="C690" s="73"/>
      <c r="D690" s="71"/>
      <c r="E690" s="71"/>
      <c r="F690" s="71"/>
    </row>
    <row r="691">
      <c r="A691" s="68"/>
      <c r="B691" s="69"/>
      <c r="C691" s="73"/>
      <c r="D691" s="71"/>
      <c r="E691" s="71"/>
      <c r="F691" s="71"/>
    </row>
    <row r="692">
      <c r="A692" s="68"/>
      <c r="B692" s="69"/>
      <c r="C692" s="73"/>
      <c r="D692" s="71"/>
      <c r="E692" s="71"/>
      <c r="F692" s="71"/>
    </row>
    <row r="693">
      <c r="A693" s="68"/>
      <c r="B693" s="69"/>
      <c r="C693" s="73"/>
      <c r="D693" s="71"/>
      <c r="E693" s="71"/>
      <c r="F693" s="71"/>
    </row>
    <row r="694">
      <c r="A694" s="68"/>
      <c r="B694" s="69"/>
      <c r="C694" s="73"/>
      <c r="D694" s="71"/>
      <c r="E694" s="71"/>
      <c r="F694" s="71"/>
    </row>
    <row r="695">
      <c r="A695" s="68"/>
      <c r="B695" s="69"/>
      <c r="C695" s="73"/>
      <c r="D695" s="71"/>
      <c r="E695" s="71"/>
      <c r="F695" s="71"/>
    </row>
    <row r="696">
      <c r="A696" s="68"/>
      <c r="B696" s="69"/>
      <c r="C696" s="73"/>
      <c r="D696" s="71"/>
      <c r="E696" s="71"/>
      <c r="F696" s="71"/>
    </row>
    <row r="697">
      <c r="A697" s="68"/>
      <c r="B697" s="69"/>
      <c r="C697" s="73"/>
      <c r="D697" s="71"/>
      <c r="E697" s="71"/>
      <c r="F697" s="71"/>
    </row>
    <row r="698">
      <c r="A698" s="68"/>
      <c r="B698" s="69"/>
      <c r="C698" s="73"/>
      <c r="D698" s="71"/>
      <c r="E698" s="71"/>
      <c r="F698" s="71"/>
    </row>
    <row r="699">
      <c r="A699" s="68"/>
      <c r="B699" s="69"/>
      <c r="C699" s="73"/>
      <c r="D699" s="71"/>
      <c r="E699" s="71"/>
      <c r="F699" s="71"/>
    </row>
    <row r="700">
      <c r="A700" s="68"/>
      <c r="B700" s="69"/>
      <c r="C700" s="73"/>
      <c r="D700" s="71"/>
      <c r="E700" s="71"/>
      <c r="F700" s="71"/>
    </row>
    <row r="701">
      <c r="A701" s="68"/>
      <c r="B701" s="69"/>
      <c r="C701" s="73"/>
      <c r="D701" s="71"/>
      <c r="E701" s="71"/>
      <c r="F701" s="71"/>
    </row>
    <row r="702">
      <c r="A702" s="68"/>
      <c r="B702" s="69"/>
      <c r="C702" s="73"/>
      <c r="D702" s="71"/>
      <c r="E702" s="71"/>
      <c r="F702" s="71"/>
    </row>
    <row r="703">
      <c r="A703" s="68"/>
      <c r="B703" s="69"/>
      <c r="C703" s="73"/>
      <c r="D703" s="71"/>
      <c r="E703" s="71"/>
      <c r="F703" s="71"/>
    </row>
    <row r="704">
      <c r="A704" s="68"/>
      <c r="B704" s="69"/>
      <c r="C704" s="73"/>
      <c r="D704" s="71"/>
      <c r="E704" s="71"/>
      <c r="F704" s="71"/>
    </row>
    <row r="705">
      <c r="A705" s="68"/>
      <c r="B705" s="69"/>
      <c r="C705" s="73"/>
      <c r="D705" s="71"/>
      <c r="E705" s="71"/>
      <c r="F705" s="71"/>
    </row>
    <row r="706">
      <c r="A706" s="68"/>
      <c r="B706" s="69"/>
      <c r="C706" s="73"/>
      <c r="D706" s="71"/>
      <c r="E706" s="71"/>
      <c r="F706" s="71"/>
    </row>
    <row r="707">
      <c r="A707" s="68"/>
      <c r="B707" s="69"/>
      <c r="C707" s="73"/>
      <c r="D707" s="71"/>
      <c r="E707" s="71"/>
      <c r="F707" s="71"/>
    </row>
    <row r="708">
      <c r="A708" s="68"/>
      <c r="B708" s="69"/>
      <c r="C708" s="73"/>
      <c r="D708" s="71"/>
      <c r="E708" s="71"/>
      <c r="F708" s="71"/>
    </row>
    <row r="709">
      <c r="A709" s="68"/>
      <c r="B709" s="69"/>
      <c r="C709" s="73"/>
      <c r="D709" s="71"/>
      <c r="E709" s="71"/>
      <c r="F709" s="71"/>
    </row>
    <row r="710">
      <c r="A710" s="68"/>
      <c r="B710" s="69"/>
      <c r="C710" s="73"/>
      <c r="D710" s="71"/>
      <c r="E710" s="71"/>
      <c r="F710" s="71"/>
    </row>
    <row r="711">
      <c r="A711" s="68"/>
      <c r="B711" s="69"/>
      <c r="C711" s="73"/>
      <c r="D711" s="71"/>
      <c r="E711" s="71"/>
      <c r="F711" s="71"/>
    </row>
    <row r="712">
      <c r="A712" s="68"/>
      <c r="B712" s="69"/>
      <c r="C712" s="73"/>
      <c r="D712" s="71"/>
      <c r="E712" s="71"/>
      <c r="F712" s="71"/>
    </row>
    <row r="713">
      <c r="A713" s="68"/>
      <c r="B713" s="69"/>
      <c r="C713" s="73"/>
      <c r="D713" s="71"/>
      <c r="E713" s="71"/>
      <c r="F713" s="71"/>
    </row>
    <row r="714">
      <c r="A714" s="68"/>
      <c r="B714" s="69"/>
      <c r="C714" s="73"/>
      <c r="D714" s="71"/>
      <c r="E714" s="71"/>
      <c r="F714" s="71"/>
    </row>
    <row r="715">
      <c r="A715" s="68"/>
      <c r="B715" s="69"/>
      <c r="C715" s="73"/>
      <c r="D715" s="71"/>
      <c r="E715" s="71"/>
      <c r="F715" s="71"/>
    </row>
    <row r="716">
      <c r="A716" s="68"/>
      <c r="B716" s="69"/>
      <c r="C716" s="73"/>
      <c r="D716" s="71"/>
      <c r="E716" s="71"/>
      <c r="F716" s="71"/>
    </row>
    <row r="717">
      <c r="A717" s="68"/>
      <c r="B717" s="69"/>
      <c r="C717" s="73"/>
      <c r="D717" s="71"/>
      <c r="E717" s="71"/>
      <c r="F717" s="71"/>
    </row>
    <row r="718">
      <c r="A718" s="68"/>
      <c r="B718" s="69"/>
      <c r="C718" s="73"/>
      <c r="D718" s="71"/>
      <c r="E718" s="71"/>
      <c r="F718" s="71"/>
    </row>
    <row r="719">
      <c r="A719" s="68"/>
      <c r="B719" s="69"/>
      <c r="C719" s="73"/>
      <c r="D719" s="71"/>
      <c r="E719" s="71"/>
      <c r="F719" s="71"/>
    </row>
    <row r="720">
      <c r="A720" s="68"/>
      <c r="B720" s="69"/>
      <c r="C720" s="73"/>
      <c r="D720" s="71"/>
      <c r="E720" s="71"/>
      <c r="F720" s="71"/>
    </row>
    <row r="721">
      <c r="A721" s="68"/>
      <c r="B721" s="69"/>
      <c r="C721" s="73"/>
      <c r="D721" s="71"/>
      <c r="E721" s="71"/>
      <c r="F721" s="71"/>
    </row>
    <row r="722">
      <c r="A722" s="68"/>
      <c r="B722" s="69"/>
      <c r="C722" s="73"/>
      <c r="D722" s="71"/>
      <c r="E722" s="71"/>
      <c r="F722" s="71"/>
    </row>
    <row r="723">
      <c r="A723" s="68"/>
      <c r="B723" s="69"/>
      <c r="C723" s="73"/>
      <c r="D723" s="71"/>
      <c r="E723" s="71"/>
      <c r="F723" s="71"/>
    </row>
    <row r="724">
      <c r="A724" s="68"/>
      <c r="B724" s="69"/>
      <c r="C724" s="73"/>
      <c r="D724" s="71"/>
      <c r="E724" s="71"/>
      <c r="F724" s="71"/>
    </row>
    <row r="725">
      <c r="A725" s="68"/>
      <c r="B725" s="69"/>
      <c r="C725" s="73"/>
      <c r="D725" s="71"/>
      <c r="E725" s="71"/>
      <c r="F725" s="71"/>
    </row>
    <row r="726">
      <c r="A726" s="68"/>
      <c r="B726" s="69"/>
      <c r="C726" s="73"/>
      <c r="D726" s="71"/>
      <c r="E726" s="71"/>
      <c r="F726" s="71"/>
    </row>
    <row r="727">
      <c r="A727" s="68"/>
      <c r="B727" s="69"/>
      <c r="C727" s="73"/>
      <c r="D727" s="71"/>
      <c r="E727" s="71"/>
      <c r="F727" s="71"/>
    </row>
    <row r="728">
      <c r="A728" s="68"/>
      <c r="B728" s="69"/>
      <c r="C728" s="73"/>
      <c r="D728" s="71"/>
      <c r="E728" s="71"/>
      <c r="F728" s="71"/>
    </row>
    <row r="729">
      <c r="A729" s="68"/>
      <c r="B729" s="69"/>
      <c r="C729" s="73"/>
      <c r="D729" s="71"/>
      <c r="E729" s="71"/>
      <c r="F729" s="71"/>
    </row>
    <row r="730">
      <c r="A730" s="68"/>
      <c r="B730" s="69"/>
      <c r="C730" s="73"/>
      <c r="D730" s="71"/>
      <c r="E730" s="71"/>
      <c r="F730" s="71"/>
    </row>
    <row r="731">
      <c r="A731" s="68"/>
      <c r="B731" s="69"/>
      <c r="C731" s="73"/>
      <c r="D731" s="71"/>
      <c r="E731" s="71"/>
      <c r="F731" s="71"/>
    </row>
    <row r="732">
      <c r="A732" s="68"/>
      <c r="B732" s="69"/>
      <c r="C732" s="73"/>
      <c r="D732" s="71"/>
      <c r="E732" s="71"/>
      <c r="F732" s="71"/>
    </row>
    <row r="733">
      <c r="A733" s="68"/>
      <c r="B733" s="69"/>
      <c r="C733" s="73"/>
      <c r="D733" s="71"/>
      <c r="E733" s="71"/>
      <c r="F733" s="71"/>
    </row>
    <row r="734">
      <c r="A734" s="68"/>
      <c r="B734" s="69"/>
      <c r="C734" s="73"/>
      <c r="D734" s="71"/>
      <c r="E734" s="71"/>
      <c r="F734" s="71"/>
    </row>
    <row r="735">
      <c r="A735" s="68"/>
      <c r="B735" s="69"/>
      <c r="C735" s="73"/>
      <c r="D735" s="71"/>
      <c r="E735" s="71"/>
      <c r="F735" s="71"/>
    </row>
    <row r="736">
      <c r="A736" s="68"/>
      <c r="B736" s="69"/>
      <c r="C736" s="73"/>
      <c r="D736" s="71"/>
      <c r="E736" s="71"/>
      <c r="F736" s="71"/>
    </row>
    <row r="737">
      <c r="A737" s="68"/>
      <c r="B737" s="69"/>
      <c r="C737" s="73"/>
      <c r="D737" s="71"/>
      <c r="E737" s="71"/>
      <c r="F737" s="71"/>
    </row>
    <row r="738">
      <c r="A738" s="68"/>
      <c r="B738" s="69"/>
      <c r="C738" s="73"/>
      <c r="D738" s="71"/>
      <c r="E738" s="71"/>
      <c r="F738" s="71"/>
    </row>
    <row r="739">
      <c r="A739" s="68"/>
      <c r="B739" s="69"/>
      <c r="C739" s="73"/>
      <c r="D739" s="71"/>
      <c r="E739" s="71"/>
      <c r="F739" s="71"/>
    </row>
    <row r="740">
      <c r="A740" s="68"/>
      <c r="B740" s="69"/>
      <c r="C740" s="73"/>
      <c r="D740" s="71"/>
      <c r="E740" s="71"/>
      <c r="F740" s="71"/>
    </row>
    <row r="741">
      <c r="A741" s="68"/>
      <c r="B741" s="69"/>
      <c r="C741" s="73"/>
      <c r="D741" s="71"/>
      <c r="E741" s="71"/>
      <c r="F741" s="71"/>
    </row>
    <row r="742">
      <c r="A742" s="68"/>
      <c r="B742" s="69"/>
      <c r="C742" s="73"/>
      <c r="D742" s="71"/>
      <c r="E742" s="71"/>
      <c r="F742" s="71"/>
    </row>
    <row r="743">
      <c r="A743" s="68"/>
      <c r="B743" s="69"/>
      <c r="C743" s="73"/>
      <c r="D743" s="71"/>
      <c r="E743" s="71"/>
      <c r="F743" s="71"/>
    </row>
    <row r="744">
      <c r="A744" s="68"/>
      <c r="B744" s="69"/>
      <c r="C744" s="73"/>
      <c r="D744" s="71"/>
      <c r="E744" s="71"/>
      <c r="F744" s="71"/>
    </row>
    <row r="745">
      <c r="A745" s="68"/>
      <c r="B745" s="69"/>
      <c r="C745" s="73"/>
      <c r="D745" s="71"/>
      <c r="E745" s="71"/>
      <c r="F745" s="71"/>
    </row>
    <row r="746">
      <c r="A746" s="68"/>
      <c r="B746" s="69"/>
      <c r="C746" s="73"/>
      <c r="D746" s="71"/>
      <c r="E746" s="71"/>
      <c r="F746" s="71"/>
    </row>
    <row r="747">
      <c r="A747" s="68"/>
      <c r="B747" s="69"/>
      <c r="C747" s="73"/>
      <c r="D747" s="71"/>
      <c r="E747" s="71"/>
      <c r="F747" s="71"/>
    </row>
    <row r="748">
      <c r="A748" s="68"/>
      <c r="B748" s="69"/>
      <c r="C748" s="73"/>
      <c r="D748" s="71"/>
      <c r="E748" s="71"/>
      <c r="F748" s="71"/>
    </row>
    <row r="749">
      <c r="A749" s="68"/>
      <c r="B749" s="69"/>
      <c r="C749" s="73"/>
      <c r="D749" s="71"/>
      <c r="E749" s="71"/>
      <c r="F749" s="71"/>
    </row>
    <row r="750">
      <c r="A750" s="68"/>
      <c r="B750" s="69"/>
      <c r="C750" s="73"/>
      <c r="D750" s="71"/>
      <c r="E750" s="71"/>
      <c r="F750" s="71"/>
    </row>
    <row r="751">
      <c r="A751" s="68"/>
      <c r="B751" s="69"/>
      <c r="C751" s="73"/>
      <c r="D751" s="71"/>
      <c r="E751" s="71"/>
      <c r="F751" s="71"/>
    </row>
    <row r="752">
      <c r="A752" s="68"/>
      <c r="B752" s="69"/>
      <c r="C752" s="73"/>
      <c r="D752" s="71"/>
      <c r="E752" s="71"/>
      <c r="F752" s="71"/>
    </row>
    <row r="753">
      <c r="A753" s="68"/>
      <c r="B753" s="69"/>
      <c r="C753" s="73"/>
      <c r="D753" s="71"/>
      <c r="E753" s="71"/>
      <c r="F753" s="71"/>
    </row>
    <row r="754">
      <c r="A754" s="68"/>
      <c r="B754" s="69"/>
      <c r="C754" s="73"/>
      <c r="D754" s="71"/>
      <c r="E754" s="71"/>
      <c r="F754" s="71"/>
    </row>
    <row r="755">
      <c r="A755" s="68"/>
      <c r="B755" s="69"/>
      <c r="C755" s="73"/>
      <c r="D755" s="71"/>
      <c r="E755" s="71"/>
      <c r="F755" s="71"/>
    </row>
    <row r="756">
      <c r="A756" s="68"/>
      <c r="B756" s="69"/>
      <c r="C756" s="73"/>
      <c r="D756" s="71"/>
      <c r="E756" s="71"/>
      <c r="F756" s="71"/>
    </row>
    <row r="757">
      <c r="A757" s="68"/>
      <c r="B757" s="69"/>
      <c r="C757" s="73"/>
      <c r="D757" s="71"/>
      <c r="E757" s="71"/>
      <c r="F757" s="71"/>
    </row>
    <row r="758">
      <c r="A758" s="68"/>
      <c r="B758" s="69"/>
      <c r="C758" s="73"/>
      <c r="D758" s="71"/>
      <c r="E758" s="71"/>
      <c r="F758" s="71"/>
    </row>
    <row r="759">
      <c r="A759" s="68"/>
      <c r="B759" s="69"/>
      <c r="C759" s="73"/>
      <c r="D759" s="71"/>
      <c r="E759" s="71"/>
      <c r="F759" s="71"/>
    </row>
    <row r="760">
      <c r="A760" s="68"/>
      <c r="B760" s="69"/>
      <c r="C760" s="73"/>
      <c r="D760" s="71"/>
      <c r="E760" s="71"/>
      <c r="F760" s="71"/>
    </row>
    <row r="761">
      <c r="A761" s="68"/>
      <c r="B761" s="69"/>
      <c r="C761" s="73"/>
      <c r="D761" s="71"/>
      <c r="E761" s="71"/>
      <c r="F761" s="71"/>
    </row>
    <row r="762">
      <c r="A762" s="68"/>
      <c r="B762" s="69"/>
      <c r="C762" s="73"/>
      <c r="D762" s="71"/>
      <c r="E762" s="71"/>
      <c r="F762" s="71"/>
    </row>
    <row r="763">
      <c r="A763" s="68"/>
      <c r="B763" s="69"/>
      <c r="C763" s="73"/>
      <c r="D763" s="71"/>
      <c r="E763" s="71"/>
      <c r="F763" s="71"/>
    </row>
    <row r="764">
      <c r="A764" s="68"/>
      <c r="B764" s="69"/>
      <c r="C764" s="73"/>
      <c r="D764" s="71"/>
      <c r="E764" s="71"/>
      <c r="F764" s="71"/>
    </row>
    <row r="765">
      <c r="A765" s="68"/>
      <c r="B765" s="69"/>
      <c r="C765" s="73"/>
      <c r="D765" s="71"/>
      <c r="E765" s="71"/>
      <c r="F765" s="71"/>
    </row>
    <row r="766">
      <c r="A766" s="68"/>
      <c r="B766" s="69"/>
      <c r="C766" s="73"/>
      <c r="D766" s="71"/>
      <c r="E766" s="71"/>
      <c r="F766" s="71"/>
    </row>
    <row r="767">
      <c r="A767" s="68"/>
      <c r="B767" s="69"/>
      <c r="C767" s="73"/>
      <c r="D767" s="71"/>
      <c r="E767" s="71"/>
      <c r="F767" s="71"/>
    </row>
    <row r="768">
      <c r="A768" s="68"/>
      <c r="B768" s="69"/>
      <c r="C768" s="73"/>
      <c r="D768" s="71"/>
      <c r="E768" s="71"/>
      <c r="F768" s="71"/>
    </row>
    <row r="769">
      <c r="A769" s="68"/>
      <c r="B769" s="69"/>
      <c r="C769" s="73"/>
      <c r="D769" s="71"/>
      <c r="E769" s="71"/>
      <c r="F769" s="71"/>
    </row>
    <row r="770">
      <c r="A770" s="68"/>
      <c r="B770" s="69"/>
      <c r="C770" s="73"/>
      <c r="D770" s="71"/>
      <c r="E770" s="71"/>
      <c r="F770" s="71"/>
    </row>
    <row r="771">
      <c r="A771" s="68"/>
      <c r="B771" s="69"/>
      <c r="C771" s="73"/>
      <c r="D771" s="71"/>
      <c r="E771" s="71"/>
      <c r="F771" s="71"/>
    </row>
    <row r="772">
      <c r="A772" s="68"/>
      <c r="B772" s="69"/>
      <c r="C772" s="73"/>
      <c r="D772" s="71"/>
      <c r="E772" s="71"/>
      <c r="F772" s="71"/>
    </row>
    <row r="773">
      <c r="A773" s="68"/>
      <c r="B773" s="69"/>
      <c r="C773" s="73"/>
      <c r="D773" s="71"/>
      <c r="E773" s="71"/>
      <c r="F773" s="71"/>
    </row>
    <row r="774">
      <c r="A774" s="68"/>
      <c r="B774" s="69"/>
      <c r="C774" s="73"/>
      <c r="D774" s="71"/>
      <c r="E774" s="71"/>
      <c r="F774" s="71"/>
    </row>
    <row r="775">
      <c r="A775" s="68"/>
      <c r="B775" s="69"/>
      <c r="C775" s="73"/>
      <c r="D775" s="71"/>
      <c r="E775" s="71"/>
      <c r="F775" s="71"/>
    </row>
    <row r="776">
      <c r="A776" s="68"/>
      <c r="B776" s="69"/>
      <c r="C776" s="73"/>
      <c r="D776" s="71"/>
      <c r="E776" s="71"/>
      <c r="F776" s="71"/>
    </row>
    <row r="777">
      <c r="A777" s="68"/>
      <c r="B777" s="69"/>
      <c r="C777" s="73"/>
      <c r="D777" s="71"/>
      <c r="E777" s="71"/>
      <c r="F777" s="71"/>
    </row>
    <row r="778">
      <c r="A778" s="68"/>
      <c r="B778" s="69"/>
      <c r="C778" s="73"/>
      <c r="D778" s="71"/>
      <c r="E778" s="71"/>
      <c r="F778" s="71"/>
    </row>
    <row r="779">
      <c r="A779" s="68"/>
      <c r="B779" s="69"/>
      <c r="C779" s="73"/>
      <c r="D779" s="71"/>
      <c r="E779" s="71"/>
      <c r="F779" s="71"/>
    </row>
    <row r="780">
      <c r="A780" s="68"/>
      <c r="B780" s="69"/>
      <c r="C780" s="73"/>
      <c r="D780" s="71"/>
      <c r="E780" s="71"/>
      <c r="F780" s="71"/>
    </row>
    <row r="781">
      <c r="A781" s="68"/>
      <c r="B781" s="69"/>
      <c r="C781" s="73"/>
      <c r="D781" s="71"/>
      <c r="E781" s="71"/>
      <c r="F781" s="71"/>
    </row>
    <row r="782">
      <c r="A782" s="68"/>
      <c r="B782" s="69"/>
      <c r="C782" s="73"/>
      <c r="D782" s="71"/>
      <c r="E782" s="71"/>
      <c r="F782" s="71"/>
    </row>
    <row r="783">
      <c r="A783" s="68"/>
      <c r="B783" s="69"/>
      <c r="C783" s="73"/>
      <c r="D783" s="71"/>
      <c r="E783" s="71"/>
      <c r="F783" s="71"/>
    </row>
    <row r="784">
      <c r="A784" s="68"/>
      <c r="B784" s="69"/>
      <c r="C784" s="73"/>
      <c r="D784" s="71"/>
      <c r="E784" s="71"/>
      <c r="F784" s="71"/>
    </row>
    <row r="785">
      <c r="A785" s="68"/>
      <c r="B785" s="69"/>
      <c r="C785" s="73"/>
      <c r="D785" s="71"/>
      <c r="E785" s="71"/>
      <c r="F785" s="71"/>
    </row>
    <row r="786">
      <c r="A786" s="68"/>
      <c r="B786" s="69"/>
      <c r="C786" s="73"/>
      <c r="D786" s="71"/>
      <c r="E786" s="71"/>
      <c r="F786" s="71"/>
    </row>
    <row r="787">
      <c r="A787" s="68"/>
      <c r="B787" s="69"/>
      <c r="C787" s="73"/>
      <c r="D787" s="71"/>
      <c r="E787" s="71"/>
      <c r="F787" s="71"/>
    </row>
    <row r="788">
      <c r="A788" s="68"/>
      <c r="B788" s="69"/>
      <c r="C788" s="73"/>
      <c r="D788" s="71"/>
      <c r="E788" s="71"/>
      <c r="F788" s="71"/>
    </row>
    <row r="789">
      <c r="A789" s="68"/>
      <c r="B789" s="69"/>
      <c r="C789" s="73"/>
      <c r="D789" s="71"/>
      <c r="E789" s="71"/>
      <c r="F789" s="71"/>
    </row>
    <row r="790">
      <c r="A790" s="68"/>
      <c r="B790" s="69"/>
      <c r="C790" s="73"/>
      <c r="D790" s="71"/>
      <c r="E790" s="71"/>
      <c r="F790" s="71"/>
    </row>
    <row r="791">
      <c r="A791" s="68"/>
      <c r="B791" s="69"/>
      <c r="C791" s="73"/>
      <c r="D791" s="71"/>
      <c r="E791" s="71"/>
      <c r="F791" s="71"/>
    </row>
    <row r="792">
      <c r="A792" s="68"/>
      <c r="B792" s="69"/>
      <c r="C792" s="73"/>
      <c r="D792" s="71"/>
      <c r="E792" s="71"/>
      <c r="F792" s="71"/>
    </row>
    <row r="793">
      <c r="A793" s="68"/>
      <c r="B793" s="69"/>
      <c r="C793" s="73"/>
      <c r="D793" s="71"/>
      <c r="E793" s="71"/>
      <c r="F793" s="71"/>
    </row>
    <row r="794">
      <c r="A794" s="68"/>
      <c r="B794" s="69"/>
      <c r="C794" s="73"/>
      <c r="D794" s="71"/>
      <c r="E794" s="71"/>
      <c r="F794" s="71"/>
    </row>
    <row r="795">
      <c r="A795" s="68"/>
      <c r="B795" s="69"/>
      <c r="C795" s="73"/>
      <c r="D795" s="71"/>
      <c r="E795" s="71"/>
      <c r="F795" s="71"/>
    </row>
    <row r="796">
      <c r="A796" s="68"/>
      <c r="B796" s="69"/>
      <c r="C796" s="73"/>
      <c r="D796" s="71"/>
      <c r="E796" s="71"/>
      <c r="F796" s="71"/>
    </row>
    <row r="797">
      <c r="A797" s="68"/>
      <c r="B797" s="69"/>
      <c r="C797" s="73"/>
      <c r="D797" s="71"/>
      <c r="E797" s="71"/>
      <c r="F797" s="71"/>
    </row>
    <row r="798">
      <c r="A798" s="68"/>
      <c r="B798" s="69"/>
      <c r="C798" s="73"/>
      <c r="D798" s="71"/>
      <c r="E798" s="71"/>
      <c r="F798" s="71"/>
    </row>
    <row r="799">
      <c r="A799" s="68"/>
      <c r="B799" s="69"/>
      <c r="C799" s="73"/>
      <c r="D799" s="71"/>
      <c r="E799" s="71"/>
      <c r="F799" s="71"/>
    </row>
    <row r="800">
      <c r="A800" s="68"/>
      <c r="B800" s="69"/>
      <c r="C800" s="73"/>
      <c r="D800" s="71"/>
      <c r="E800" s="71"/>
      <c r="F800" s="71"/>
    </row>
    <row r="801">
      <c r="A801" s="68"/>
      <c r="B801" s="69"/>
      <c r="C801" s="73"/>
      <c r="D801" s="71"/>
      <c r="E801" s="71"/>
      <c r="F801" s="71"/>
    </row>
    <row r="802">
      <c r="A802" s="68"/>
      <c r="B802" s="69"/>
      <c r="C802" s="73"/>
      <c r="D802" s="71"/>
      <c r="E802" s="71"/>
      <c r="F802" s="71"/>
    </row>
    <row r="803">
      <c r="A803" s="68"/>
      <c r="B803" s="69"/>
      <c r="C803" s="73"/>
      <c r="D803" s="71"/>
      <c r="E803" s="71"/>
      <c r="F803" s="71"/>
    </row>
    <row r="804">
      <c r="A804" s="68"/>
      <c r="B804" s="69"/>
      <c r="C804" s="73"/>
      <c r="D804" s="71"/>
      <c r="E804" s="71"/>
      <c r="F804" s="71"/>
    </row>
    <row r="805">
      <c r="A805" s="68"/>
      <c r="B805" s="69"/>
      <c r="C805" s="73"/>
      <c r="D805" s="71"/>
      <c r="E805" s="71"/>
      <c r="F805" s="71"/>
    </row>
    <row r="806">
      <c r="A806" s="68"/>
      <c r="B806" s="69"/>
      <c r="C806" s="73"/>
      <c r="D806" s="71"/>
      <c r="E806" s="71"/>
      <c r="F806" s="71"/>
    </row>
    <row r="807">
      <c r="A807" s="68"/>
      <c r="B807" s="69"/>
      <c r="C807" s="73"/>
      <c r="D807" s="71"/>
      <c r="E807" s="71"/>
      <c r="F807" s="71"/>
    </row>
    <row r="808">
      <c r="A808" s="68"/>
      <c r="B808" s="69"/>
      <c r="C808" s="73"/>
      <c r="D808" s="71"/>
      <c r="E808" s="71"/>
      <c r="F808" s="71"/>
    </row>
    <row r="809">
      <c r="A809" s="68"/>
      <c r="B809" s="69"/>
      <c r="C809" s="73"/>
      <c r="D809" s="71"/>
      <c r="E809" s="71"/>
      <c r="F809" s="71"/>
    </row>
    <row r="810">
      <c r="A810" s="68"/>
      <c r="B810" s="69"/>
      <c r="C810" s="73"/>
      <c r="D810" s="71"/>
      <c r="E810" s="71"/>
      <c r="F810" s="71"/>
    </row>
    <row r="811">
      <c r="A811" s="68"/>
      <c r="B811" s="69"/>
      <c r="C811" s="73"/>
      <c r="D811" s="71"/>
      <c r="E811" s="71"/>
      <c r="F811" s="71"/>
    </row>
    <row r="812">
      <c r="A812" s="68"/>
      <c r="B812" s="69"/>
      <c r="C812" s="73"/>
      <c r="D812" s="71"/>
      <c r="E812" s="71"/>
      <c r="F812" s="71"/>
    </row>
    <row r="813">
      <c r="A813" s="68"/>
      <c r="B813" s="69"/>
      <c r="C813" s="73"/>
      <c r="D813" s="71"/>
      <c r="E813" s="71"/>
      <c r="F813" s="71"/>
    </row>
    <row r="814">
      <c r="A814" s="68"/>
      <c r="B814" s="69"/>
      <c r="C814" s="73"/>
      <c r="D814" s="71"/>
      <c r="E814" s="71"/>
      <c r="F814" s="71"/>
    </row>
    <row r="815">
      <c r="A815" s="68"/>
      <c r="B815" s="69"/>
      <c r="C815" s="73"/>
      <c r="D815" s="71"/>
      <c r="E815" s="71"/>
      <c r="F815" s="71"/>
    </row>
    <row r="816">
      <c r="A816" s="68"/>
      <c r="B816" s="69"/>
      <c r="C816" s="73"/>
      <c r="D816" s="71"/>
      <c r="E816" s="71"/>
      <c r="F816" s="71"/>
    </row>
    <row r="817">
      <c r="A817" s="68"/>
      <c r="B817" s="69"/>
      <c r="C817" s="73"/>
      <c r="D817" s="71"/>
      <c r="E817" s="71"/>
      <c r="F817" s="71"/>
    </row>
    <row r="818">
      <c r="A818" s="68"/>
      <c r="B818" s="69"/>
      <c r="C818" s="73"/>
      <c r="D818" s="71"/>
      <c r="E818" s="71"/>
      <c r="F818" s="71"/>
    </row>
    <row r="819">
      <c r="A819" s="68"/>
      <c r="B819" s="69"/>
      <c r="C819" s="73"/>
      <c r="D819" s="71"/>
      <c r="E819" s="71"/>
      <c r="F819" s="71"/>
    </row>
    <row r="820">
      <c r="A820" s="68"/>
      <c r="B820" s="69"/>
      <c r="C820" s="73"/>
      <c r="D820" s="71"/>
      <c r="E820" s="71"/>
      <c r="F820" s="71"/>
    </row>
    <row r="821">
      <c r="A821" s="68"/>
      <c r="B821" s="69"/>
      <c r="C821" s="73"/>
      <c r="D821" s="71"/>
      <c r="E821" s="71"/>
      <c r="F821" s="71"/>
    </row>
    <row r="822">
      <c r="A822" s="68"/>
      <c r="B822" s="69"/>
      <c r="C822" s="73"/>
      <c r="D822" s="71"/>
      <c r="E822" s="71"/>
      <c r="F822" s="71"/>
    </row>
    <row r="823">
      <c r="A823" s="68"/>
      <c r="B823" s="69"/>
      <c r="C823" s="73"/>
      <c r="D823" s="71"/>
      <c r="E823" s="71"/>
      <c r="F823" s="71"/>
    </row>
    <row r="824">
      <c r="A824" s="68"/>
      <c r="B824" s="69"/>
      <c r="C824" s="73"/>
      <c r="D824" s="71"/>
      <c r="E824" s="71"/>
      <c r="F824" s="71"/>
    </row>
    <row r="825">
      <c r="A825" s="68"/>
      <c r="B825" s="69"/>
      <c r="C825" s="73"/>
      <c r="D825" s="71"/>
      <c r="E825" s="71"/>
      <c r="F825" s="71"/>
    </row>
    <row r="826">
      <c r="A826" s="68"/>
      <c r="B826" s="69"/>
      <c r="C826" s="73"/>
      <c r="D826" s="71"/>
      <c r="E826" s="71"/>
      <c r="F826" s="71"/>
    </row>
    <row r="827">
      <c r="A827" s="68"/>
      <c r="B827" s="69"/>
      <c r="C827" s="73"/>
      <c r="D827" s="71"/>
      <c r="E827" s="71"/>
      <c r="F827" s="71"/>
    </row>
    <row r="828">
      <c r="A828" s="68"/>
      <c r="B828" s="69"/>
      <c r="C828" s="73"/>
      <c r="D828" s="71"/>
      <c r="E828" s="71"/>
      <c r="F828" s="71"/>
    </row>
    <row r="829">
      <c r="A829" s="68"/>
      <c r="B829" s="69"/>
      <c r="C829" s="73"/>
      <c r="D829" s="71"/>
      <c r="E829" s="71"/>
      <c r="F829" s="71"/>
    </row>
    <row r="830">
      <c r="A830" s="68"/>
      <c r="B830" s="69"/>
      <c r="C830" s="73"/>
      <c r="D830" s="71"/>
      <c r="E830" s="71"/>
      <c r="F830" s="71"/>
    </row>
    <row r="831">
      <c r="A831" s="68"/>
      <c r="B831" s="69"/>
      <c r="C831" s="73"/>
      <c r="D831" s="71"/>
      <c r="E831" s="71"/>
      <c r="F831" s="71"/>
    </row>
    <row r="832">
      <c r="A832" s="68"/>
      <c r="B832" s="69"/>
      <c r="C832" s="73"/>
      <c r="D832" s="71"/>
      <c r="E832" s="71"/>
      <c r="F832" s="71"/>
    </row>
    <row r="833">
      <c r="A833" s="68"/>
      <c r="B833" s="69"/>
      <c r="C833" s="73"/>
      <c r="D833" s="71"/>
      <c r="E833" s="71"/>
      <c r="F833" s="71"/>
    </row>
    <row r="834">
      <c r="A834" s="68"/>
      <c r="B834" s="69"/>
      <c r="C834" s="73"/>
      <c r="D834" s="71"/>
      <c r="E834" s="71"/>
      <c r="F834" s="71"/>
    </row>
    <row r="835">
      <c r="A835" s="68"/>
      <c r="B835" s="69"/>
      <c r="C835" s="73"/>
      <c r="D835" s="71"/>
      <c r="E835" s="71"/>
      <c r="F835" s="71"/>
    </row>
    <row r="836">
      <c r="A836" s="68"/>
      <c r="B836" s="69"/>
      <c r="C836" s="73"/>
      <c r="D836" s="71"/>
      <c r="E836" s="71"/>
      <c r="F836" s="71"/>
    </row>
    <row r="837">
      <c r="A837" s="68"/>
      <c r="B837" s="69"/>
      <c r="C837" s="73"/>
      <c r="D837" s="71"/>
      <c r="E837" s="71"/>
      <c r="F837" s="71"/>
    </row>
    <row r="838">
      <c r="A838" s="68"/>
      <c r="B838" s="69"/>
      <c r="C838" s="73"/>
      <c r="D838" s="71"/>
      <c r="E838" s="71"/>
      <c r="F838" s="71"/>
    </row>
    <row r="839">
      <c r="A839" s="68"/>
      <c r="B839" s="69"/>
      <c r="C839" s="73"/>
      <c r="D839" s="71"/>
      <c r="E839" s="71"/>
      <c r="F839" s="71"/>
    </row>
    <row r="840">
      <c r="A840" s="68"/>
      <c r="B840" s="69"/>
      <c r="C840" s="73"/>
      <c r="D840" s="71"/>
      <c r="E840" s="71"/>
      <c r="F840" s="71"/>
    </row>
    <row r="841">
      <c r="A841" s="68"/>
      <c r="B841" s="69"/>
      <c r="C841" s="73"/>
      <c r="D841" s="71"/>
      <c r="E841" s="71"/>
      <c r="F841" s="71"/>
    </row>
    <row r="842">
      <c r="A842" s="68"/>
      <c r="B842" s="69"/>
      <c r="C842" s="73"/>
      <c r="D842" s="71"/>
      <c r="E842" s="71"/>
      <c r="F842" s="71"/>
    </row>
    <row r="843">
      <c r="A843" s="68"/>
      <c r="B843" s="69"/>
      <c r="C843" s="73"/>
      <c r="D843" s="71"/>
      <c r="E843" s="71"/>
      <c r="F843" s="71"/>
    </row>
    <row r="844">
      <c r="A844" s="68"/>
      <c r="B844" s="69"/>
      <c r="C844" s="73"/>
      <c r="D844" s="71"/>
      <c r="E844" s="71"/>
      <c r="F844" s="71"/>
    </row>
    <row r="845">
      <c r="A845" s="68"/>
      <c r="B845" s="69"/>
      <c r="C845" s="73"/>
      <c r="D845" s="71"/>
      <c r="E845" s="71"/>
      <c r="F845" s="71"/>
    </row>
    <row r="846">
      <c r="A846" s="68"/>
      <c r="B846" s="69"/>
      <c r="C846" s="73"/>
      <c r="D846" s="71"/>
      <c r="E846" s="71"/>
      <c r="F846" s="71"/>
    </row>
    <row r="847">
      <c r="A847" s="68"/>
      <c r="B847" s="69"/>
      <c r="C847" s="73"/>
      <c r="D847" s="71"/>
      <c r="E847" s="71"/>
      <c r="F847" s="71"/>
    </row>
    <row r="848">
      <c r="A848" s="68"/>
      <c r="B848" s="69"/>
      <c r="C848" s="73"/>
      <c r="D848" s="71"/>
      <c r="E848" s="71"/>
      <c r="F848" s="71"/>
    </row>
    <row r="849">
      <c r="A849" s="68"/>
      <c r="B849" s="69"/>
      <c r="C849" s="73"/>
      <c r="D849" s="71"/>
      <c r="E849" s="71"/>
      <c r="F849" s="71"/>
    </row>
    <row r="850">
      <c r="A850" s="68"/>
      <c r="B850" s="69"/>
      <c r="C850" s="73"/>
      <c r="D850" s="71"/>
      <c r="E850" s="71"/>
      <c r="F850" s="71"/>
    </row>
    <row r="851">
      <c r="A851" s="68"/>
      <c r="B851" s="69"/>
      <c r="C851" s="73"/>
      <c r="D851" s="71"/>
      <c r="E851" s="71"/>
      <c r="F851" s="71"/>
    </row>
    <row r="852">
      <c r="A852" s="68"/>
      <c r="B852" s="69"/>
      <c r="C852" s="73"/>
      <c r="D852" s="71"/>
      <c r="E852" s="71"/>
      <c r="F852" s="71"/>
    </row>
    <row r="853">
      <c r="A853" s="68"/>
      <c r="B853" s="69"/>
      <c r="C853" s="73"/>
      <c r="D853" s="71"/>
      <c r="E853" s="71"/>
      <c r="F853" s="71"/>
    </row>
    <row r="854">
      <c r="A854" s="68"/>
      <c r="B854" s="69"/>
      <c r="C854" s="73"/>
      <c r="D854" s="71"/>
      <c r="E854" s="71"/>
      <c r="F854" s="71"/>
    </row>
    <row r="855">
      <c r="A855" s="68"/>
      <c r="B855" s="69"/>
      <c r="C855" s="73"/>
      <c r="D855" s="71"/>
      <c r="E855" s="71"/>
      <c r="F855" s="71"/>
    </row>
    <row r="856">
      <c r="A856" s="68"/>
      <c r="B856" s="69"/>
      <c r="C856" s="73"/>
      <c r="D856" s="71"/>
      <c r="E856" s="71"/>
      <c r="F856" s="71"/>
    </row>
    <row r="857">
      <c r="A857" s="68"/>
      <c r="B857" s="69"/>
      <c r="C857" s="73"/>
      <c r="D857" s="71"/>
      <c r="E857" s="71"/>
      <c r="F857" s="71"/>
    </row>
    <row r="858">
      <c r="A858" s="68"/>
      <c r="B858" s="69"/>
      <c r="C858" s="73"/>
      <c r="D858" s="71"/>
      <c r="E858" s="71"/>
      <c r="F858" s="71"/>
    </row>
    <row r="859">
      <c r="A859" s="68"/>
      <c r="B859" s="69"/>
      <c r="C859" s="73"/>
      <c r="D859" s="71"/>
      <c r="E859" s="71"/>
      <c r="F859" s="71"/>
    </row>
    <row r="860">
      <c r="A860" s="68"/>
      <c r="B860" s="69"/>
      <c r="C860" s="73"/>
      <c r="D860" s="71"/>
      <c r="E860" s="71"/>
      <c r="F860" s="71"/>
    </row>
    <row r="861">
      <c r="A861" s="68"/>
      <c r="B861" s="69"/>
      <c r="C861" s="73"/>
      <c r="D861" s="71"/>
      <c r="E861" s="71"/>
      <c r="F861" s="71"/>
    </row>
    <row r="862">
      <c r="A862" s="68"/>
      <c r="B862" s="69"/>
      <c r="C862" s="73"/>
      <c r="D862" s="71"/>
      <c r="E862" s="71"/>
      <c r="F862" s="71"/>
    </row>
    <row r="863">
      <c r="A863" s="68"/>
      <c r="B863" s="69"/>
      <c r="C863" s="73"/>
      <c r="D863" s="71"/>
      <c r="E863" s="71"/>
      <c r="F863" s="71"/>
    </row>
    <row r="864">
      <c r="A864" s="68"/>
      <c r="B864" s="69"/>
      <c r="C864" s="73"/>
      <c r="D864" s="71"/>
      <c r="E864" s="71"/>
      <c r="F864" s="71"/>
    </row>
    <row r="865">
      <c r="A865" s="68"/>
      <c r="B865" s="69"/>
      <c r="C865" s="73"/>
      <c r="D865" s="71"/>
      <c r="E865" s="71"/>
      <c r="F865" s="71"/>
    </row>
    <row r="866">
      <c r="A866" s="68"/>
      <c r="B866" s="69"/>
      <c r="C866" s="73"/>
      <c r="D866" s="71"/>
      <c r="E866" s="71"/>
      <c r="F866" s="71"/>
    </row>
    <row r="867">
      <c r="A867" s="68"/>
      <c r="B867" s="69"/>
      <c r="C867" s="73"/>
      <c r="D867" s="71"/>
      <c r="E867" s="71"/>
      <c r="F867" s="71"/>
    </row>
    <row r="868">
      <c r="A868" s="68"/>
      <c r="B868" s="69"/>
      <c r="C868" s="73"/>
      <c r="D868" s="71"/>
      <c r="E868" s="71"/>
      <c r="F868" s="71"/>
    </row>
    <row r="869">
      <c r="A869" s="68"/>
      <c r="B869" s="69"/>
      <c r="C869" s="73"/>
      <c r="D869" s="71"/>
      <c r="E869" s="71"/>
      <c r="F869" s="71"/>
    </row>
    <row r="870">
      <c r="A870" s="68"/>
      <c r="B870" s="69"/>
      <c r="C870" s="73"/>
      <c r="D870" s="71"/>
      <c r="E870" s="71"/>
      <c r="F870" s="71"/>
    </row>
    <row r="871">
      <c r="A871" s="68"/>
      <c r="B871" s="69"/>
      <c r="C871" s="73"/>
      <c r="D871" s="71"/>
      <c r="E871" s="71"/>
      <c r="F871" s="71"/>
    </row>
    <row r="872">
      <c r="A872" s="68"/>
      <c r="B872" s="69"/>
      <c r="C872" s="73"/>
      <c r="D872" s="71"/>
      <c r="E872" s="71"/>
      <c r="F872" s="71"/>
    </row>
    <row r="873">
      <c r="A873" s="68"/>
      <c r="B873" s="69"/>
      <c r="C873" s="73"/>
      <c r="D873" s="71"/>
      <c r="E873" s="71"/>
      <c r="F873" s="71"/>
    </row>
    <row r="874">
      <c r="A874" s="68"/>
      <c r="B874" s="69"/>
      <c r="C874" s="73"/>
      <c r="D874" s="71"/>
      <c r="E874" s="71"/>
      <c r="F874" s="71"/>
    </row>
    <row r="875">
      <c r="A875" s="68"/>
      <c r="B875" s="69"/>
      <c r="C875" s="73"/>
      <c r="D875" s="71"/>
      <c r="E875" s="71"/>
      <c r="F875" s="71"/>
    </row>
    <row r="876">
      <c r="A876" s="68"/>
      <c r="B876" s="69"/>
      <c r="C876" s="73"/>
      <c r="D876" s="71"/>
      <c r="E876" s="71"/>
      <c r="F876" s="71"/>
    </row>
    <row r="877">
      <c r="A877" s="68"/>
      <c r="B877" s="69"/>
      <c r="C877" s="73"/>
      <c r="D877" s="71"/>
      <c r="E877" s="71"/>
      <c r="F877" s="71"/>
    </row>
    <row r="878">
      <c r="A878" s="68"/>
      <c r="B878" s="69"/>
      <c r="C878" s="73"/>
      <c r="D878" s="71"/>
      <c r="E878" s="71"/>
      <c r="F878" s="71"/>
    </row>
    <row r="879">
      <c r="A879" s="68"/>
      <c r="B879" s="69"/>
      <c r="C879" s="73"/>
      <c r="D879" s="71"/>
      <c r="E879" s="71"/>
      <c r="F879" s="71"/>
    </row>
    <row r="880">
      <c r="A880" s="68"/>
      <c r="B880" s="69"/>
      <c r="C880" s="73"/>
      <c r="D880" s="71"/>
      <c r="E880" s="71"/>
      <c r="F880" s="71"/>
    </row>
    <row r="881">
      <c r="A881" s="68"/>
      <c r="B881" s="69"/>
      <c r="C881" s="73"/>
      <c r="D881" s="71"/>
      <c r="E881" s="71"/>
      <c r="F881" s="71"/>
    </row>
    <row r="882">
      <c r="A882" s="68"/>
      <c r="B882" s="69"/>
      <c r="C882" s="73"/>
      <c r="D882" s="71"/>
      <c r="E882" s="71"/>
      <c r="F882" s="71"/>
    </row>
    <row r="883">
      <c r="A883" s="68"/>
      <c r="B883" s="69"/>
      <c r="C883" s="73"/>
      <c r="D883" s="71"/>
      <c r="E883" s="71"/>
      <c r="F883" s="71"/>
    </row>
    <row r="884">
      <c r="A884" s="68"/>
      <c r="B884" s="69"/>
      <c r="C884" s="73"/>
      <c r="D884" s="71"/>
      <c r="E884" s="71"/>
      <c r="F884" s="71"/>
    </row>
    <row r="885">
      <c r="A885" s="68"/>
      <c r="B885" s="69"/>
      <c r="C885" s="73"/>
      <c r="D885" s="71"/>
      <c r="E885" s="71"/>
      <c r="F885" s="71"/>
    </row>
    <row r="886">
      <c r="A886" s="68"/>
      <c r="B886" s="69"/>
      <c r="C886" s="73"/>
      <c r="D886" s="71"/>
      <c r="E886" s="71"/>
      <c r="F886" s="71"/>
    </row>
    <row r="887">
      <c r="A887" s="68"/>
      <c r="B887" s="69"/>
      <c r="C887" s="73"/>
      <c r="D887" s="71"/>
      <c r="E887" s="71"/>
      <c r="F887" s="71"/>
    </row>
    <row r="888">
      <c r="A888" s="68"/>
      <c r="B888" s="69"/>
      <c r="C888" s="73"/>
      <c r="D888" s="71"/>
      <c r="E888" s="71"/>
      <c r="F888" s="71"/>
    </row>
    <row r="889">
      <c r="A889" s="68"/>
      <c r="B889" s="69"/>
      <c r="C889" s="73"/>
      <c r="D889" s="71"/>
      <c r="E889" s="71"/>
      <c r="F889" s="71"/>
    </row>
    <row r="890">
      <c r="A890" s="68"/>
      <c r="B890" s="69"/>
      <c r="C890" s="73"/>
      <c r="D890" s="71"/>
      <c r="E890" s="71"/>
      <c r="F890" s="71"/>
    </row>
    <row r="891">
      <c r="A891" s="68"/>
      <c r="B891" s="69"/>
      <c r="C891" s="73"/>
      <c r="D891" s="71"/>
      <c r="E891" s="71"/>
      <c r="F891" s="71"/>
    </row>
    <row r="892">
      <c r="A892" s="68"/>
      <c r="B892" s="69"/>
      <c r="C892" s="73"/>
      <c r="D892" s="71"/>
      <c r="E892" s="71"/>
      <c r="F892" s="71"/>
    </row>
    <row r="893">
      <c r="A893" s="68"/>
      <c r="B893" s="69"/>
      <c r="C893" s="73"/>
      <c r="D893" s="71"/>
      <c r="E893" s="71"/>
      <c r="F893" s="71"/>
    </row>
    <row r="894">
      <c r="A894" s="68"/>
      <c r="B894" s="69"/>
      <c r="C894" s="73"/>
      <c r="D894" s="71"/>
      <c r="E894" s="71"/>
      <c r="F894" s="71"/>
    </row>
    <row r="895">
      <c r="A895" s="68"/>
      <c r="B895" s="69"/>
      <c r="C895" s="73"/>
      <c r="D895" s="71"/>
      <c r="E895" s="71"/>
      <c r="F895" s="71"/>
    </row>
    <row r="896">
      <c r="A896" s="68"/>
      <c r="B896" s="69"/>
      <c r="C896" s="73"/>
      <c r="D896" s="71"/>
      <c r="E896" s="71"/>
      <c r="F896" s="71"/>
    </row>
    <row r="897">
      <c r="A897" s="68"/>
      <c r="B897" s="69"/>
      <c r="C897" s="73"/>
      <c r="D897" s="71"/>
      <c r="E897" s="71"/>
      <c r="F897" s="71"/>
    </row>
    <row r="898">
      <c r="A898" s="68"/>
      <c r="B898" s="69"/>
      <c r="C898" s="73"/>
      <c r="D898" s="71"/>
      <c r="E898" s="71"/>
      <c r="F898" s="71"/>
    </row>
    <row r="899">
      <c r="A899" s="68"/>
      <c r="B899" s="69"/>
      <c r="C899" s="73"/>
      <c r="D899" s="71"/>
      <c r="E899" s="71"/>
      <c r="F899" s="71"/>
    </row>
    <row r="900">
      <c r="A900" s="68"/>
      <c r="B900" s="69"/>
      <c r="C900" s="73"/>
      <c r="D900" s="71"/>
      <c r="E900" s="71"/>
      <c r="F900" s="71"/>
    </row>
    <row r="901">
      <c r="A901" s="68"/>
      <c r="B901" s="69"/>
      <c r="C901" s="73"/>
      <c r="D901" s="71"/>
      <c r="E901" s="71"/>
      <c r="F901" s="71"/>
    </row>
    <row r="902">
      <c r="A902" s="68"/>
      <c r="B902" s="69"/>
      <c r="C902" s="73"/>
      <c r="D902" s="71"/>
      <c r="E902" s="71"/>
      <c r="F902" s="71"/>
    </row>
    <row r="903">
      <c r="A903" s="68"/>
      <c r="B903" s="69"/>
      <c r="C903" s="73"/>
      <c r="D903" s="71"/>
      <c r="E903" s="71"/>
      <c r="F903" s="71"/>
    </row>
    <row r="904">
      <c r="A904" s="68"/>
      <c r="B904" s="69"/>
      <c r="C904" s="73"/>
      <c r="D904" s="71"/>
      <c r="E904" s="71"/>
      <c r="F904" s="71"/>
    </row>
    <row r="905">
      <c r="A905" s="68"/>
      <c r="B905" s="69"/>
      <c r="C905" s="73"/>
      <c r="D905" s="71"/>
      <c r="E905" s="71"/>
      <c r="F905" s="71"/>
    </row>
    <row r="906">
      <c r="A906" s="68"/>
      <c r="B906" s="69"/>
      <c r="C906" s="73"/>
      <c r="D906" s="71"/>
      <c r="E906" s="71"/>
      <c r="F906" s="71"/>
    </row>
    <row r="907">
      <c r="A907" s="68"/>
      <c r="B907" s="69"/>
      <c r="C907" s="73"/>
      <c r="D907" s="71"/>
      <c r="E907" s="71"/>
      <c r="F907" s="71"/>
    </row>
    <row r="908">
      <c r="A908" s="68"/>
      <c r="B908" s="69"/>
      <c r="C908" s="73"/>
      <c r="D908" s="71"/>
      <c r="E908" s="71"/>
      <c r="F908" s="71"/>
    </row>
    <row r="909">
      <c r="A909" s="68"/>
      <c r="B909" s="69"/>
      <c r="C909" s="73"/>
      <c r="D909" s="71"/>
      <c r="E909" s="71"/>
      <c r="F909" s="71"/>
    </row>
    <row r="910">
      <c r="A910" s="68"/>
      <c r="B910" s="69"/>
      <c r="C910" s="73"/>
      <c r="D910" s="71"/>
      <c r="E910" s="71"/>
      <c r="F910" s="71"/>
    </row>
    <row r="911">
      <c r="A911" s="68"/>
      <c r="B911" s="69"/>
      <c r="C911" s="73"/>
      <c r="D911" s="71"/>
      <c r="E911" s="71"/>
      <c r="F911" s="71"/>
    </row>
    <row r="912">
      <c r="A912" s="68"/>
      <c r="B912" s="69"/>
      <c r="C912" s="73"/>
      <c r="D912" s="71"/>
      <c r="E912" s="71"/>
      <c r="F912" s="71"/>
    </row>
    <row r="913">
      <c r="A913" s="68"/>
      <c r="B913" s="69"/>
      <c r="C913" s="73"/>
      <c r="D913" s="71"/>
      <c r="E913" s="71"/>
      <c r="F913" s="71"/>
    </row>
    <row r="914">
      <c r="A914" s="68"/>
      <c r="B914" s="69"/>
      <c r="C914" s="73"/>
      <c r="D914" s="71"/>
      <c r="E914" s="71"/>
      <c r="F914" s="71"/>
    </row>
    <row r="915">
      <c r="A915" s="68"/>
      <c r="B915" s="69"/>
      <c r="C915" s="73"/>
      <c r="D915" s="71"/>
      <c r="E915" s="71"/>
      <c r="F915" s="71"/>
    </row>
    <row r="916">
      <c r="A916" s="68"/>
      <c r="B916" s="69"/>
      <c r="C916" s="73"/>
      <c r="D916" s="71"/>
      <c r="E916" s="71"/>
      <c r="F916" s="71"/>
    </row>
    <row r="917">
      <c r="A917" s="68"/>
      <c r="B917" s="69"/>
      <c r="C917" s="73"/>
      <c r="D917" s="71"/>
      <c r="E917" s="71"/>
      <c r="F917" s="71"/>
    </row>
    <row r="918">
      <c r="A918" s="68"/>
      <c r="B918" s="69"/>
      <c r="C918" s="73"/>
      <c r="D918" s="71"/>
      <c r="E918" s="71"/>
      <c r="F918" s="71"/>
    </row>
    <row r="919">
      <c r="A919" s="68"/>
      <c r="B919" s="69"/>
      <c r="C919" s="73"/>
      <c r="D919" s="71"/>
      <c r="E919" s="71"/>
      <c r="F919" s="71"/>
    </row>
    <row r="920">
      <c r="A920" s="68"/>
      <c r="B920" s="69"/>
      <c r="C920" s="73"/>
      <c r="D920" s="71"/>
      <c r="E920" s="71"/>
      <c r="F920" s="71"/>
    </row>
    <row r="921">
      <c r="A921" s="68"/>
      <c r="B921" s="69"/>
      <c r="C921" s="73"/>
      <c r="D921" s="71"/>
      <c r="E921" s="71"/>
      <c r="F921" s="71"/>
    </row>
    <row r="922">
      <c r="A922" s="68"/>
      <c r="B922" s="69"/>
      <c r="C922" s="73"/>
      <c r="D922" s="71"/>
      <c r="E922" s="71"/>
      <c r="F922" s="71"/>
    </row>
    <row r="923">
      <c r="A923" s="68"/>
      <c r="B923" s="69"/>
      <c r="C923" s="73"/>
      <c r="D923" s="71"/>
      <c r="E923" s="71"/>
      <c r="F923" s="71"/>
    </row>
    <row r="924">
      <c r="A924" s="68"/>
      <c r="B924" s="69"/>
      <c r="C924" s="73"/>
      <c r="D924" s="71"/>
      <c r="E924" s="71"/>
      <c r="F924" s="71"/>
    </row>
    <row r="925">
      <c r="A925" s="68"/>
      <c r="B925" s="69"/>
      <c r="C925" s="73"/>
      <c r="D925" s="71"/>
      <c r="E925" s="71"/>
      <c r="F925" s="71"/>
    </row>
    <row r="926">
      <c r="A926" s="68"/>
      <c r="B926" s="69"/>
      <c r="C926" s="73"/>
      <c r="D926" s="71"/>
      <c r="E926" s="71"/>
      <c r="F926" s="71"/>
    </row>
    <row r="927">
      <c r="A927" s="68"/>
      <c r="B927" s="69"/>
      <c r="C927" s="73"/>
      <c r="D927" s="71"/>
      <c r="E927" s="71"/>
      <c r="F927" s="71"/>
    </row>
    <row r="928">
      <c r="A928" s="68"/>
      <c r="B928" s="69"/>
      <c r="C928" s="73"/>
      <c r="D928" s="71"/>
      <c r="E928" s="71"/>
      <c r="F928" s="71"/>
    </row>
    <row r="929">
      <c r="A929" s="68"/>
      <c r="B929" s="69"/>
      <c r="C929" s="73"/>
      <c r="D929" s="71"/>
      <c r="E929" s="71"/>
      <c r="F929" s="71"/>
    </row>
    <row r="930">
      <c r="A930" s="68"/>
      <c r="B930" s="69"/>
      <c r="C930" s="73"/>
      <c r="D930" s="71"/>
      <c r="E930" s="71"/>
      <c r="F930" s="71"/>
    </row>
    <row r="931">
      <c r="A931" s="68"/>
      <c r="B931" s="69"/>
      <c r="C931" s="73"/>
      <c r="D931" s="71"/>
      <c r="E931" s="71"/>
      <c r="F931" s="71"/>
    </row>
    <row r="932">
      <c r="A932" s="68"/>
      <c r="B932" s="69"/>
      <c r="C932" s="73"/>
      <c r="D932" s="71"/>
      <c r="E932" s="71"/>
      <c r="F932" s="71"/>
    </row>
    <row r="933">
      <c r="A933" s="68"/>
      <c r="B933" s="69"/>
      <c r="C933" s="73"/>
      <c r="D933" s="71"/>
      <c r="E933" s="71"/>
      <c r="F933" s="71"/>
    </row>
    <row r="934">
      <c r="A934" s="68"/>
      <c r="B934" s="69"/>
      <c r="C934" s="73"/>
      <c r="D934" s="71"/>
      <c r="E934" s="71"/>
      <c r="F934" s="71"/>
    </row>
    <row r="935">
      <c r="A935" s="68"/>
      <c r="B935" s="69"/>
      <c r="C935" s="73"/>
      <c r="D935" s="71"/>
      <c r="E935" s="71"/>
      <c r="F935" s="71"/>
    </row>
    <row r="936">
      <c r="A936" s="68"/>
      <c r="B936" s="69"/>
      <c r="C936" s="73"/>
      <c r="D936" s="71"/>
      <c r="E936" s="71"/>
      <c r="F936" s="71"/>
    </row>
    <row r="937">
      <c r="A937" s="68"/>
      <c r="B937" s="69"/>
      <c r="C937" s="73"/>
      <c r="D937" s="71"/>
      <c r="E937" s="71"/>
      <c r="F937" s="71"/>
    </row>
    <row r="938">
      <c r="A938" s="68"/>
      <c r="B938" s="69"/>
      <c r="C938" s="73"/>
      <c r="D938" s="71"/>
      <c r="E938" s="71"/>
      <c r="F938" s="71"/>
    </row>
    <row r="939">
      <c r="A939" s="68"/>
      <c r="B939" s="69"/>
      <c r="C939" s="73"/>
      <c r="D939" s="71"/>
      <c r="E939" s="71"/>
      <c r="F939" s="71"/>
    </row>
    <row r="940">
      <c r="A940" s="68"/>
      <c r="B940" s="69"/>
      <c r="C940" s="73"/>
      <c r="D940" s="71"/>
      <c r="E940" s="71"/>
      <c r="F940" s="71"/>
    </row>
    <row r="941">
      <c r="A941" s="68"/>
      <c r="B941" s="69"/>
      <c r="C941" s="73"/>
      <c r="D941" s="71"/>
      <c r="E941" s="71"/>
      <c r="F941" s="71"/>
    </row>
    <row r="942">
      <c r="A942" s="68"/>
      <c r="B942" s="69"/>
      <c r="C942" s="73"/>
      <c r="D942" s="71"/>
      <c r="E942" s="71"/>
      <c r="F942" s="71"/>
    </row>
    <row r="943">
      <c r="A943" s="68"/>
      <c r="B943" s="69"/>
      <c r="C943" s="73"/>
      <c r="D943" s="71"/>
      <c r="E943" s="71"/>
      <c r="F943" s="71"/>
    </row>
    <row r="944">
      <c r="A944" s="68"/>
      <c r="B944" s="69"/>
      <c r="C944" s="73"/>
      <c r="D944" s="71"/>
      <c r="E944" s="71"/>
      <c r="F944" s="71"/>
    </row>
    <row r="945">
      <c r="A945" s="68"/>
      <c r="B945" s="69"/>
      <c r="C945" s="73"/>
      <c r="D945" s="71"/>
      <c r="E945" s="71"/>
      <c r="F945" s="71"/>
    </row>
    <row r="946">
      <c r="A946" s="68"/>
      <c r="B946" s="69"/>
      <c r="C946" s="73"/>
      <c r="D946" s="71"/>
      <c r="E946" s="71"/>
      <c r="F946" s="71"/>
    </row>
    <row r="947">
      <c r="A947" s="68"/>
      <c r="B947" s="69"/>
      <c r="C947" s="73"/>
      <c r="D947" s="71"/>
      <c r="E947" s="71"/>
      <c r="F947" s="71"/>
    </row>
    <row r="948">
      <c r="A948" s="68"/>
      <c r="B948" s="69"/>
      <c r="C948" s="73"/>
      <c r="D948" s="71"/>
      <c r="E948" s="71"/>
      <c r="F948" s="71"/>
    </row>
    <row r="949">
      <c r="A949" s="68"/>
      <c r="B949" s="69"/>
      <c r="C949" s="73"/>
      <c r="D949" s="71"/>
      <c r="E949" s="71"/>
      <c r="F949" s="71"/>
    </row>
    <row r="950">
      <c r="A950" s="68"/>
      <c r="B950" s="69"/>
      <c r="C950" s="73"/>
      <c r="D950" s="71"/>
      <c r="E950" s="71"/>
      <c r="F950" s="71"/>
    </row>
    <row r="951">
      <c r="A951" s="68"/>
      <c r="B951" s="69"/>
      <c r="C951" s="73"/>
      <c r="D951" s="71"/>
      <c r="E951" s="71"/>
      <c r="F951" s="71"/>
    </row>
    <row r="952">
      <c r="A952" s="68"/>
      <c r="B952" s="69"/>
      <c r="C952" s="73"/>
      <c r="D952" s="71"/>
      <c r="E952" s="71"/>
      <c r="F952" s="71"/>
    </row>
    <row r="953">
      <c r="A953" s="68"/>
      <c r="B953" s="69"/>
      <c r="C953" s="73"/>
      <c r="D953" s="71"/>
      <c r="E953" s="71"/>
      <c r="F953" s="71"/>
    </row>
    <row r="954">
      <c r="A954" s="68"/>
      <c r="B954" s="69"/>
      <c r="C954" s="73"/>
      <c r="D954" s="71"/>
      <c r="E954" s="71"/>
      <c r="F954" s="71"/>
    </row>
    <row r="955">
      <c r="A955" s="68"/>
      <c r="B955" s="69"/>
      <c r="C955" s="73"/>
      <c r="D955" s="71"/>
      <c r="E955" s="71"/>
      <c r="F955" s="71"/>
    </row>
    <row r="956">
      <c r="A956" s="68"/>
      <c r="B956" s="69"/>
      <c r="C956" s="73"/>
      <c r="D956" s="71"/>
      <c r="E956" s="71"/>
      <c r="F956" s="71"/>
    </row>
    <row r="957">
      <c r="A957" s="68"/>
      <c r="B957" s="69"/>
      <c r="C957" s="73"/>
      <c r="D957" s="71"/>
      <c r="E957" s="71"/>
      <c r="F957" s="71"/>
    </row>
    <row r="958">
      <c r="A958" s="68"/>
      <c r="B958" s="69"/>
      <c r="C958" s="73"/>
      <c r="D958" s="71"/>
      <c r="E958" s="71"/>
      <c r="F958" s="71"/>
    </row>
    <row r="959">
      <c r="A959" s="68"/>
      <c r="B959" s="69"/>
      <c r="C959" s="73"/>
      <c r="D959" s="71"/>
      <c r="E959" s="71"/>
      <c r="F959" s="71"/>
    </row>
    <row r="960">
      <c r="A960" s="68"/>
      <c r="B960" s="69"/>
      <c r="C960" s="73"/>
      <c r="D960" s="71"/>
      <c r="E960" s="71"/>
      <c r="F960" s="71"/>
    </row>
    <row r="961">
      <c r="A961" s="68"/>
      <c r="B961" s="69"/>
      <c r="C961" s="73"/>
      <c r="D961" s="71"/>
      <c r="E961" s="71"/>
      <c r="F961" s="71"/>
    </row>
    <row r="962">
      <c r="A962" s="68"/>
      <c r="B962" s="69"/>
      <c r="C962" s="73"/>
      <c r="D962" s="71"/>
      <c r="E962" s="71"/>
      <c r="F962" s="71"/>
    </row>
    <row r="963">
      <c r="A963" s="68"/>
      <c r="B963" s="69"/>
      <c r="C963" s="73"/>
      <c r="D963" s="71"/>
      <c r="E963" s="71"/>
      <c r="F963" s="71"/>
    </row>
    <row r="964">
      <c r="A964" s="68"/>
      <c r="B964" s="69"/>
      <c r="C964" s="73"/>
      <c r="D964" s="71"/>
      <c r="E964" s="71"/>
      <c r="F964" s="71"/>
    </row>
    <row r="965">
      <c r="A965" s="68"/>
      <c r="B965" s="69"/>
      <c r="C965" s="73"/>
      <c r="D965" s="71"/>
      <c r="E965" s="71"/>
      <c r="F965" s="71"/>
    </row>
    <row r="966">
      <c r="A966" s="68"/>
      <c r="B966" s="69"/>
      <c r="C966" s="73"/>
      <c r="D966" s="71"/>
      <c r="E966" s="71"/>
      <c r="F966" s="71"/>
    </row>
    <row r="967">
      <c r="A967" s="68"/>
      <c r="B967" s="69"/>
      <c r="C967" s="73"/>
      <c r="D967" s="71"/>
      <c r="E967" s="71"/>
      <c r="F967" s="71"/>
    </row>
    <row r="968">
      <c r="A968" s="68"/>
      <c r="B968" s="69"/>
      <c r="C968" s="73"/>
      <c r="D968" s="71"/>
      <c r="E968" s="71"/>
      <c r="F968" s="71"/>
    </row>
    <row r="969">
      <c r="A969" s="68"/>
      <c r="B969" s="69"/>
      <c r="C969" s="73"/>
      <c r="D969" s="71"/>
      <c r="E969" s="71"/>
      <c r="F969" s="71"/>
    </row>
    <row r="970">
      <c r="A970" s="68"/>
      <c r="B970" s="69"/>
      <c r="C970" s="73"/>
      <c r="D970" s="71"/>
      <c r="E970" s="71"/>
      <c r="F970" s="71"/>
    </row>
    <row r="971">
      <c r="A971" s="68"/>
      <c r="B971" s="69"/>
      <c r="C971" s="73"/>
      <c r="D971" s="71"/>
      <c r="E971" s="71"/>
      <c r="F971" s="71"/>
    </row>
    <row r="972">
      <c r="A972" s="68"/>
      <c r="B972" s="69"/>
      <c r="C972" s="73"/>
      <c r="D972" s="71"/>
      <c r="E972" s="71"/>
      <c r="F972" s="71"/>
    </row>
    <row r="973">
      <c r="A973" s="68"/>
      <c r="B973" s="69"/>
      <c r="C973" s="73"/>
      <c r="D973" s="71"/>
      <c r="E973" s="71"/>
      <c r="F973" s="71"/>
    </row>
    <row r="974">
      <c r="A974" s="68"/>
      <c r="B974" s="69"/>
      <c r="C974" s="73"/>
      <c r="D974" s="71"/>
      <c r="E974" s="71"/>
      <c r="F974" s="71"/>
    </row>
    <row r="975">
      <c r="A975" s="68"/>
      <c r="B975" s="69"/>
      <c r="C975" s="73"/>
      <c r="D975" s="71"/>
      <c r="E975" s="71"/>
      <c r="F975" s="71"/>
    </row>
    <row r="976">
      <c r="A976" s="68"/>
      <c r="B976" s="69"/>
      <c r="C976" s="73"/>
      <c r="D976" s="71"/>
      <c r="E976" s="71"/>
      <c r="F976" s="71"/>
    </row>
    <row r="977">
      <c r="A977" s="68"/>
      <c r="B977" s="69"/>
      <c r="C977" s="73"/>
      <c r="D977" s="71"/>
      <c r="E977" s="71"/>
      <c r="F977" s="71"/>
    </row>
    <row r="978">
      <c r="A978" s="68"/>
      <c r="B978" s="69"/>
      <c r="C978" s="73"/>
      <c r="D978" s="71"/>
      <c r="E978" s="71"/>
      <c r="F978" s="71"/>
    </row>
    <row r="979">
      <c r="A979" s="68"/>
      <c r="B979" s="69"/>
      <c r="C979" s="73"/>
      <c r="D979" s="71"/>
      <c r="E979" s="71"/>
      <c r="F979" s="71"/>
    </row>
    <row r="980">
      <c r="A980" s="68"/>
      <c r="B980" s="69"/>
      <c r="C980" s="73"/>
      <c r="D980" s="71"/>
      <c r="E980" s="71"/>
      <c r="F980" s="71"/>
    </row>
    <row r="981">
      <c r="A981" s="68"/>
      <c r="B981" s="69"/>
      <c r="C981" s="73"/>
      <c r="D981" s="71"/>
      <c r="E981" s="71"/>
      <c r="F981" s="71"/>
    </row>
    <row r="982">
      <c r="A982" s="68"/>
      <c r="B982" s="69"/>
      <c r="C982" s="73"/>
      <c r="D982" s="71"/>
      <c r="E982" s="71"/>
      <c r="F982" s="71"/>
    </row>
    <row r="983">
      <c r="A983" s="68"/>
      <c r="B983" s="69"/>
      <c r="C983" s="73"/>
      <c r="D983" s="71"/>
      <c r="E983" s="71"/>
      <c r="F983" s="71"/>
    </row>
    <row r="984">
      <c r="A984" s="68"/>
      <c r="B984" s="69"/>
      <c r="C984" s="73"/>
      <c r="D984" s="71"/>
      <c r="E984" s="71"/>
      <c r="F984" s="71"/>
    </row>
    <row r="985">
      <c r="A985" s="68"/>
      <c r="B985" s="69"/>
      <c r="C985" s="73"/>
      <c r="D985" s="71"/>
      <c r="E985" s="71"/>
      <c r="F985" s="71"/>
    </row>
    <row r="986">
      <c r="A986" s="68"/>
      <c r="B986" s="69"/>
      <c r="C986" s="73"/>
      <c r="D986" s="71"/>
      <c r="E986" s="71"/>
      <c r="F986" s="71"/>
    </row>
    <row r="987">
      <c r="A987" s="68"/>
      <c r="B987" s="69"/>
      <c r="C987" s="73"/>
      <c r="D987" s="71"/>
      <c r="E987" s="71"/>
      <c r="F987" s="71"/>
    </row>
    <row r="988">
      <c r="A988" s="68"/>
      <c r="B988" s="69"/>
      <c r="C988" s="73"/>
      <c r="D988" s="71"/>
      <c r="E988" s="71"/>
      <c r="F988" s="71"/>
    </row>
    <row r="989">
      <c r="A989" s="68"/>
      <c r="B989" s="69"/>
      <c r="C989" s="73"/>
      <c r="D989" s="71"/>
      <c r="E989" s="71"/>
      <c r="F989" s="71"/>
    </row>
    <row r="990">
      <c r="A990" s="68"/>
      <c r="B990" s="69"/>
      <c r="C990" s="73"/>
      <c r="D990" s="71"/>
      <c r="E990" s="71"/>
      <c r="F990" s="71"/>
    </row>
    <row r="991">
      <c r="A991" s="68"/>
      <c r="B991" s="69"/>
      <c r="C991" s="73"/>
      <c r="D991" s="71"/>
      <c r="E991" s="71"/>
      <c r="F991" s="71"/>
    </row>
    <row r="992">
      <c r="A992" s="68"/>
      <c r="B992" s="69"/>
      <c r="C992" s="73"/>
      <c r="D992" s="71"/>
      <c r="E992" s="71"/>
      <c r="F992" s="71"/>
    </row>
    <row r="993">
      <c r="A993" s="68"/>
      <c r="B993" s="69"/>
      <c r="C993" s="73"/>
      <c r="D993" s="71"/>
      <c r="E993" s="71"/>
      <c r="F993" s="71"/>
    </row>
    <row r="994">
      <c r="A994" s="68"/>
      <c r="B994" s="69"/>
      <c r="C994" s="73"/>
      <c r="D994" s="71"/>
      <c r="E994" s="71"/>
      <c r="F994" s="71"/>
    </row>
    <row r="995">
      <c r="A995" s="68"/>
      <c r="B995" s="69"/>
      <c r="C995" s="73"/>
      <c r="D995" s="71"/>
      <c r="E995" s="71"/>
      <c r="F995" s="71"/>
    </row>
    <row r="996">
      <c r="A996" s="68"/>
      <c r="B996" s="69"/>
      <c r="C996" s="73"/>
      <c r="D996" s="71"/>
      <c r="E996" s="71"/>
      <c r="F996" s="71"/>
    </row>
    <row r="997">
      <c r="A997" s="68"/>
      <c r="B997" s="69"/>
      <c r="C997" s="73"/>
      <c r="D997" s="71"/>
      <c r="E997" s="71"/>
      <c r="F997" s="71"/>
    </row>
    <row r="998">
      <c r="A998" s="68"/>
      <c r="B998" s="69"/>
      <c r="C998" s="73"/>
      <c r="D998" s="71"/>
      <c r="E998" s="71"/>
      <c r="F998" s="71"/>
    </row>
    <row r="999">
      <c r="A999" s="68"/>
      <c r="B999" s="69"/>
      <c r="C999" s="73"/>
      <c r="D999" s="71"/>
      <c r="E999" s="71"/>
      <c r="F999" s="71"/>
    </row>
    <row r="1000">
      <c r="A1000" s="68"/>
      <c r="B1000" s="69"/>
      <c r="C1000" s="73"/>
      <c r="D1000" s="71"/>
      <c r="E1000" s="71"/>
      <c r="F1000" s="71"/>
    </row>
    <row r="1001">
      <c r="A1001" s="68"/>
      <c r="B1001" s="69"/>
      <c r="C1001" s="73"/>
      <c r="D1001" s="71"/>
      <c r="E1001" s="71"/>
      <c r="F1001" s="71"/>
    </row>
    <row r="1002">
      <c r="A1002" s="68"/>
      <c r="B1002" s="69"/>
      <c r="C1002" s="73"/>
      <c r="D1002" s="71"/>
      <c r="E1002" s="71"/>
      <c r="F1002" s="71"/>
    </row>
    <row r="1003">
      <c r="A1003" s="68"/>
      <c r="B1003" s="69"/>
      <c r="C1003" s="73"/>
      <c r="D1003" s="71"/>
      <c r="E1003" s="71"/>
      <c r="F1003" s="71"/>
    </row>
    <row r="1004">
      <c r="A1004" s="68"/>
      <c r="B1004" s="69"/>
      <c r="C1004" s="73"/>
      <c r="D1004" s="71"/>
      <c r="E1004" s="71"/>
      <c r="F1004" s="71"/>
    </row>
  </sheetData>
  <conditionalFormatting sqref="E45">
    <cfRule type="notContainsBlanks" dxfId="5" priority="1">
      <formula>LEN(TRIM(E45))&gt;0</formula>
    </cfRule>
  </conditionalFormatting>
  <conditionalFormatting sqref="E45">
    <cfRule type="containsBlanks" dxfId="6" priority="2">
      <formula>LEN(TRIM(E45))=0</formula>
    </cfRule>
  </conditionalFormatting>
  <conditionalFormatting sqref="E3:E59">
    <cfRule type="containsText" dxfId="7" priority="3" operator="containsText" text="MENSALIDADE">
      <formula>NOT(ISERROR(SEARCH(("MENSALIDADE"),(E3))))</formula>
    </cfRule>
  </conditionalFormatting>
  <conditionalFormatting sqref="E3:E59">
    <cfRule type="containsText" dxfId="8" priority="4" operator="containsText" text="CAMISETA">
      <formula>NOT(ISERROR(SEARCH(("CAMISETA"),(E3))))</formula>
    </cfRule>
  </conditionalFormatting>
  <conditionalFormatting sqref="E3:E59">
    <cfRule type="containsText" dxfId="8" priority="5" operator="containsText" text="UNIFORME">
      <formula>NOT(ISERROR(SEARCH(("UNIFORME"),(E3))))</formula>
    </cfRule>
  </conditionalFormatting>
  <conditionalFormatting sqref="E3:E59">
    <cfRule type="containsText" dxfId="8" priority="6" operator="containsText" text="CAMISA">
      <formula>NOT(ISERROR(SEARCH(("CAMISA"),(E3))))</formula>
    </cfRule>
  </conditionalFormatting>
  <conditionalFormatting sqref="E3:E59">
    <cfRule type="containsText" dxfId="8" priority="7" operator="containsText" text="MEIÃO">
      <formula>NOT(ISERROR(SEARCH(("MEIÃO"),(E3))))</formula>
    </cfRule>
  </conditionalFormatting>
  <conditionalFormatting sqref="E3:E68">
    <cfRule type="containsText" dxfId="8" priority="8" operator="containsText" text="CALÇÃO">
      <formula>NOT(ISERROR(SEARCH(("CALÇÃO"),(E3))))</formula>
    </cfRule>
  </conditionalFormatting>
  <dataValidations>
    <dataValidation type="list" allowBlank="1" sqref="F3:F59">
      <formula1>"MENSALIDADE,UNIFORME,OUTROS"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3.0"/>
    <col customWidth="1" min="5" max="5" width="74.25"/>
    <col customWidth="1" min="6" max="6" width="27.5"/>
    <col customWidth="1" min="7" max="7" width="17.75"/>
    <col customWidth="1" min="8" max="8" width="14.88"/>
    <col customWidth="1" min="9" max="9" width="21.13"/>
  </cols>
  <sheetData>
    <row r="1">
      <c r="A1" s="336"/>
      <c r="B1" s="337"/>
      <c r="C1" s="338"/>
      <c r="D1" s="339"/>
      <c r="E1" s="340" t="s">
        <v>984</v>
      </c>
      <c r="F1" s="339"/>
    </row>
    <row r="2">
      <c r="A2" s="341" t="s">
        <v>2</v>
      </c>
      <c r="B2" s="342" t="s">
        <v>3</v>
      </c>
      <c r="C2" s="343" t="s">
        <v>987</v>
      </c>
      <c r="D2" s="344" t="s">
        <v>5</v>
      </c>
      <c r="E2" s="344" t="s">
        <v>988</v>
      </c>
      <c r="F2" s="344" t="s">
        <v>88</v>
      </c>
      <c r="G2" s="30" t="s">
        <v>17</v>
      </c>
      <c r="H2" s="31" t="s">
        <v>19</v>
      </c>
      <c r="I2" s="33" t="s">
        <v>21</v>
      </c>
    </row>
    <row r="3">
      <c r="A3" s="341"/>
      <c r="B3" s="342"/>
      <c r="C3" s="70"/>
      <c r="D3" s="344"/>
      <c r="E3" s="12"/>
      <c r="F3" s="344"/>
      <c r="G3" s="42"/>
      <c r="H3" s="49"/>
      <c r="I3" s="53"/>
    </row>
    <row r="4">
      <c r="A4" s="341"/>
      <c r="B4" s="342"/>
      <c r="C4" s="70"/>
      <c r="D4" s="344"/>
      <c r="E4" s="12"/>
      <c r="F4" s="344"/>
      <c r="G4" s="42"/>
      <c r="H4" s="49"/>
      <c r="I4" s="53"/>
    </row>
    <row r="5">
      <c r="A5" s="341"/>
      <c r="B5" s="342"/>
      <c r="C5" s="70"/>
      <c r="D5" s="344"/>
      <c r="E5" s="12"/>
      <c r="F5" s="344"/>
      <c r="G5" s="42">
        <f>SUM(B2:B43)</f>
        <v>0</v>
      </c>
      <c r="H5" s="49">
        <f>SUM(C5:C43)</f>
        <v>0</v>
      </c>
      <c r="I5" s="53">
        <f>G5-H5</f>
        <v>0</v>
      </c>
    </row>
    <row r="6">
      <c r="A6" s="341"/>
      <c r="B6" s="342"/>
      <c r="C6" s="70"/>
      <c r="D6" s="344"/>
      <c r="E6" s="12"/>
      <c r="F6" s="344"/>
    </row>
    <row r="7">
      <c r="A7" s="341"/>
      <c r="B7" s="342"/>
      <c r="C7" s="70"/>
      <c r="D7" s="344"/>
      <c r="E7" s="12"/>
      <c r="F7" s="344"/>
    </row>
    <row r="8">
      <c r="A8" s="341"/>
      <c r="B8" s="342"/>
      <c r="C8" s="70"/>
      <c r="D8" s="344"/>
      <c r="E8" s="12"/>
      <c r="F8" s="344"/>
    </row>
    <row r="9">
      <c r="A9" s="341"/>
      <c r="B9" s="342"/>
      <c r="C9" s="70"/>
      <c r="D9" s="344"/>
      <c r="E9" s="12"/>
      <c r="F9" s="344"/>
    </row>
    <row r="10">
      <c r="A10" s="341"/>
      <c r="B10" s="342"/>
      <c r="C10" s="70"/>
      <c r="D10" s="344"/>
      <c r="E10" s="12"/>
      <c r="F10" s="71"/>
    </row>
    <row r="11">
      <c r="A11" s="341"/>
      <c r="B11" s="342"/>
      <c r="C11" s="70"/>
      <c r="D11" s="344"/>
      <c r="E11" s="12"/>
      <c r="F11" s="71"/>
    </row>
    <row r="12">
      <c r="A12" s="341"/>
      <c r="B12" s="342"/>
      <c r="C12" s="70"/>
      <c r="D12" s="344"/>
      <c r="E12" s="12"/>
      <c r="F12" s="71"/>
    </row>
    <row r="13">
      <c r="A13" s="341"/>
      <c r="B13" s="342"/>
      <c r="C13" s="70"/>
      <c r="D13" s="344"/>
      <c r="E13" s="12"/>
      <c r="F13" s="71"/>
    </row>
    <row r="14">
      <c r="A14" s="345"/>
      <c r="B14" s="346"/>
      <c r="C14" s="70"/>
      <c r="D14" s="347"/>
      <c r="E14" s="12"/>
      <c r="F14" s="71"/>
    </row>
    <row r="15">
      <c r="A15" s="345"/>
      <c r="B15" s="346"/>
      <c r="C15" s="70"/>
      <c r="D15" s="347"/>
      <c r="E15" s="12"/>
      <c r="F15" s="71"/>
    </row>
    <row r="16">
      <c r="A16" s="341"/>
      <c r="B16" s="342"/>
      <c r="C16" s="70"/>
      <c r="D16" s="344"/>
      <c r="E16" s="12"/>
      <c r="F16" s="71"/>
    </row>
    <row r="17">
      <c r="A17" s="345"/>
      <c r="B17" s="346"/>
      <c r="C17" s="70"/>
      <c r="D17" s="347"/>
      <c r="E17" s="12"/>
      <c r="F17" s="71"/>
    </row>
    <row r="18">
      <c r="A18" s="345"/>
      <c r="B18" s="346"/>
      <c r="C18" s="70"/>
      <c r="D18" s="347"/>
      <c r="E18" s="12"/>
      <c r="F18" s="71"/>
    </row>
    <row r="19">
      <c r="A19" s="345"/>
      <c r="B19" s="346"/>
      <c r="C19" s="70"/>
      <c r="D19" s="347"/>
      <c r="E19" s="12"/>
      <c r="F19" s="71"/>
    </row>
    <row r="20">
      <c r="A20" s="341"/>
      <c r="B20" s="342"/>
      <c r="C20" s="70"/>
      <c r="D20" s="344"/>
      <c r="E20" s="12"/>
      <c r="F20" s="71"/>
    </row>
    <row r="21">
      <c r="A21" s="341"/>
      <c r="B21" s="342"/>
      <c r="C21" s="70"/>
      <c r="D21" s="344"/>
      <c r="E21" s="12"/>
      <c r="F21" s="71"/>
    </row>
    <row r="22">
      <c r="A22" s="341"/>
      <c r="B22" s="342"/>
      <c r="C22" s="70"/>
      <c r="D22" s="344"/>
      <c r="E22" s="12"/>
      <c r="F22" s="71"/>
    </row>
    <row r="23">
      <c r="A23" s="341"/>
      <c r="B23" s="342"/>
      <c r="C23" s="70"/>
      <c r="D23" s="344"/>
      <c r="E23" s="12"/>
      <c r="F23" s="71"/>
    </row>
    <row r="24">
      <c r="A24" s="341"/>
      <c r="B24" s="342"/>
      <c r="C24" s="70"/>
      <c r="D24" s="344"/>
      <c r="E24" s="12"/>
      <c r="F24" s="71"/>
    </row>
    <row r="25">
      <c r="A25" s="341"/>
      <c r="B25" s="342"/>
      <c r="C25" s="348"/>
      <c r="D25" s="344"/>
      <c r="E25" s="12"/>
      <c r="F25" s="71"/>
    </row>
    <row r="26">
      <c r="A26" s="341"/>
      <c r="B26" s="342"/>
      <c r="C26" s="348"/>
      <c r="D26" s="344"/>
      <c r="E26" s="12"/>
      <c r="F26" s="71"/>
    </row>
    <row r="27">
      <c r="A27" s="341"/>
      <c r="B27" s="342"/>
      <c r="C27" s="70"/>
      <c r="D27" s="344"/>
      <c r="E27" s="344"/>
      <c r="F27" s="71"/>
    </row>
    <row r="28">
      <c r="A28" s="341"/>
      <c r="B28" s="342"/>
      <c r="C28" s="70"/>
      <c r="D28" s="344"/>
      <c r="E28" s="344"/>
      <c r="F28" s="71"/>
    </row>
    <row r="29">
      <c r="A29" s="341"/>
      <c r="B29" s="342"/>
      <c r="C29" s="70"/>
      <c r="D29" s="344"/>
      <c r="E29" s="344"/>
      <c r="F29" s="71"/>
    </row>
    <row r="30">
      <c r="A30" s="341"/>
      <c r="B30" s="342"/>
      <c r="C30" s="70"/>
      <c r="D30" s="344"/>
      <c r="E30" s="344"/>
      <c r="F30" s="71"/>
    </row>
    <row r="31">
      <c r="A31" s="341"/>
      <c r="B31" s="342"/>
      <c r="C31" s="70"/>
      <c r="D31" s="344"/>
      <c r="E31" s="344"/>
      <c r="F31" s="71"/>
    </row>
    <row r="32">
      <c r="A32" s="341"/>
      <c r="B32" s="69"/>
      <c r="C32" s="70"/>
      <c r="D32" s="71"/>
      <c r="E32" s="71"/>
      <c r="F32" s="71"/>
    </row>
    <row r="33">
      <c r="A33" s="341"/>
      <c r="B33" s="69"/>
      <c r="C33" s="70"/>
      <c r="D33" s="71"/>
      <c r="E33" s="71"/>
      <c r="F33" s="71"/>
    </row>
    <row r="34">
      <c r="A34" s="341"/>
      <c r="B34" s="69"/>
      <c r="C34" s="70"/>
      <c r="D34" s="71"/>
      <c r="E34" s="71"/>
      <c r="F34" s="71"/>
    </row>
    <row r="35">
      <c r="A35" s="341"/>
      <c r="B35" s="69"/>
      <c r="C35" s="70"/>
      <c r="D35" s="71"/>
      <c r="E35" s="71"/>
      <c r="F35" s="71"/>
    </row>
    <row r="36">
      <c r="A36" s="341"/>
      <c r="B36" s="69"/>
      <c r="C36" s="70"/>
      <c r="D36" s="71"/>
      <c r="E36" s="71"/>
      <c r="F36" s="71"/>
    </row>
    <row r="37">
      <c r="A37" s="341"/>
      <c r="B37" s="69"/>
      <c r="C37" s="70"/>
      <c r="D37" s="71"/>
      <c r="E37" s="71"/>
      <c r="F37" s="71"/>
    </row>
    <row r="38">
      <c r="A38" s="341"/>
      <c r="B38" s="69"/>
      <c r="C38" s="70"/>
      <c r="D38" s="71"/>
      <c r="E38" s="71"/>
      <c r="F38" s="71"/>
    </row>
    <row r="39">
      <c r="A39" s="341"/>
      <c r="B39" s="69"/>
      <c r="C39" s="70"/>
      <c r="D39" s="71"/>
      <c r="E39" s="71"/>
      <c r="F39" s="71"/>
    </row>
    <row r="40">
      <c r="A40" s="341"/>
      <c r="B40" s="69"/>
      <c r="C40" s="70"/>
      <c r="D40" s="71"/>
      <c r="E40" s="71"/>
      <c r="F40" s="71"/>
    </row>
    <row r="41">
      <c r="A41" s="341"/>
      <c r="B41" s="69"/>
      <c r="C41" s="70"/>
      <c r="D41" s="71"/>
      <c r="E41" s="71"/>
      <c r="F41" s="71"/>
    </row>
    <row r="42">
      <c r="A42" s="341"/>
      <c r="B42" s="69"/>
      <c r="C42" s="70"/>
      <c r="D42" s="71"/>
      <c r="E42" s="71"/>
      <c r="F42" s="71"/>
    </row>
    <row r="43">
      <c r="A43" s="341"/>
      <c r="B43" s="69"/>
      <c r="C43" s="70"/>
      <c r="D43" s="71"/>
      <c r="E43" s="71"/>
      <c r="F43" s="71"/>
    </row>
    <row r="44">
      <c r="A44" s="341"/>
      <c r="B44" s="69"/>
      <c r="C44" s="70"/>
      <c r="D44" s="71"/>
      <c r="E44" s="71"/>
      <c r="F44" s="71"/>
    </row>
    <row r="45">
      <c r="A45" s="341"/>
      <c r="B45" s="69"/>
      <c r="C45" s="70"/>
      <c r="D45" s="71"/>
      <c r="E45" s="71"/>
      <c r="F45" s="71"/>
    </row>
    <row r="46">
      <c r="A46" s="341"/>
      <c r="B46" s="69"/>
      <c r="C46" s="70"/>
      <c r="D46" s="71"/>
      <c r="E46" s="71"/>
      <c r="F46" s="71"/>
    </row>
    <row r="47">
      <c r="A47" s="341"/>
      <c r="B47" s="69"/>
      <c r="C47" s="70"/>
      <c r="D47" s="71"/>
      <c r="E47" s="71"/>
      <c r="F47" s="71"/>
    </row>
    <row r="48">
      <c r="A48" s="341"/>
      <c r="B48" s="69"/>
      <c r="C48" s="70"/>
      <c r="D48" s="71"/>
      <c r="E48" s="71"/>
      <c r="F48" s="71"/>
    </row>
    <row r="49">
      <c r="A49" s="341"/>
      <c r="B49" s="69"/>
      <c r="C49" s="70"/>
      <c r="D49" s="71"/>
      <c r="E49" s="71"/>
      <c r="F49" s="71"/>
    </row>
    <row r="50">
      <c r="A50" s="341"/>
      <c r="B50" s="69"/>
      <c r="C50" s="70"/>
      <c r="D50" s="71"/>
      <c r="E50" s="71"/>
      <c r="F50" s="71"/>
    </row>
    <row r="51">
      <c r="A51" s="341"/>
      <c r="B51" s="69"/>
      <c r="C51" s="70"/>
      <c r="D51" s="71"/>
      <c r="E51" s="71"/>
      <c r="F51" s="71"/>
    </row>
    <row r="52">
      <c r="A52" s="341"/>
      <c r="B52" s="69"/>
      <c r="C52" s="70"/>
      <c r="D52" s="71"/>
      <c r="E52" s="71"/>
      <c r="F52" s="71"/>
    </row>
    <row r="53">
      <c r="A53" s="341"/>
      <c r="B53" s="69"/>
      <c r="C53" s="70"/>
      <c r="D53" s="71"/>
      <c r="E53" s="71"/>
      <c r="F53" s="71"/>
    </row>
    <row r="54">
      <c r="A54" s="341"/>
      <c r="B54" s="69"/>
      <c r="C54" s="70"/>
      <c r="D54" s="71"/>
      <c r="E54" s="71"/>
      <c r="F54" s="71"/>
    </row>
    <row r="55">
      <c r="A55" s="341"/>
      <c r="B55" s="69"/>
      <c r="C55" s="70"/>
      <c r="D55" s="71"/>
      <c r="E55" s="71"/>
      <c r="F55" s="71"/>
    </row>
    <row r="56">
      <c r="A56" s="341"/>
      <c r="B56" s="69"/>
      <c r="C56" s="70"/>
      <c r="D56" s="71"/>
      <c r="E56" s="71"/>
      <c r="F56" s="71"/>
    </row>
    <row r="57">
      <c r="A57" s="341"/>
      <c r="B57" s="69"/>
      <c r="C57" s="70"/>
      <c r="D57" s="71"/>
      <c r="E57" s="71"/>
      <c r="F57" s="71"/>
    </row>
    <row r="58">
      <c r="A58" s="341"/>
      <c r="B58" s="69"/>
      <c r="C58" s="70"/>
      <c r="D58" s="71"/>
      <c r="E58" s="71"/>
      <c r="F58" s="71"/>
    </row>
    <row r="59">
      <c r="A59" s="68"/>
      <c r="B59" s="69"/>
      <c r="C59" s="70"/>
      <c r="D59" s="71"/>
      <c r="E59" s="71"/>
      <c r="F59" s="71"/>
    </row>
    <row r="60">
      <c r="A60" s="68"/>
      <c r="B60" s="69"/>
      <c r="C60" s="70"/>
      <c r="D60" s="71"/>
      <c r="E60" s="71"/>
      <c r="F60" s="71"/>
    </row>
    <row r="61">
      <c r="A61" s="68"/>
      <c r="B61" s="69"/>
      <c r="C61" s="70"/>
      <c r="D61" s="71"/>
      <c r="E61" s="71"/>
      <c r="F61" s="71"/>
    </row>
    <row r="62">
      <c r="A62" s="68"/>
      <c r="B62" s="69"/>
      <c r="C62" s="70"/>
      <c r="D62" s="71"/>
      <c r="E62" s="71"/>
      <c r="F62" s="71"/>
    </row>
    <row r="63">
      <c r="A63" s="68"/>
      <c r="B63" s="69"/>
      <c r="C63" s="70"/>
      <c r="D63" s="71"/>
      <c r="E63" s="71"/>
      <c r="F63" s="71"/>
    </row>
    <row r="64">
      <c r="A64" s="68"/>
      <c r="B64" s="69"/>
      <c r="C64" s="70"/>
      <c r="D64" s="71"/>
      <c r="E64" s="71"/>
      <c r="F64" s="71"/>
    </row>
    <row r="65">
      <c r="A65" s="68"/>
      <c r="B65" s="69"/>
      <c r="C65" s="70"/>
      <c r="D65" s="71"/>
      <c r="E65" s="71"/>
      <c r="F65" s="71"/>
    </row>
    <row r="66">
      <c r="A66" s="68"/>
      <c r="B66" s="69"/>
      <c r="C66" s="70"/>
      <c r="D66" s="71"/>
      <c r="E66" s="71"/>
      <c r="F66" s="71"/>
    </row>
    <row r="67">
      <c r="A67" s="68"/>
      <c r="B67" s="69"/>
      <c r="C67" s="70"/>
      <c r="D67" s="71"/>
      <c r="E67" s="71"/>
      <c r="F67" s="71"/>
    </row>
    <row r="68">
      <c r="A68" s="68"/>
      <c r="B68" s="69"/>
      <c r="C68" s="70"/>
      <c r="D68" s="71"/>
      <c r="E68" s="71"/>
      <c r="F68" s="71"/>
    </row>
    <row r="69">
      <c r="A69" s="68"/>
      <c r="B69" s="69"/>
      <c r="C69" s="70"/>
      <c r="D69" s="71"/>
      <c r="E69" s="71"/>
      <c r="F69" s="71"/>
    </row>
    <row r="70">
      <c r="A70" s="68"/>
      <c r="B70" s="69"/>
      <c r="C70" s="70"/>
      <c r="D70" s="71"/>
      <c r="E70" s="71"/>
      <c r="F70" s="71"/>
    </row>
    <row r="71">
      <c r="A71" s="68"/>
      <c r="B71" s="69"/>
      <c r="C71" s="70"/>
      <c r="D71" s="71"/>
      <c r="E71" s="71"/>
      <c r="F71" s="71"/>
    </row>
    <row r="72">
      <c r="A72" s="68"/>
      <c r="B72" s="69"/>
      <c r="C72" s="70"/>
      <c r="D72" s="71"/>
      <c r="E72" s="71"/>
      <c r="F72" s="71"/>
    </row>
    <row r="73">
      <c r="A73" s="68"/>
      <c r="B73" s="69"/>
      <c r="C73" s="70"/>
      <c r="D73" s="71"/>
      <c r="E73" s="71"/>
      <c r="F73" s="71"/>
    </row>
    <row r="74">
      <c r="A74" s="68"/>
      <c r="B74" s="69"/>
      <c r="C74" s="70"/>
      <c r="D74" s="71"/>
      <c r="E74" s="71"/>
      <c r="F74" s="71"/>
    </row>
    <row r="75">
      <c r="A75" s="68"/>
      <c r="B75" s="69"/>
      <c r="C75" s="70"/>
      <c r="D75" s="71"/>
      <c r="E75" s="71"/>
      <c r="F75" s="71"/>
    </row>
    <row r="76">
      <c r="A76" s="68"/>
      <c r="B76" s="69"/>
      <c r="C76" s="70"/>
      <c r="D76" s="71"/>
      <c r="E76" s="71"/>
      <c r="F76" s="71"/>
    </row>
    <row r="77">
      <c r="A77" s="68"/>
      <c r="B77" s="69"/>
      <c r="C77" s="73"/>
      <c r="D77" s="71"/>
      <c r="E77" s="71"/>
      <c r="F77" s="71"/>
    </row>
    <row r="78">
      <c r="A78" s="68"/>
      <c r="B78" s="69"/>
      <c r="C78" s="73"/>
      <c r="D78" s="71"/>
      <c r="E78" s="71"/>
      <c r="F78" s="71"/>
    </row>
    <row r="79">
      <c r="A79" s="68"/>
      <c r="B79" s="69"/>
      <c r="C79" s="73"/>
      <c r="D79" s="71"/>
      <c r="E79" s="71"/>
      <c r="F79" s="71"/>
    </row>
    <row r="80">
      <c r="A80" s="68"/>
      <c r="B80" s="69"/>
      <c r="C80" s="73"/>
      <c r="D80" s="71"/>
      <c r="E80" s="71"/>
      <c r="F80" s="71"/>
    </row>
    <row r="81">
      <c r="A81" s="68"/>
      <c r="B81" s="69"/>
      <c r="C81" s="73"/>
      <c r="D81" s="71"/>
      <c r="E81" s="71"/>
      <c r="F81" s="71"/>
    </row>
    <row r="82">
      <c r="A82" s="68"/>
      <c r="B82" s="69"/>
      <c r="C82" s="73"/>
      <c r="D82" s="71"/>
      <c r="E82" s="71"/>
      <c r="F82" s="71"/>
    </row>
    <row r="83">
      <c r="A83" s="68"/>
      <c r="B83" s="69"/>
      <c r="C83" s="73"/>
      <c r="D83" s="71"/>
      <c r="E83" s="71"/>
      <c r="F83" s="71"/>
    </row>
    <row r="84">
      <c r="A84" s="68"/>
      <c r="B84" s="69"/>
      <c r="C84" s="73"/>
      <c r="D84" s="71"/>
      <c r="E84" s="71"/>
      <c r="F84" s="71"/>
    </row>
    <row r="85">
      <c r="A85" s="68"/>
      <c r="B85" s="69"/>
      <c r="C85" s="73"/>
      <c r="D85" s="71"/>
      <c r="E85" s="71"/>
      <c r="F85" s="71"/>
    </row>
    <row r="86">
      <c r="A86" s="68"/>
      <c r="B86" s="69"/>
      <c r="C86" s="73"/>
      <c r="D86" s="71"/>
      <c r="E86" s="71"/>
      <c r="F86" s="71"/>
    </row>
    <row r="87">
      <c r="A87" s="68"/>
      <c r="B87" s="69"/>
      <c r="C87" s="73"/>
      <c r="D87" s="71"/>
      <c r="E87" s="71"/>
      <c r="F87" s="71"/>
    </row>
    <row r="88">
      <c r="A88" s="68"/>
      <c r="B88" s="69"/>
      <c r="C88" s="73"/>
      <c r="D88" s="71"/>
      <c r="E88" s="71"/>
      <c r="F88" s="71"/>
    </row>
    <row r="89">
      <c r="A89" s="68"/>
      <c r="B89" s="69"/>
      <c r="C89" s="73"/>
      <c r="D89" s="71"/>
      <c r="E89" s="71"/>
      <c r="F89" s="71"/>
    </row>
    <row r="90">
      <c r="A90" s="68"/>
      <c r="B90" s="69"/>
      <c r="C90" s="73"/>
      <c r="D90" s="71"/>
      <c r="E90" s="71"/>
      <c r="F90" s="71"/>
    </row>
    <row r="91">
      <c r="A91" s="68"/>
      <c r="B91" s="69"/>
      <c r="C91" s="73"/>
      <c r="D91" s="71"/>
      <c r="E91" s="71"/>
      <c r="F91" s="71"/>
    </row>
    <row r="92">
      <c r="A92" s="68"/>
      <c r="B92" s="69"/>
      <c r="C92" s="73"/>
      <c r="D92" s="71"/>
      <c r="E92" s="71"/>
      <c r="F92" s="71"/>
    </row>
    <row r="93">
      <c r="A93" s="68"/>
      <c r="B93" s="69"/>
      <c r="C93" s="73"/>
      <c r="D93" s="71"/>
      <c r="E93" s="71"/>
      <c r="F93" s="71"/>
    </row>
    <row r="94">
      <c r="A94" s="68"/>
      <c r="B94" s="69"/>
      <c r="C94" s="73"/>
      <c r="D94" s="71"/>
      <c r="E94" s="71"/>
      <c r="F94" s="71"/>
    </row>
    <row r="95">
      <c r="A95" s="68"/>
      <c r="B95" s="69"/>
      <c r="C95" s="73"/>
      <c r="D95" s="71"/>
      <c r="E95" s="71"/>
      <c r="F95" s="71"/>
    </row>
    <row r="96">
      <c r="A96" s="68"/>
      <c r="B96" s="69"/>
      <c r="C96" s="73"/>
      <c r="D96" s="71"/>
      <c r="E96" s="71"/>
      <c r="F96" s="71"/>
    </row>
    <row r="97">
      <c r="A97" s="68"/>
      <c r="B97" s="69"/>
      <c r="C97" s="73"/>
      <c r="D97" s="71"/>
      <c r="E97" s="71"/>
      <c r="F97" s="71"/>
    </row>
    <row r="98">
      <c r="A98" s="68"/>
      <c r="B98" s="69"/>
      <c r="C98" s="73"/>
      <c r="D98" s="71"/>
      <c r="E98" s="71"/>
      <c r="F98" s="71"/>
    </row>
    <row r="99">
      <c r="A99" s="68"/>
      <c r="B99" s="69"/>
      <c r="C99" s="73"/>
      <c r="D99" s="71"/>
      <c r="E99" s="71"/>
      <c r="F99" s="71"/>
    </row>
    <row r="100">
      <c r="A100" s="68"/>
      <c r="B100" s="69"/>
      <c r="C100" s="73"/>
      <c r="D100" s="71"/>
      <c r="E100" s="71"/>
      <c r="F100" s="71"/>
    </row>
    <row r="101">
      <c r="A101" s="68"/>
      <c r="B101" s="69"/>
      <c r="C101" s="73"/>
      <c r="D101" s="71"/>
      <c r="E101" s="71"/>
      <c r="F101" s="71"/>
    </row>
    <row r="102">
      <c r="A102" s="68"/>
      <c r="B102" s="69"/>
      <c r="C102" s="73"/>
      <c r="D102" s="71"/>
      <c r="E102" s="71"/>
      <c r="F102" s="71"/>
    </row>
    <row r="103">
      <c r="A103" s="68"/>
      <c r="B103" s="69"/>
      <c r="C103" s="73"/>
      <c r="D103" s="71"/>
      <c r="E103" s="71"/>
      <c r="F103" s="71"/>
    </row>
    <row r="104">
      <c r="A104" s="68"/>
      <c r="B104" s="69"/>
      <c r="C104" s="73"/>
      <c r="D104" s="71"/>
      <c r="E104" s="71"/>
      <c r="F104" s="71"/>
    </row>
    <row r="105">
      <c r="A105" s="68"/>
      <c r="B105" s="69"/>
      <c r="C105" s="73"/>
      <c r="D105" s="71"/>
      <c r="E105" s="71"/>
      <c r="F105" s="71"/>
    </row>
    <row r="106">
      <c r="A106" s="68"/>
      <c r="B106" s="69"/>
      <c r="C106" s="73"/>
      <c r="D106" s="71"/>
      <c r="E106" s="71"/>
      <c r="F106" s="71"/>
    </row>
    <row r="107">
      <c r="A107" s="68"/>
      <c r="B107" s="69"/>
      <c r="C107" s="73"/>
      <c r="D107" s="71"/>
      <c r="E107" s="71"/>
      <c r="F107" s="71"/>
    </row>
    <row r="108">
      <c r="A108" s="68"/>
      <c r="B108" s="69"/>
      <c r="C108" s="73"/>
      <c r="D108" s="71"/>
      <c r="E108" s="71"/>
      <c r="F108" s="71"/>
    </row>
    <row r="109">
      <c r="A109" s="68"/>
      <c r="B109" s="69"/>
      <c r="C109" s="73"/>
      <c r="D109" s="71"/>
      <c r="E109" s="71"/>
      <c r="F109" s="71"/>
    </row>
    <row r="110">
      <c r="A110" s="68"/>
      <c r="B110" s="69"/>
      <c r="C110" s="73"/>
      <c r="D110" s="71"/>
      <c r="E110" s="71"/>
      <c r="F110" s="71"/>
    </row>
    <row r="111">
      <c r="A111" s="68"/>
      <c r="B111" s="69"/>
      <c r="C111" s="73"/>
      <c r="D111" s="71"/>
      <c r="E111" s="71"/>
      <c r="F111" s="71"/>
    </row>
    <row r="112">
      <c r="A112" s="68"/>
      <c r="B112" s="69"/>
      <c r="C112" s="73"/>
      <c r="D112" s="71"/>
      <c r="E112" s="71"/>
      <c r="F112" s="71"/>
    </row>
    <row r="113">
      <c r="A113" s="68"/>
      <c r="B113" s="69"/>
      <c r="C113" s="73"/>
      <c r="D113" s="71"/>
      <c r="E113" s="71"/>
      <c r="F113" s="71"/>
    </row>
    <row r="114">
      <c r="A114" s="68"/>
      <c r="B114" s="69"/>
      <c r="C114" s="73"/>
      <c r="D114" s="71"/>
      <c r="E114" s="71"/>
      <c r="F114" s="71"/>
    </row>
    <row r="115">
      <c r="A115" s="68"/>
      <c r="B115" s="69"/>
      <c r="C115" s="73"/>
      <c r="D115" s="71"/>
      <c r="E115" s="71"/>
      <c r="F115" s="71"/>
    </row>
    <row r="116">
      <c r="A116" s="68"/>
      <c r="B116" s="69"/>
      <c r="C116" s="73"/>
      <c r="D116" s="71"/>
      <c r="E116" s="71"/>
      <c r="F116" s="71"/>
    </row>
    <row r="117">
      <c r="A117" s="68"/>
      <c r="B117" s="69"/>
      <c r="C117" s="73"/>
      <c r="D117" s="71"/>
      <c r="E117" s="71"/>
      <c r="F117" s="71"/>
    </row>
    <row r="118">
      <c r="A118" s="68"/>
      <c r="B118" s="69"/>
      <c r="C118" s="73"/>
      <c r="D118" s="71"/>
      <c r="E118" s="71"/>
      <c r="F118" s="71"/>
    </row>
    <row r="119">
      <c r="A119" s="68"/>
      <c r="B119" s="69"/>
      <c r="C119" s="73"/>
      <c r="D119" s="71"/>
      <c r="E119" s="71"/>
      <c r="F119" s="71"/>
    </row>
    <row r="120">
      <c r="A120" s="68"/>
      <c r="B120" s="69"/>
      <c r="C120" s="73"/>
      <c r="D120" s="71"/>
      <c r="E120" s="71"/>
      <c r="F120" s="71"/>
    </row>
    <row r="121">
      <c r="A121" s="68"/>
      <c r="B121" s="69"/>
      <c r="C121" s="73"/>
      <c r="D121" s="71"/>
      <c r="E121" s="71"/>
      <c r="F121" s="71"/>
    </row>
    <row r="122">
      <c r="A122" s="68"/>
      <c r="B122" s="69"/>
      <c r="C122" s="73"/>
      <c r="D122" s="71"/>
      <c r="E122" s="71"/>
      <c r="F122" s="71"/>
    </row>
    <row r="123">
      <c r="A123" s="68"/>
      <c r="B123" s="69"/>
      <c r="C123" s="73"/>
      <c r="D123" s="71"/>
      <c r="E123" s="71"/>
      <c r="F123" s="71"/>
    </row>
    <row r="124">
      <c r="A124" s="68"/>
      <c r="B124" s="69"/>
      <c r="C124" s="73"/>
      <c r="D124" s="71"/>
      <c r="E124" s="71"/>
      <c r="F124" s="71"/>
    </row>
    <row r="125">
      <c r="A125" s="68"/>
      <c r="B125" s="69"/>
      <c r="C125" s="73"/>
      <c r="D125" s="71"/>
      <c r="E125" s="71"/>
      <c r="F125" s="71"/>
    </row>
    <row r="126">
      <c r="A126" s="68"/>
      <c r="B126" s="69"/>
      <c r="C126" s="73"/>
      <c r="D126" s="71"/>
      <c r="E126" s="71"/>
      <c r="F126" s="71"/>
    </row>
    <row r="127">
      <c r="A127" s="68"/>
      <c r="B127" s="69"/>
      <c r="C127" s="73"/>
      <c r="D127" s="71"/>
      <c r="E127" s="71"/>
      <c r="F127" s="71"/>
    </row>
    <row r="128">
      <c r="A128" s="68"/>
      <c r="B128" s="69"/>
      <c r="C128" s="73"/>
      <c r="D128" s="71"/>
      <c r="E128" s="71"/>
      <c r="F128" s="71"/>
    </row>
    <row r="129">
      <c r="A129" s="68"/>
      <c r="B129" s="69"/>
      <c r="C129" s="73"/>
      <c r="D129" s="71"/>
      <c r="E129" s="71"/>
      <c r="F129" s="71"/>
    </row>
    <row r="130">
      <c r="A130" s="68"/>
      <c r="B130" s="69"/>
      <c r="C130" s="73"/>
      <c r="D130" s="71"/>
      <c r="E130" s="71"/>
      <c r="F130" s="71"/>
    </row>
    <row r="131">
      <c r="A131" s="68"/>
      <c r="B131" s="69"/>
      <c r="C131" s="73"/>
      <c r="D131" s="71"/>
      <c r="E131" s="71"/>
      <c r="F131" s="71"/>
    </row>
    <row r="132">
      <c r="A132" s="68"/>
      <c r="B132" s="69"/>
      <c r="C132" s="73"/>
      <c r="D132" s="71"/>
      <c r="E132" s="71"/>
      <c r="F132" s="71"/>
    </row>
    <row r="133">
      <c r="A133" s="68"/>
      <c r="B133" s="69"/>
      <c r="C133" s="73"/>
      <c r="D133" s="71"/>
      <c r="E133" s="71"/>
      <c r="F133" s="71"/>
    </row>
    <row r="134">
      <c r="A134" s="68"/>
      <c r="B134" s="69"/>
      <c r="C134" s="73"/>
      <c r="D134" s="71"/>
      <c r="E134" s="71"/>
      <c r="F134" s="71"/>
    </row>
    <row r="135">
      <c r="A135" s="68"/>
      <c r="B135" s="69"/>
      <c r="C135" s="73"/>
      <c r="D135" s="71"/>
      <c r="E135" s="71"/>
      <c r="F135" s="71"/>
    </row>
    <row r="136">
      <c r="A136" s="68"/>
      <c r="B136" s="69"/>
      <c r="C136" s="73"/>
      <c r="D136" s="71"/>
      <c r="E136" s="71"/>
      <c r="F136" s="71"/>
    </row>
    <row r="137">
      <c r="A137" s="68"/>
      <c r="B137" s="69"/>
      <c r="C137" s="73"/>
      <c r="D137" s="71"/>
      <c r="E137" s="71"/>
      <c r="F137" s="71"/>
    </row>
    <row r="138">
      <c r="A138" s="68"/>
      <c r="B138" s="69"/>
      <c r="C138" s="73"/>
      <c r="D138" s="71"/>
      <c r="E138" s="71"/>
      <c r="F138" s="71"/>
    </row>
    <row r="139">
      <c r="A139" s="68"/>
      <c r="B139" s="69"/>
      <c r="C139" s="73"/>
      <c r="D139" s="71"/>
      <c r="E139" s="71"/>
      <c r="F139" s="71"/>
    </row>
    <row r="140">
      <c r="A140" s="68"/>
      <c r="B140" s="69"/>
      <c r="C140" s="73"/>
      <c r="D140" s="71"/>
      <c r="E140" s="71"/>
      <c r="F140" s="71"/>
    </row>
    <row r="141">
      <c r="A141" s="68"/>
      <c r="B141" s="69"/>
      <c r="C141" s="73"/>
      <c r="D141" s="71"/>
      <c r="E141" s="71"/>
      <c r="F141" s="71"/>
    </row>
    <row r="142">
      <c r="A142" s="68"/>
      <c r="B142" s="69"/>
      <c r="C142" s="73"/>
      <c r="D142" s="71"/>
      <c r="E142" s="71"/>
      <c r="F142" s="71"/>
    </row>
    <row r="143">
      <c r="A143" s="68"/>
      <c r="B143" s="69"/>
      <c r="C143" s="73"/>
      <c r="D143" s="71"/>
      <c r="E143" s="71"/>
      <c r="F143" s="71"/>
    </row>
    <row r="144">
      <c r="A144" s="68"/>
      <c r="B144" s="69"/>
      <c r="C144" s="73"/>
      <c r="D144" s="71"/>
      <c r="E144" s="71"/>
      <c r="F144" s="71"/>
    </row>
    <row r="145">
      <c r="A145" s="68"/>
      <c r="B145" s="69"/>
      <c r="C145" s="73"/>
      <c r="D145" s="71"/>
      <c r="E145" s="71"/>
      <c r="F145" s="71"/>
    </row>
    <row r="146">
      <c r="A146" s="68"/>
      <c r="B146" s="69"/>
      <c r="C146" s="73"/>
      <c r="D146" s="71"/>
      <c r="E146" s="71"/>
      <c r="F146" s="71"/>
    </row>
    <row r="147">
      <c r="A147" s="68"/>
      <c r="B147" s="69"/>
      <c r="C147" s="73"/>
      <c r="D147" s="71"/>
      <c r="E147" s="71"/>
      <c r="F147" s="71"/>
    </row>
    <row r="148">
      <c r="A148" s="68"/>
      <c r="B148" s="69"/>
      <c r="C148" s="73"/>
      <c r="D148" s="71"/>
      <c r="E148" s="71"/>
      <c r="F148" s="71"/>
    </row>
    <row r="149">
      <c r="A149" s="68"/>
      <c r="B149" s="69"/>
      <c r="C149" s="73"/>
      <c r="D149" s="71"/>
      <c r="E149" s="71"/>
      <c r="F149" s="71"/>
    </row>
    <row r="150">
      <c r="A150" s="68"/>
      <c r="B150" s="69"/>
      <c r="C150" s="73"/>
      <c r="D150" s="71"/>
      <c r="E150" s="71"/>
      <c r="F150" s="71"/>
    </row>
    <row r="151">
      <c r="A151" s="68"/>
      <c r="B151" s="69"/>
      <c r="C151" s="73"/>
      <c r="D151" s="71"/>
      <c r="E151" s="71"/>
      <c r="F151" s="71"/>
    </row>
    <row r="152">
      <c r="A152" s="68"/>
      <c r="B152" s="69"/>
      <c r="C152" s="73"/>
      <c r="D152" s="71"/>
      <c r="E152" s="71"/>
      <c r="F152" s="71"/>
    </row>
    <row r="153">
      <c r="A153" s="68"/>
      <c r="B153" s="69"/>
      <c r="C153" s="73"/>
      <c r="D153" s="71"/>
      <c r="E153" s="71"/>
      <c r="F153" s="71"/>
    </row>
    <row r="154">
      <c r="A154" s="68"/>
      <c r="B154" s="69"/>
      <c r="C154" s="73"/>
      <c r="D154" s="71"/>
      <c r="E154" s="71"/>
      <c r="F154" s="71"/>
    </row>
    <row r="155">
      <c r="A155" s="68"/>
      <c r="B155" s="69"/>
      <c r="C155" s="73"/>
      <c r="D155" s="71"/>
      <c r="E155" s="71"/>
      <c r="F155" s="71"/>
    </row>
    <row r="156">
      <c r="A156" s="68"/>
      <c r="B156" s="69"/>
      <c r="C156" s="73"/>
      <c r="D156" s="71"/>
      <c r="E156" s="71"/>
      <c r="F156" s="71"/>
    </row>
    <row r="157">
      <c r="A157" s="68"/>
      <c r="B157" s="69"/>
      <c r="C157" s="73"/>
      <c r="D157" s="71"/>
      <c r="E157" s="71"/>
      <c r="F157" s="71"/>
    </row>
    <row r="158">
      <c r="A158" s="68"/>
      <c r="B158" s="69"/>
      <c r="C158" s="73"/>
      <c r="D158" s="71"/>
      <c r="E158" s="71"/>
      <c r="F158" s="71"/>
    </row>
    <row r="159">
      <c r="A159" s="68"/>
      <c r="B159" s="69"/>
      <c r="C159" s="73"/>
      <c r="D159" s="71"/>
      <c r="E159" s="71"/>
      <c r="F159" s="71"/>
    </row>
    <row r="160">
      <c r="A160" s="68"/>
      <c r="B160" s="69"/>
      <c r="C160" s="73"/>
      <c r="D160" s="71"/>
      <c r="E160" s="71"/>
      <c r="F160" s="71"/>
    </row>
    <row r="161">
      <c r="A161" s="68"/>
      <c r="B161" s="69"/>
      <c r="C161" s="73"/>
      <c r="D161" s="71"/>
      <c r="E161" s="71"/>
      <c r="F161" s="71"/>
    </row>
    <row r="162">
      <c r="A162" s="68"/>
      <c r="B162" s="69"/>
      <c r="C162" s="73"/>
      <c r="D162" s="71"/>
      <c r="E162" s="71"/>
      <c r="F162" s="71"/>
    </row>
    <row r="163">
      <c r="A163" s="68"/>
      <c r="B163" s="69"/>
      <c r="C163" s="73"/>
      <c r="D163" s="71"/>
      <c r="E163" s="71"/>
      <c r="F163" s="71"/>
    </row>
    <row r="164">
      <c r="A164" s="68"/>
      <c r="B164" s="69"/>
      <c r="C164" s="73"/>
      <c r="D164" s="71"/>
      <c r="E164" s="71"/>
      <c r="F164" s="71"/>
    </row>
    <row r="165">
      <c r="A165" s="68"/>
      <c r="B165" s="69"/>
      <c r="C165" s="73"/>
      <c r="D165" s="71"/>
      <c r="E165" s="71"/>
      <c r="F165" s="71"/>
    </row>
    <row r="166">
      <c r="A166" s="68"/>
      <c r="B166" s="69"/>
      <c r="C166" s="73"/>
      <c r="D166" s="71"/>
      <c r="E166" s="71"/>
      <c r="F166" s="71"/>
    </row>
    <row r="167">
      <c r="A167" s="68"/>
      <c r="B167" s="69"/>
      <c r="C167" s="73"/>
      <c r="D167" s="71"/>
      <c r="E167" s="71"/>
      <c r="F167" s="71"/>
    </row>
    <row r="168">
      <c r="A168" s="68"/>
      <c r="B168" s="69"/>
      <c r="C168" s="73"/>
      <c r="D168" s="71"/>
      <c r="E168" s="71"/>
      <c r="F168" s="71"/>
    </row>
    <row r="169">
      <c r="A169" s="68"/>
      <c r="B169" s="69"/>
      <c r="C169" s="73"/>
      <c r="D169" s="71"/>
      <c r="E169" s="71"/>
      <c r="F169" s="71"/>
    </row>
    <row r="170">
      <c r="A170" s="68"/>
      <c r="B170" s="69"/>
      <c r="C170" s="73"/>
      <c r="D170" s="71"/>
      <c r="E170" s="71"/>
      <c r="F170" s="71"/>
    </row>
    <row r="171">
      <c r="A171" s="68"/>
      <c r="B171" s="69"/>
      <c r="C171" s="73"/>
      <c r="D171" s="71"/>
      <c r="E171" s="71"/>
      <c r="F171" s="71"/>
    </row>
    <row r="172">
      <c r="A172" s="68"/>
      <c r="B172" s="69"/>
      <c r="C172" s="73"/>
      <c r="D172" s="71"/>
      <c r="E172" s="71"/>
      <c r="F172" s="71"/>
    </row>
    <row r="173">
      <c r="A173" s="68"/>
      <c r="B173" s="69"/>
      <c r="C173" s="73"/>
      <c r="D173" s="71"/>
      <c r="E173" s="71"/>
      <c r="F173" s="71"/>
    </row>
    <row r="174">
      <c r="A174" s="68"/>
      <c r="B174" s="69"/>
      <c r="C174" s="73"/>
      <c r="D174" s="71"/>
      <c r="E174" s="71"/>
      <c r="F174" s="71"/>
    </row>
    <row r="175">
      <c r="A175" s="68"/>
      <c r="B175" s="69"/>
      <c r="C175" s="73"/>
      <c r="D175" s="71"/>
      <c r="E175" s="71"/>
      <c r="F175" s="71"/>
    </row>
    <row r="176">
      <c r="A176" s="68"/>
      <c r="B176" s="69"/>
      <c r="C176" s="73"/>
      <c r="D176" s="71"/>
      <c r="E176" s="71"/>
      <c r="F176" s="71"/>
    </row>
    <row r="177">
      <c r="A177" s="68"/>
      <c r="B177" s="69"/>
      <c r="C177" s="73"/>
      <c r="D177" s="71"/>
      <c r="E177" s="71"/>
      <c r="F177" s="71"/>
    </row>
    <row r="178">
      <c r="A178" s="68"/>
      <c r="B178" s="69"/>
      <c r="C178" s="73"/>
      <c r="D178" s="71"/>
      <c r="E178" s="71"/>
      <c r="F178" s="71"/>
    </row>
    <row r="179">
      <c r="A179" s="68"/>
      <c r="B179" s="69"/>
      <c r="C179" s="73"/>
      <c r="D179" s="71"/>
      <c r="E179" s="71"/>
      <c r="F179" s="71"/>
    </row>
    <row r="180">
      <c r="A180" s="68"/>
      <c r="B180" s="69"/>
      <c r="C180" s="73"/>
      <c r="D180" s="71"/>
      <c r="E180" s="71"/>
      <c r="F180" s="71"/>
    </row>
    <row r="181">
      <c r="A181" s="68"/>
      <c r="B181" s="69"/>
      <c r="C181" s="73"/>
      <c r="D181" s="71"/>
      <c r="E181" s="71"/>
      <c r="F181" s="71"/>
    </row>
    <row r="182">
      <c r="A182" s="68"/>
      <c r="B182" s="69"/>
      <c r="C182" s="73"/>
      <c r="D182" s="71"/>
      <c r="E182" s="71"/>
      <c r="F182" s="71"/>
    </row>
    <row r="183">
      <c r="A183" s="68"/>
      <c r="B183" s="69"/>
      <c r="C183" s="73"/>
      <c r="D183" s="71"/>
      <c r="E183" s="71"/>
      <c r="F183" s="71"/>
    </row>
    <row r="184">
      <c r="A184" s="68"/>
      <c r="B184" s="69"/>
      <c r="C184" s="73"/>
      <c r="D184" s="71"/>
      <c r="E184" s="71"/>
      <c r="F184" s="71"/>
    </row>
    <row r="185">
      <c r="A185" s="68"/>
      <c r="B185" s="69"/>
      <c r="C185" s="73"/>
      <c r="D185" s="71"/>
      <c r="E185" s="71"/>
      <c r="F185" s="71"/>
    </row>
    <row r="186">
      <c r="A186" s="68"/>
      <c r="B186" s="69"/>
      <c r="C186" s="73"/>
      <c r="D186" s="71"/>
      <c r="E186" s="71"/>
      <c r="F186" s="71"/>
    </row>
    <row r="187">
      <c r="A187" s="68"/>
      <c r="B187" s="69"/>
      <c r="C187" s="73"/>
      <c r="D187" s="71"/>
      <c r="E187" s="71"/>
      <c r="F187" s="71"/>
    </row>
    <row r="188">
      <c r="A188" s="68"/>
      <c r="B188" s="69"/>
      <c r="C188" s="73"/>
      <c r="D188" s="71"/>
      <c r="E188" s="71"/>
      <c r="F188" s="71"/>
    </row>
    <row r="189">
      <c r="A189" s="68"/>
      <c r="B189" s="69"/>
      <c r="C189" s="73"/>
      <c r="D189" s="71"/>
      <c r="E189" s="71"/>
      <c r="F189" s="71"/>
    </row>
    <row r="190">
      <c r="A190" s="68"/>
      <c r="B190" s="69"/>
      <c r="C190" s="73"/>
      <c r="D190" s="71"/>
      <c r="E190" s="71"/>
      <c r="F190" s="71"/>
    </row>
    <row r="191">
      <c r="A191" s="68"/>
      <c r="B191" s="69"/>
      <c r="C191" s="73"/>
      <c r="D191" s="71"/>
      <c r="E191" s="71"/>
      <c r="F191" s="71"/>
    </row>
    <row r="192">
      <c r="A192" s="68"/>
      <c r="B192" s="69"/>
      <c r="C192" s="73"/>
      <c r="D192" s="71"/>
      <c r="E192" s="71"/>
      <c r="F192" s="71"/>
    </row>
    <row r="193">
      <c r="A193" s="68"/>
      <c r="B193" s="69"/>
      <c r="C193" s="73"/>
      <c r="D193" s="71"/>
      <c r="E193" s="71"/>
      <c r="F193" s="71"/>
    </row>
    <row r="194">
      <c r="A194" s="68"/>
      <c r="B194" s="69"/>
      <c r="C194" s="73"/>
      <c r="D194" s="71"/>
      <c r="E194" s="71"/>
      <c r="F194" s="71"/>
    </row>
    <row r="195">
      <c r="A195" s="68"/>
      <c r="B195" s="69"/>
      <c r="C195" s="73"/>
      <c r="D195" s="71"/>
      <c r="E195" s="71"/>
      <c r="F195" s="71"/>
    </row>
    <row r="196">
      <c r="A196" s="68"/>
      <c r="B196" s="69"/>
      <c r="C196" s="73"/>
      <c r="D196" s="71"/>
      <c r="E196" s="71"/>
      <c r="F196" s="71"/>
    </row>
    <row r="197">
      <c r="A197" s="68"/>
      <c r="B197" s="69"/>
      <c r="C197" s="73"/>
      <c r="D197" s="71"/>
      <c r="E197" s="71"/>
      <c r="F197" s="71"/>
    </row>
    <row r="198">
      <c r="A198" s="68"/>
      <c r="B198" s="69"/>
      <c r="C198" s="73"/>
      <c r="D198" s="71"/>
      <c r="E198" s="71"/>
      <c r="F198" s="71"/>
    </row>
    <row r="199">
      <c r="A199" s="68"/>
      <c r="B199" s="69"/>
      <c r="C199" s="73"/>
      <c r="D199" s="71"/>
      <c r="E199" s="71"/>
      <c r="F199" s="71"/>
    </row>
    <row r="200">
      <c r="A200" s="68"/>
      <c r="B200" s="69"/>
      <c r="C200" s="73"/>
      <c r="D200" s="71"/>
      <c r="E200" s="71"/>
      <c r="F200" s="71"/>
    </row>
    <row r="201">
      <c r="A201" s="68"/>
      <c r="B201" s="69"/>
      <c r="C201" s="73"/>
      <c r="D201" s="71"/>
      <c r="E201" s="71"/>
      <c r="F201" s="71"/>
    </row>
    <row r="202">
      <c r="A202" s="68"/>
      <c r="B202" s="69"/>
      <c r="C202" s="73"/>
      <c r="D202" s="71"/>
      <c r="E202" s="71"/>
      <c r="F202" s="71"/>
    </row>
    <row r="203">
      <c r="A203" s="68"/>
      <c r="B203" s="69"/>
      <c r="C203" s="73"/>
      <c r="D203" s="71"/>
      <c r="E203" s="71"/>
      <c r="F203" s="71"/>
    </row>
    <row r="204">
      <c r="A204" s="68"/>
      <c r="B204" s="69"/>
      <c r="C204" s="73"/>
      <c r="D204" s="71"/>
      <c r="E204" s="71"/>
      <c r="F204" s="71"/>
    </row>
    <row r="205">
      <c r="A205" s="68"/>
      <c r="B205" s="69"/>
      <c r="C205" s="73"/>
      <c r="D205" s="71"/>
      <c r="E205" s="71"/>
      <c r="F205" s="71"/>
    </row>
    <row r="206">
      <c r="A206" s="68"/>
      <c r="B206" s="69"/>
      <c r="C206" s="73"/>
      <c r="D206" s="71"/>
      <c r="E206" s="71"/>
      <c r="F206" s="71"/>
    </row>
    <row r="207">
      <c r="A207" s="68"/>
      <c r="B207" s="69"/>
      <c r="C207" s="73"/>
      <c r="D207" s="71"/>
      <c r="E207" s="71"/>
      <c r="F207" s="71"/>
    </row>
    <row r="208">
      <c r="A208" s="68"/>
      <c r="B208" s="69"/>
      <c r="C208" s="73"/>
      <c r="D208" s="71"/>
      <c r="E208" s="71"/>
      <c r="F208" s="71"/>
    </row>
    <row r="209">
      <c r="A209" s="68"/>
      <c r="B209" s="69"/>
      <c r="C209" s="73"/>
      <c r="D209" s="71"/>
      <c r="E209" s="71"/>
      <c r="F209" s="71"/>
    </row>
    <row r="210">
      <c r="A210" s="68"/>
      <c r="B210" s="69"/>
      <c r="C210" s="73"/>
      <c r="D210" s="71"/>
      <c r="E210" s="71"/>
      <c r="F210" s="71"/>
    </row>
    <row r="211">
      <c r="A211" s="68"/>
      <c r="B211" s="69"/>
      <c r="C211" s="73"/>
      <c r="D211" s="71"/>
      <c r="E211" s="71"/>
      <c r="F211" s="71"/>
    </row>
    <row r="212">
      <c r="A212" s="68"/>
      <c r="B212" s="69"/>
      <c r="C212" s="73"/>
      <c r="D212" s="71"/>
      <c r="E212" s="71"/>
      <c r="F212" s="71"/>
    </row>
    <row r="213">
      <c r="A213" s="68"/>
      <c r="B213" s="69"/>
      <c r="C213" s="73"/>
      <c r="D213" s="71"/>
      <c r="E213" s="71"/>
      <c r="F213" s="71"/>
    </row>
    <row r="214">
      <c r="A214" s="68"/>
      <c r="B214" s="69"/>
      <c r="C214" s="73"/>
      <c r="D214" s="71"/>
      <c r="E214" s="71"/>
      <c r="F214" s="71"/>
    </row>
    <row r="215">
      <c r="A215" s="68"/>
      <c r="B215" s="69"/>
      <c r="C215" s="73"/>
      <c r="D215" s="71"/>
      <c r="E215" s="71"/>
      <c r="F215" s="71"/>
    </row>
    <row r="216">
      <c r="A216" s="68"/>
      <c r="B216" s="69"/>
      <c r="C216" s="73"/>
      <c r="D216" s="71"/>
      <c r="E216" s="71"/>
      <c r="F216" s="71"/>
    </row>
    <row r="217">
      <c r="A217" s="68"/>
      <c r="B217" s="69"/>
      <c r="C217" s="73"/>
      <c r="D217" s="71"/>
      <c r="E217" s="71"/>
      <c r="F217" s="71"/>
    </row>
    <row r="218">
      <c r="A218" s="68"/>
      <c r="B218" s="69"/>
      <c r="C218" s="73"/>
      <c r="D218" s="71"/>
      <c r="E218" s="71"/>
      <c r="F218" s="71"/>
    </row>
    <row r="219">
      <c r="A219" s="68"/>
      <c r="B219" s="69"/>
      <c r="C219" s="73"/>
      <c r="D219" s="71"/>
      <c r="E219" s="71"/>
      <c r="F219" s="71"/>
    </row>
    <row r="220">
      <c r="A220" s="68"/>
      <c r="B220" s="69"/>
      <c r="C220" s="73"/>
      <c r="D220" s="71"/>
      <c r="E220" s="71"/>
      <c r="F220" s="71"/>
    </row>
    <row r="221">
      <c r="A221" s="68"/>
      <c r="B221" s="69"/>
      <c r="C221" s="73"/>
      <c r="D221" s="71"/>
      <c r="E221" s="71"/>
      <c r="F221" s="71"/>
    </row>
    <row r="222">
      <c r="A222" s="68"/>
      <c r="B222" s="69"/>
      <c r="C222" s="73"/>
      <c r="D222" s="71"/>
      <c r="E222" s="71"/>
      <c r="F222" s="71"/>
    </row>
    <row r="223">
      <c r="A223" s="68"/>
      <c r="B223" s="69"/>
      <c r="C223" s="73"/>
      <c r="D223" s="71"/>
      <c r="E223" s="71"/>
      <c r="F223" s="71"/>
    </row>
    <row r="224">
      <c r="A224" s="68"/>
      <c r="B224" s="69"/>
      <c r="C224" s="73"/>
      <c r="D224" s="71"/>
      <c r="E224" s="71"/>
      <c r="F224" s="71"/>
    </row>
    <row r="225">
      <c r="A225" s="68"/>
      <c r="B225" s="69"/>
      <c r="C225" s="73"/>
      <c r="D225" s="71"/>
      <c r="E225" s="71"/>
      <c r="F225" s="71"/>
    </row>
    <row r="226">
      <c r="A226" s="68"/>
      <c r="B226" s="69"/>
      <c r="C226" s="73"/>
      <c r="D226" s="71"/>
      <c r="E226" s="71"/>
      <c r="F226" s="71"/>
    </row>
    <row r="227">
      <c r="A227" s="68"/>
      <c r="B227" s="69"/>
      <c r="C227" s="73"/>
      <c r="D227" s="71"/>
      <c r="E227" s="71"/>
      <c r="F227" s="71"/>
    </row>
    <row r="228">
      <c r="A228" s="68"/>
      <c r="B228" s="69"/>
      <c r="C228" s="73"/>
      <c r="D228" s="71"/>
      <c r="E228" s="71"/>
      <c r="F228" s="71"/>
    </row>
    <row r="229">
      <c r="A229" s="68"/>
      <c r="B229" s="69"/>
      <c r="C229" s="73"/>
      <c r="D229" s="71"/>
      <c r="E229" s="71"/>
      <c r="F229" s="71"/>
    </row>
    <row r="230">
      <c r="A230" s="68"/>
      <c r="B230" s="69"/>
      <c r="C230" s="73"/>
      <c r="D230" s="71"/>
      <c r="E230" s="71"/>
      <c r="F230" s="71"/>
    </row>
    <row r="231">
      <c r="A231" s="68"/>
      <c r="B231" s="69"/>
      <c r="C231" s="73"/>
      <c r="D231" s="71"/>
      <c r="E231" s="71"/>
      <c r="F231" s="71"/>
    </row>
    <row r="232">
      <c r="A232" s="68"/>
      <c r="B232" s="69"/>
      <c r="C232" s="73"/>
      <c r="D232" s="71"/>
      <c r="E232" s="71"/>
      <c r="F232" s="71"/>
    </row>
    <row r="233">
      <c r="A233" s="68"/>
      <c r="B233" s="69"/>
      <c r="C233" s="73"/>
      <c r="D233" s="71"/>
      <c r="E233" s="71"/>
      <c r="F233" s="71"/>
    </row>
    <row r="234">
      <c r="A234" s="68"/>
      <c r="B234" s="69"/>
      <c r="C234" s="73"/>
      <c r="D234" s="71"/>
      <c r="E234" s="71"/>
      <c r="F234" s="71"/>
    </row>
    <row r="235">
      <c r="A235" s="68"/>
      <c r="B235" s="69"/>
      <c r="C235" s="73"/>
      <c r="D235" s="71"/>
      <c r="E235" s="71"/>
      <c r="F235" s="71"/>
    </row>
    <row r="236">
      <c r="A236" s="68"/>
      <c r="B236" s="69"/>
      <c r="C236" s="73"/>
      <c r="D236" s="71"/>
      <c r="E236" s="71"/>
      <c r="F236" s="71"/>
    </row>
    <row r="237">
      <c r="A237" s="68"/>
      <c r="B237" s="69"/>
      <c r="C237" s="73"/>
      <c r="D237" s="71"/>
      <c r="E237" s="71"/>
      <c r="F237" s="71"/>
    </row>
    <row r="238">
      <c r="A238" s="68"/>
      <c r="B238" s="69"/>
      <c r="C238" s="73"/>
      <c r="D238" s="71"/>
      <c r="E238" s="71"/>
      <c r="F238" s="71"/>
    </row>
    <row r="239">
      <c r="A239" s="68"/>
      <c r="B239" s="69"/>
      <c r="C239" s="73"/>
      <c r="D239" s="71"/>
      <c r="E239" s="71"/>
      <c r="F239" s="71"/>
    </row>
    <row r="240">
      <c r="A240" s="68"/>
      <c r="B240" s="69"/>
      <c r="C240" s="73"/>
      <c r="D240" s="71"/>
      <c r="E240" s="71"/>
      <c r="F240" s="71"/>
    </row>
    <row r="241">
      <c r="A241" s="68"/>
      <c r="B241" s="69"/>
      <c r="C241" s="73"/>
      <c r="D241" s="71"/>
      <c r="E241" s="71"/>
      <c r="F241" s="71"/>
    </row>
    <row r="242">
      <c r="A242" s="68"/>
      <c r="B242" s="69"/>
      <c r="C242" s="73"/>
      <c r="D242" s="71"/>
      <c r="E242" s="71"/>
      <c r="F242" s="71"/>
    </row>
    <row r="243">
      <c r="A243" s="68"/>
      <c r="B243" s="69"/>
      <c r="C243" s="73"/>
      <c r="D243" s="71"/>
      <c r="E243" s="71"/>
      <c r="F243" s="71"/>
    </row>
    <row r="244">
      <c r="A244" s="68"/>
      <c r="B244" s="69"/>
      <c r="C244" s="73"/>
      <c r="D244" s="71"/>
      <c r="E244" s="71"/>
      <c r="F244" s="71"/>
    </row>
    <row r="245">
      <c r="A245" s="68"/>
      <c r="B245" s="69"/>
      <c r="C245" s="73"/>
      <c r="D245" s="71"/>
      <c r="E245" s="71"/>
      <c r="F245" s="71"/>
    </row>
    <row r="246">
      <c r="A246" s="68"/>
      <c r="B246" s="69"/>
      <c r="C246" s="73"/>
      <c r="D246" s="71"/>
      <c r="E246" s="71"/>
      <c r="F246" s="71"/>
    </row>
    <row r="247">
      <c r="A247" s="68"/>
      <c r="B247" s="69"/>
      <c r="C247" s="73"/>
      <c r="D247" s="71"/>
      <c r="E247" s="71"/>
      <c r="F247" s="71"/>
    </row>
    <row r="248">
      <c r="A248" s="68"/>
      <c r="B248" s="69"/>
      <c r="C248" s="73"/>
      <c r="D248" s="71"/>
      <c r="E248" s="71"/>
      <c r="F248" s="71"/>
    </row>
    <row r="249">
      <c r="A249" s="68"/>
      <c r="B249" s="69"/>
      <c r="C249" s="73"/>
      <c r="D249" s="71"/>
      <c r="E249" s="71"/>
      <c r="F249" s="71"/>
    </row>
    <row r="250">
      <c r="A250" s="68"/>
      <c r="B250" s="69"/>
      <c r="C250" s="73"/>
      <c r="D250" s="71"/>
      <c r="E250" s="71"/>
      <c r="F250" s="71"/>
    </row>
    <row r="251">
      <c r="A251" s="68"/>
      <c r="B251" s="69"/>
      <c r="C251" s="73"/>
      <c r="D251" s="71"/>
      <c r="E251" s="71"/>
      <c r="F251" s="71"/>
    </row>
    <row r="252">
      <c r="A252" s="68"/>
      <c r="B252" s="69"/>
      <c r="C252" s="73"/>
      <c r="D252" s="71"/>
      <c r="E252" s="71"/>
      <c r="F252" s="71"/>
    </row>
    <row r="253">
      <c r="A253" s="68"/>
      <c r="B253" s="69"/>
      <c r="C253" s="73"/>
      <c r="D253" s="71"/>
      <c r="E253" s="71"/>
      <c r="F253" s="71"/>
    </row>
    <row r="254">
      <c r="A254" s="68"/>
      <c r="B254" s="69"/>
      <c r="C254" s="73"/>
      <c r="D254" s="71"/>
      <c r="E254" s="71"/>
      <c r="F254" s="71"/>
    </row>
    <row r="255">
      <c r="A255" s="68"/>
      <c r="B255" s="69"/>
      <c r="C255" s="73"/>
      <c r="D255" s="71"/>
      <c r="E255" s="71"/>
      <c r="F255" s="71"/>
    </row>
    <row r="256">
      <c r="A256" s="68"/>
      <c r="B256" s="69"/>
      <c r="C256" s="73"/>
      <c r="D256" s="71"/>
      <c r="E256" s="71"/>
      <c r="F256" s="71"/>
    </row>
    <row r="257">
      <c r="A257" s="68"/>
      <c r="B257" s="69"/>
      <c r="C257" s="73"/>
      <c r="D257" s="71"/>
      <c r="E257" s="71"/>
      <c r="F257" s="71"/>
    </row>
    <row r="258">
      <c r="A258" s="68"/>
      <c r="B258" s="69"/>
      <c r="C258" s="73"/>
      <c r="D258" s="71"/>
      <c r="E258" s="71"/>
      <c r="F258" s="71"/>
    </row>
    <row r="259">
      <c r="A259" s="68"/>
      <c r="B259" s="69"/>
      <c r="C259" s="73"/>
      <c r="D259" s="71"/>
      <c r="E259" s="71"/>
      <c r="F259" s="71"/>
    </row>
    <row r="260">
      <c r="A260" s="68"/>
      <c r="B260" s="69"/>
      <c r="C260" s="73"/>
      <c r="D260" s="71"/>
      <c r="E260" s="71"/>
      <c r="F260" s="71"/>
    </row>
    <row r="261">
      <c r="A261" s="68"/>
      <c r="B261" s="69"/>
      <c r="C261" s="73"/>
      <c r="D261" s="71"/>
      <c r="E261" s="71"/>
      <c r="F261" s="71"/>
    </row>
    <row r="262">
      <c r="A262" s="68"/>
      <c r="B262" s="69"/>
      <c r="C262" s="73"/>
      <c r="D262" s="71"/>
      <c r="E262" s="71"/>
      <c r="F262" s="71"/>
    </row>
    <row r="263">
      <c r="A263" s="68"/>
      <c r="B263" s="69"/>
      <c r="C263" s="73"/>
      <c r="D263" s="71"/>
      <c r="E263" s="71"/>
      <c r="F263" s="71"/>
    </row>
    <row r="264">
      <c r="A264" s="68"/>
      <c r="B264" s="69"/>
      <c r="C264" s="73"/>
      <c r="D264" s="71"/>
      <c r="E264" s="71"/>
      <c r="F264" s="71"/>
    </row>
    <row r="265">
      <c r="A265" s="68"/>
      <c r="B265" s="69"/>
      <c r="C265" s="73"/>
      <c r="D265" s="71"/>
      <c r="E265" s="71"/>
      <c r="F265" s="71"/>
    </row>
    <row r="266">
      <c r="A266" s="68"/>
      <c r="B266" s="69"/>
      <c r="C266" s="73"/>
      <c r="D266" s="71"/>
      <c r="E266" s="71"/>
      <c r="F266" s="71"/>
    </row>
    <row r="267">
      <c r="A267" s="68"/>
      <c r="B267" s="69"/>
      <c r="C267" s="73"/>
      <c r="D267" s="71"/>
      <c r="E267" s="71"/>
      <c r="F267" s="71"/>
    </row>
    <row r="268">
      <c r="A268" s="68"/>
      <c r="B268" s="69"/>
      <c r="C268" s="73"/>
      <c r="D268" s="71"/>
      <c r="E268" s="71"/>
      <c r="F268" s="71"/>
    </row>
    <row r="269">
      <c r="A269" s="68"/>
      <c r="B269" s="69"/>
      <c r="C269" s="73"/>
      <c r="D269" s="71"/>
      <c r="E269" s="71"/>
      <c r="F269" s="71"/>
    </row>
    <row r="270">
      <c r="A270" s="68"/>
      <c r="B270" s="69"/>
      <c r="C270" s="73"/>
      <c r="D270" s="71"/>
      <c r="E270" s="71"/>
      <c r="F270" s="71"/>
    </row>
    <row r="271">
      <c r="A271" s="68"/>
      <c r="B271" s="69"/>
      <c r="C271" s="73"/>
      <c r="D271" s="71"/>
      <c r="E271" s="71"/>
      <c r="F271" s="71"/>
    </row>
    <row r="272">
      <c r="A272" s="68"/>
      <c r="B272" s="69"/>
      <c r="C272" s="73"/>
      <c r="D272" s="71"/>
      <c r="E272" s="71"/>
      <c r="F272" s="71"/>
    </row>
    <row r="273">
      <c r="A273" s="68"/>
      <c r="B273" s="69"/>
      <c r="C273" s="73"/>
      <c r="D273" s="71"/>
      <c r="E273" s="71"/>
      <c r="F273" s="71"/>
    </row>
    <row r="274">
      <c r="A274" s="68"/>
      <c r="B274" s="69"/>
      <c r="C274" s="73"/>
      <c r="D274" s="71"/>
      <c r="E274" s="71"/>
      <c r="F274" s="71"/>
    </row>
    <row r="275">
      <c r="A275" s="68"/>
      <c r="B275" s="69"/>
      <c r="C275" s="73"/>
      <c r="D275" s="71"/>
      <c r="E275" s="71"/>
      <c r="F275" s="71"/>
    </row>
    <row r="276">
      <c r="A276" s="68"/>
      <c r="B276" s="69"/>
      <c r="C276" s="73"/>
      <c r="D276" s="71"/>
      <c r="E276" s="71"/>
      <c r="F276" s="71"/>
    </row>
    <row r="277">
      <c r="A277" s="68"/>
      <c r="B277" s="69"/>
      <c r="C277" s="73"/>
      <c r="D277" s="71"/>
      <c r="E277" s="71"/>
      <c r="F277" s="71"/>
    </row>
    <row r="278">
      <c r="A278" s="68"/>
      <c r="B278" s="69"/>
      <c r="C278" s="73"/>
      <c r="D278" s="71"/>
      <c r="E278" s="71"/>
      <c r="F278" s="71"/>
    </row>
    <row r="279">
      <c r="A279" s="68"/>
      <c r="B279" s="69"/>
      <c r="C279" s="73"/>
      <c r="D279" s="71"/>
      <c r="E279" s="71"/>
      <c r="F279" s="71"/>
    </row>
    <row r="280">
      <c r="A280" s="68"/>
      <c r="B280" s="69"/>
      <c r="C280" s="73"/>
      <c r="D280" s="71"/>
      <c r="E280" s="71"/>
      <c r="F280" s="71"/>
    </row>
    <row r="281">
      <c r="A281" s="68"/>
      <c r="B281" s="69"/>
      <c r="C281" s="73"/>
      <c r="D281" s="71"/>
      <c r="E281" s="71"/>
      <c r="F281" s="71"/>
    </row>
    <row r="282">
      <c r="A282" s="68"/>
      <c r="B282" s="69"/>
      <c r="C282" s="73"/>
      <c r="D282" s="71"/>
      <c r="E282" s="71"/>
      <c r="F282" s="71"/>
    </row>
    <row r="283">
      <c r="A283" s="68"/>
      <c r="B283" s="69"/>
      <c r="C283" s="73"/>
      <c r="D283" s="71"/>
      <c r="E283" s="71"/>
      <c r="F283" s="71"/>
    </row>
    <row r="284">
      <c r="A284" s="68"/>
      <c r="B284" s="69"/>
      <c r="C284" s="73"/>
      <c r="D284" s="71"/>
      <c r="E284" s="71"/>
      <c r="F284" s="71"/>
    </row>
    <row r="285">
      <c r="A285" s="68"/>
      <c r="B285" s="69"/>
      <c r="C285" s="73"/>
      <c r="D285" s="71"/>
      <c r="E285" s="71"/>
      <c r="F285" s="71"/>
    </row>
    <row r="286">
      <c r="A286" s="68"/>
      <c r="B286" s="69"/>
      <c r="C286" s="73"/>
      <c r="D286" s="71"/>
      <c r="E286" s="71"/>
      <c r="F286" s="71"/>
    </row>
    <row r="287">
      <c r="A287" s="68"/>
      <c r="B287" s="69"/>
      <c r="C287" s="73"/>
      <c r="D287" s="71"/>
      <c r="E287" s="71"/>
      <c r="F287" s="71"/>
    </row>
    <row r="288">
      <c r="A288" s="68"/>
      <c r="B288" s="69"/>
      <c r="C288" s="73"/>
      <c r="D288" s="71"/>
      <c r="E288" s="71"/>
      <c r="F288" s="71"/>
    </row>
    <row r="289">
      <c r="A289" s="68"/>
      <c r="B289" s="69"/>
      <c r="C289" s="73"/>
      <c r="D289" s="71"/>
      <c r="E289" s="71"/>
      <c r="F289" s="71"/>
    </row>
    <row r="290">
      <c r="A290" s="68"/>
      <c r="B290" s="69"/>
      <c r="C290" s="73"/>
      <c r="D290" s="71"/>
      <c r="E290" s="71"/>
      <c r="F290" s="71"/>
    </row>
    <row r="291">
      <c r="A291" s="68"/>
      <c r="B291" s="69"/>
      <c r="C291" s="73"/>
      <c r="D291" s="71"/>
      <c r="E291" s="71"/>
      <c r="F291" s="71"/>
    </row>
    <row r="292">
      <c r="A292" s="68"/>
      <c r="B292" s="69"/>
      <c r="C292" s="73"/>
      <c r="D292" s="71"/>
      <c r="E292" s="71"/>
      <c r="F292" s="71"/>
    </row>
    <row r="293">
      <c r="A293" s="68"/>
      <c r="B293" s="69"/>
      <c r="C293" s="73"/>
      <c r="D293" s="71"/>
      <c r="E293" s="71"/>
      <c r="F293" s="71"/>
    </row>
    <row r="294">
      <c r="A294" s="68"/>
      <c r="B294" s="69"/>
      <c r="C294" s="73"/>
      <c r="D294" s="71"/>
      <c r="E294" s="71"/>
      <c r="F294" s="71"/>
    </row>
    <row r="295">
      <c r="A295" s="68"/>
      <c r="B295" s="69"/>
      <c r="C295" s="73"/>
      <c r="D295" s="71"/>
      <c r="E295" s="71"/>
      <c r="F295" s="71"/>
    </row>
    <row r="296">
      <c r="A296" s="68"/>
      <c r="B296" s="69"/>
      <c r="C296" s="73"/>
      <c r="D296" s="71"/>
      <c r="E296" s="71"/>
      <c r="F296" s="71"/>
    </row>
    <row r="297">
      <c r="A297" s="68"/>
      <c r="B297" s="69"/>
      <c r="C297" s="73"/>
      <c r="D297" s="71"/>
      <c r="E297" s="71"/>
      <c r="F297" s="71"/>
    </row>
    <row r="298">
      <c r="A298" s="68"/>
      <c r="B298" s="69"/>
      <c r="C298" s="73"/>
      <c r="D298" s="71"/>
      <c r="E298" s="71"/>
      <c r="F298" s="71"/>
    </row>
    <row r="299">
      <c r="A299" s="68"/>
      <c r="B299" s="69"/>
      <c r="C299" s="73"/>
      <c r="D299" s="71"/>
      <c r="E299" s="71"/>
      <c r="F299" s="71"/>
    </row>
    <row r="300">
      <c r="A300" s="68"/>
      <c r="B300" s="69"/>
      <c r="C300" s="73"/>
      <c r="D300" s="71"/>
      <c r="E300" s="71"/>
      <c r="F300" s="71"/>
    </row>
    <row r="301">
      <c r="A301" s="68"/>
      <c r="B301" s="69"/>
      <c r="C301" s="73"/>
      <c r="D301" s="71"/>
      <c r="E301" s="71"/>
      <c r="F301" s="71"/>
    </row>
    <row r="302">
      <c r="A302" s="68"/>
      <c r="B302" s="69"/>
      <c r="C302" s="73"/>
      <c r="D302" s="71"/>
      <c r="E302" s="71"/>
      <c r="F302" s="71"/>
    </row>
    <row r="303">
      <c r="A303" s="68"/>
      <c r="B303" s="69"/>
      <c r="C303" s="73"/>
      <c r="D303" s="71"/>
      <c r="E303" s="71"/>
      <c r="F303" s="71"/>
    </row>
    <row r="304">
      <c r="A304" s="68"/>
      <c r="B304" s="69"/>
      <c r="C304" s="73"/>
      <c r="D304" s="71"/>
      <c r="E304" s="71"/>
      <c r="F304" s="71"/>
    </row>
    <row r="305">
      <c r="A305" s="68"/>
      <c r="B305" s="69"/>
      <c r="C305" s="73"/>
      <c r="D305" s="71"/>
      <c r="E305" s="71"/>
      <c r="F305" s="71"/>
    </row>
    <row r="306">
      <c r="A306" s="68"/>
      <c r="B306" s="69"/>
      <c r="C306" s="73"/>
      <c r="D306" s="71"/>
      <c r="E306" s="71"/>
      <c r="F306" s="71"/>
    </row>
    <row r="307">
      <c r="A307" s="68"/>
      <c r="B307" s="69"/>
      <c r="C307" s="73"/>
      <c r="D307" s="71"/>
      <c r="E307" s="71"/>
      <c r="F307" s="71"/>
    </row>
    <row r="308">
      <c r="A308" s="68"/>
      <c r="B308" s="69"/>
      <c r="C308" s="73"/>
      <c r="D308" s="71"/>
      <c r="E308" s="71"/>
      <c r="F308" s="71"/>
    </row>
    <row r="309">
      <c r="A309" s="68"/>
      <c r="B309" s="69"/>
      <c r="C309" s="73"/>
      <c r="D309" s="71"/>
      <c r="E309" s="71"/>
      <c r="F309" s="71"/>
    </row>
    <row r="310">
      <c r="A310" s="68"/>
      <c r="B310" s="69"/>
      <c r="C310" s="73"/>
      <c r="D310" s="71"/>
      <c r="E310" s="71"/>
      <c r="F310" s="71"/>
    </row>
    <row r="311">
      <c r="A311" s="68"/>
      <c r="B311" s="69"/>
      <c r="C311" s="73"/>
      <c r="D311" s="71"/>
      <c r="E311" s="71"/>
      <c r="F311" s="71"/>
    </row>
    <row r="312">
      <c r="A312" s="68"/>
      <c r="B312" s="69"/>
      <c r="C312" s="73"/>
      <c r="D312" s="71"/>
      <c r="E312" s="71"/>
      <c r="F312" s="71"/>
    </row>
    <row r="313">
      <c r="A313" s="68"/>
      <c r="B313" s="69"/>
      <c r="C313" s="73"/>
      <c r="D313" s="71"/>
      <c r="E313" s="71"/>
      <c r="F313" s="71"/>
    </row>
    <row r="314">
      <c r="A314" s="68"/>
      <c r="B314" s="69"/>
      <c r="C314" s="73"/>
      <c r="D314" s="71"/>
      <c r="E314" s="71"/>
      <c r="F314" s="71"/>
    </row>
    <row r="315">
      <c r="A315" s="68"/>
      <c r="B315" s="69"/>
      <c r="C315" s="73"/>
      <c r="D315" s="71"/>
      <c r="E315" s="71"/>
      <c r="F315" s="71"/>
    </row>
    <row r="316">
      <c r="A316" s="68"/>
      <c r="B316" s="69"/>
      <c r="C316" s="73"/>
      <c r="D316" s="71"/>
      <c r="E316" s="71"/>
      <c r="F316" s="71"/>
    </row>
    <row r="317">
      <c r="A317" s="68"/>
      <c r="B317" s="69"/>
      <c r="C317" s="73"/>
      <c r="D317" s="71"/>
      <c r="E317" s="71"/>
      <c r="F317" s="71"/>
    </row>
    <row r="318">
      <c r="A318" s="68"/>
      <c r="B318" s="69"/>
      <c r="C318" s="73"/>
      <c r="D318" s="71"/>
      <c r="E318" s="71"/>
      <c r="F318" s="71"/>
    </row>
    <row r="319">
      <c r="A319" s="68"/>
      <c r="B319" s="69"/>
      <c r="C319" s="73"/>
      <c r="D319" s="71"/>
      <c r="E319" s="71"/>
      <c r="F319" s="71"/>
    </row>
    <row r="320">
      <c r="A320" s="68"/>
      <c r="B320" s="69"/>
      <c r="C320" s="73"/>
      <c r="D320" s="71"/>
      <c r="E320" s="71"/>
      <c r="F320" s="71"/>
    </row>
    <row r="321">
      <c r="A321" s="68"/>
      <c r="B321" s="69"/>
      <c r="C321" s="73"/>
      <c r="D321" s="71"/>
      <c r="E321" s="71"/>
      <c r="F321" s="71"/>
    </row>
    <row r="322">
      <c r="A322" s="68"/>
      <c r="B322" s="69"/>
      <c r="C322" s="73"/>
      <c r="D322" s="71"/>
      <c r="E322" s="71"/>
      <c r="F322" s="71"/>
    </row>
    <row r="323">
      <c r="A323" s="68"/>
      <c r="B323" s="69"/>
      <c r="C323" s="73"/>
      <c r="D323" s="71"/>
      <c r="E323" s="71"/>
      <c r="F323" s="71"/>
    </row>
    <row r="324">
      <c r="A324" s="68"/>
      <c r="B324" s="69"/>
      <c r="C324" s="73"/>
      <c r="D324" s="71"/>
      <c r="E324" s="71"/>
      <c r="F324" s="71"/>
    </row>
    <row r="325">
      <c r="A325" s="68"/>
      <c r="B325" s="69"/>
      <c r="C325" s="73"/>
      <c r="D325" s="71"/>
      <c r="E325" s="71"/>
      <c r="F325" s="71"/>
    </row>
    <row r="326">
      <c r="A326" s="68"/>
      <c r="B326" s="69"/>
      <c r="C326" s="73"/>
      <c r="D326" s="71"/>
      <c r="E326" s="71"/>
      <c r="F326" s="71"/>
    </row>
    <row r="327">
      <c r="A327" s="68"/>
      <c r="B327" s="69"/>
      <c r="C327" s="73"/>
      <c r="D327" s="71"/>
      <c r="E327" s="71"/>
      <c r="F327" s="71"/>
    </row>
    <row r="328">
      <c r="A328" s="68"/>
      <c r="B328" s="69"/>
      <c r="C328" s="73"/>
      <c r="D328" s="71"/>
      <c r="E328" s="71"/>
      <c r="F328" s="71"/>
    </row>
    <row r="329">
      <c r="A329" s="68"/>
      <c r="B329" s="69"/>
      <c r="C329" s="73"/>
      <c r="D329" s="71"/>
      <c r="E329" s="71"/>
      <c r="F329" s="71"/>
    </row>
    <row r="330">
      <c r="A330" s="68"/>
      <c r="B330" s="69"/>
      <c r="C330" s="73"/>
      <c r="D330" s="71"/>
      <c r="E330" s="71"/>
      <c r="F330" s="71"/>
    </row>
    <row r="331">
      <c r="A331" s="68"/>
      <c r="B331" s="69"/>
      <c r="C331" s="73"/>
      <c r="D331" s="71"/>
      <c r="E331" s="71"/>
      <c r="F331" s="71"/>
    </row>
    <row r="332">
      <c r="A332" s="68"/>
      <c r="B332" s="69"/>
      <c r="C332" s="73"/>
      <c r="D332" s="71"/>
      <c r="E332" s="71"/>
      <c r="F332" s="71"/>
    </row>
    <row r="333">
      <c r="A333" s="68"/>
      <c r="B333" s="69"/>
      <c r="C333" s="73"/>
      <c r="D333" s="71"/>
      <c r="E333" s="71"/>
      <c r="F333" s="71"/>
    </row>
    <row r="334">
      <c r="A334" s="68"/>
      <c r="B334" s="69"/>
      <c r="C334" s="73"/>
      <c r="D334" s="71"/>
      <c r="E334" s="71"/>
      <c r="F334" s="71"/>
    </row>
    <row r="335">
      <c r="A335" s="68"/>
      <c r="B335" s="69"/>
      <c r="C335" s="73"/>
      <c r="D335" s="71"/>
      <c r="E335" s="71"/>
      <c r="F335" s="71"/>
    </row>
    <row r="336">
      <c r="A336" s="68"/>
      <c r="B336" s="69"/>
      <c r="C336" s="73"/>
      <c r="D336" s="71"/>
      <c r="E336" s="71"/>
      <c r="F336" s="71"/>
    </row>
    <row r="337">
      <c r="A337" s="68"/>
      <c r="B337" s="69"/>
      <c r="C337" s="73"/>
      <c r="D337" s="71"/>
      <c r="E337" s="71"/>
      <c r="F337" s="71"/>
    </row>
    <row r="338">
      <c r="A338" s="68"/>
      <c r="B338" s="69"/>
      <c r="C338" s="73"/>
      <c r="D338" s="71"/>
      <c r="E338" s="71"/>
      <c r="F338" s="71"/>
    </row>
    <row r="339">
      <c r="A339" s="68"/>
      <c r="B339" s="69"/>
      <c r="C339" s="73"/>
      <c r="D339" s="71"/>
      <c r="E339" s="71"/>
      <c r="F339" s="71"/>
    </row>
    <row r="340">
      <c r="A340" s="68"/>
      <c r="B340" s="69"/>
      <c r="C340" s="73"/>
      <c r="D340" s="71"/>
      <c r="E340" s="71"/>
      <c r="F340" s="71"/>
    </row>
    <row r="341">
      <c r="A341" s="68"/>
      <c r="B341" s="69"/>
      <c r="C341" s="73"/>
      <c r="D341" s="71"/>
      <c r="E341" s="71"/>
      <c r="F341" s="71"/>
    </row>
    <row r="342">
      <c r="A342" s="68"/>
      <c r="B342" s="69"/>
      <c r="C342" s="73"/>
      <c r="D342" s="71"/>
      <c r="E342" s="71"/>
      <c r="F342" s="71"/>
    </row>
    <row r="343">
      <c r="A343" s="68"/>
      <c r="B343" s="69"/>
      <c r="C343" s="73"/>
      <c r="D343" s="71"/>
      <c r="E343" s="71"/>
      <c r="F343" s="71"/>
    </row>
    <row r="344">
      <c r="A344" s="68"/>
      <c r="B344" s="69"/>
      <c r="C344" s="73"/>
      <c r="D344" s="71"/>
      <c r="E344" s="71"/>
      <c r="F344" s="71"/>
    </row>
    <row r="345">
      <c r="A345" s="68"/>
      <c r="B345" s="69"/>
      <c r="C345" s="73"/>
      <c r="D345" s="71"/>
      <c r="E345" s="71"/>
      <c r="F345" s="71"/>
    </row>
    <row r="346">
      <c r="A346" s="68"/>
      <c r="B346" s="69"/>
      <c r="C346" s="73"/>
      <c r="D346" s="71"/>
      <c r="E346" s="71"/>
      <c r="F346" s="71"/>
    </row>
    <row r="347">
      <c r="A347" s="68"/>
      <c r="B347" s="69"/>
      <c r="C347" s="73"/>
      <c r="D347" s="71"/>
      <c r="E347" s="71"/>
      <c r="F347" s="71"/>
    </row>
    <row r="348">
      <c r="A348" s="68"/>
      <c r="B348" s="69"/>
      <c r="C348" s="73"/>
      <c r="D348" s="71"/>
      <c r="E348" s="71"/>
      <c r="F348" s="71"/>
    </row>
    <row r="349">
      <c r="A349" s="68"/>
      <c r="B349" s="69"/>
      <c r="C349" s="73"/>
      <c r="D349" s="71"/>
      <c r="E349" s="71"/>
      <c r="F349" s="71"/>
    </row>
    <row r="350">
      <c r="A350" s="68"/>
      <c r="B350" s="69"/>
      <c r="C350" s="73"/>
      <c r="D350" s="71"/>
      <c r="E350" s="71"/>
      <c r="F350" s="71"/>
    </row>
    <row r="351">
      <c r="A351" s="68"/>
      <c r="B351" s="69"/>
      <c r="C351" s="73"/>
      <c r="D351" s="71"/>
      <c r="E351" s="71"/>
      <c r="F351" s="71"/>
    </row>
    <row r="352">
      <c r="A352" s="68"/>
      <c r="B352" s="69"/>
      <c r="C352" s="73"/>
      <c r="D352" s="71"/>
      <c r="E352" s="71"/>
      <c r="F352" s="71"/>
    </row>
    <row r="353">
      <c r="A353" s="68"/>
      <c r="B353" s="69"/>
      <c r="C353" s="73"/>
      <c r="D353" s="71"/>
      <c r="E353" s="71"/>
      <c r="F353" s="71"/>
    </row>
    <row r="354">
      <c r="A354" s="68"/>
      <c r="B354" s="69"/>
      <c r="C354" s="73"/>
      <c r="D354" s="71"/>
      <c r="E354" s="71"/>
      <c r="F354" s="71"/>
    </row>
    <row r="355">
      <c r="A355" s="68"/>
      <c r="B355" s="69"/>
      <c r="C355" s="73"/>
      <c r="D355" s="71"/>
      <c r="E355" s="71"/>
      <c r="F355" s="71"/>
    </row>
    <row r="356">
      <c r="A356" s="68"/>
      <c r="B356" s="69"/>
      <c r="C356" s="73"/>
      <c r="D356" s="71"/>
      <c r="E356" s="71"/>
      <c r="F356" s="71"/>
    </row>
    <row r="357">
      <c r="A357" s="68"/>
      <c r="B357" s="69"/>
      <c r="C357" s="73"/>
      <c r="D357" s="71"/>
      <c r="E357" s="71"/>
      <c r="F357" s="71"/>
    </row>
    <row r="358">
      <c r="A358" s="68"/>
      <c r="B358" s="69"/>
      <c r="C358" s="73"/>
      <c r="D358" s="71"/>
      <c r="E358" s="71"/>
      <c r="F358" s="71"/>
    </row>
    <row r="359">
      <c r="A359" s="68"/>
      <c r="B359" s="69"/>
      <c r="C359" s="73"/>
      <c r="D359" s="71"/>
      <c r="E359" s="71"/>
      <c r="F359" s="71"/>
    </row>
    <row r="360">
      <c r="A360" s="68"/>
      <c r="B360" s="69"/>
      <c r="C360" s="73"/>
      <c r="D360" s="71"/>
      <c r="E360" s="71"/>
      <c r="F360" s="71"/>
    </row>
    <row r="361">
      <c r="A361" s="68"/>
      <c r="B361" s="69"/>
      <c r="C361" s="73"/>
      <c r="D361" s="71"/>
      <c r="E361" s="71"/>
      <c r="F361" s="71"/>
    </row>
    <row r="362">
      <c r="A362" s="68"/>
      <c r="B362" s="69"/>
      <c r="C362" s="73"/>
      <c r="D362" s="71"/>
      <c r="E362" s="71"/>
      <c r="F362" s="71"/>
    </row>
    <row r="363">
      <c r="A363" s="68"/>
      <c r="B363" s="69"/>
      <c r="C363" s="73"/>
      <c r="D363" s="71"/>
      <c r="E363" s="71"/>
      <c r="F363" s="71"/>
    </row>
    <row r="364">
      <c r="A364" s="68"/>
      <c r="B364" s="69"/>
      <c r="C364" s="73"/>
      <c r="D364" s="71"/>
      <c r="E364" s="71"/>
      <c r="F364" s="71"/>
    </row>
    <row r="365">
      <c r="A365" s="68"/>
      <c r="B365" s="69"/>
      <c r="C365" s="73"/>
      <c r="D365" s="71"/>
      <c r="E365" s="71"/>
      <c r="F365" s="71"/>
    </row>
    <row r="366">
      <c r="A366" s="68"/>
      <c r="B366" s="69"/>
      <c r="C366" s="73"/>
      <c r="D366" s="71"/>
      <c r="E366" s="71"/>
      <c r="F366" s="71"/>
    </row>
    <row r="367">
      <c r="A367" s="68"/>
      <c r="B367" s="69"/>
      <c r="C367" s="73"/>
      <c r="D367" s="71"/>
      <c r="E367" s="71"/>
      <c r="F367" s="71"/>
    </row>
    <row r="368">
      <c r="A368" s="68"/>
      <c r="B368" s="69"/>
      <c r="C368" s="73"/>
      <c r="D368" s="71"/>
      <c r="E368" s="71"/>
      <c r="F368" s="71"/>
    </row>
    <row r="369">
      <c r="A369" s="68"/>
      <c r="B369" s="69"/>
      <c r="C369" s="73"/>
      <c r="D369" s="71"/>
      <c r="E369" s="71"/>
      <c r="F369" s="71"/>
    </row>
    <row r="370">
      <c r="A370" s="68"/>
      <c r="B370" s="69"/>
      <c r="C370" s="73"/>
      <c r="D370" s="71"/>
      <c r="E370" s="71"/>
      <c r="F370" s="71"/>
    </row>
    <row r="371">
      <c r="A371" s="68"/>
      <c r="B371" s="69"/>
      <c r="C371" s="73"/>
      <c r="D371" s="71"/>
      <c r="E371" s="71"/>
      <c r="F371" s="71"/>
    </row>
    <row r="372">
      <c r="A372" s="68"/>
      <c r="B372" s="69"/>
      <c r="C372" s="73"/>
      <c r="D372" s="71"/>
      <c r="E372" s="71"/>
      <c r="F372" s="71"/>
    </row>
    <row r="373">
      <c r="A373" s="68"/>
      <c r="B373" s="69"/>
      <c r="C373" s="73"/>
      <c r="D373" s="71"/>
      <c r="E373" s="71"/>
      <c r="F373" s="71"/>
    </row>
    <row r="374">
      <c r="A374" s="68"/>
      <c r="B374" s="69"/>
      <c r="C374" s="73"/>
      <c r="D374" s="71"/>
      <c r="E374" s="71"/>
      <c r="F374" s="71"/>
    </row>
    <row r="375">
      <c r="A375" s="68"/>
      <c r="B375" s="69"/>
      <c r="C375" s="73"/>
      <c r="D375" s="71"/>
      <c r="E375" s="71"/>
      <c r="F375" s="71"/>
    </row>
    <row r="376">
      <c r="A376" s="68"/>
      <c r="B376" s="69"/>
      <c r="C376" s="73"/>
      <c r="D376" s="71"/>
      <c r="E376" s="71"/>
      <c r="F376" s="71"/>
    </row>
    <row r="377">
      <c r="A377" s="68"/>
      <c r="B377" s="69"/>
      <c r="C377" s="73"/>
      <c r="D377" s="71"/>
      <c r="E377" s="71"/>
      <c r="F377" s="71"/>
    </row>
    <row r="378">
      <c r="A378" s="68"/>
      <c r="B378" s="69"/>
      <c r="C378" s="73"/>
      <c r="D378" s="71"/>
      <c r="E378" s="71"/>
      <c r="F378" s="71"/>
    </row>
    <row r="379">
      <c r="A379" s="68"/>
      <c r="B379" s="69"/>
      <c r="C379" s="73"/>
      <c r="D379" s="71"/>
      <c r="E379" s="71"/>
      <c r="F379" s="71"/>
    </row>
    <row r="380">
      <c r="A380" s="68"/>
      <c r="B380" s="69"/>
      <c r="C380" s="73"/>
      <c r="D380" s="71"/>
      <c r="E380" s="71"/>
      <c r="F380" s="71"/>
    </row>
    <row r="381">
      <c r="A381" s="68"/>
      <c r="B381" s="69"/>
      <c r="C381" s="73"/>
      <c r="D381" s="71"/>
      <c r="E381" s="71"/>
      <c r="F381" s="71"/>
    </row>
    <row r="382">
      <c r="A382" s="68"/>
      <c r="B382" s="69"/>
      <c r="C382" s="73"/>
      <c r="D382" s="71"/>
      <c r="E382" s="71"/>
      <c r="F382" s="71"/>
    </row>
    <row r="383">
      <c r="A383" s="68"/>
      <c r="B383" s="69"/>
      <c r="C383" s="73"/>
      <c r="D383" s="71"/>
      <c r="E383" s="71"/>
      <c r="F383" s="71"/>
    </row>
    <row r="384">
      <c r="A384" s="68"/>
      <c r="B384" s="69"/>
      <c r="C384" s="73"/>
      <c r="D384" s="71"/>
      <c r="E384" s="71"/>
      <c r="F384" s="71"/>
    </row>
    <row r="385">
      <c r="A385" s="68"/>
      <c r="B385" s="69"/>
      <c r="C385" s="73"/>
      <c r="D385" s="71"/>
      <c r="E385" s="71"/>
      <c r="F385" s="71"/>
    </row>
    <row r="386">
      <c r="A386" s="68"/>
      <c r="B386" s="69"/>
      <c r="C386" s="73"/>
      <c r="D386" s="71"/>
      <c r="E386" s="71"/>
      <c r="F386" s="71"/>
    </row>
    <row r="387">
      <c r="A387" s="68"/>
      <c r="B387" s="69"/>
      <c r="C387" s="73"/>
      <c r="D387" s="71"/>
      <c r="E387" s="71"/>
      <c r="F387" s="71"/>
    </row>
    <row r="388">
      <c r="A388" s="68"/>
      <c r="B388" s="69"/>
      <c r="C388" s="73"/>
      <c r="D388" s="71"/>
      <c r="E388" s="71"/>
      <c r="F388" s="71"/>
    </row>
    <row r="389">
      <c r="A389" s="68"/>
      <c r="B389" s="69"/>
      <c r="C389" s="73"/>
      <c r="D389" s="71"/>
      <c r="E389" s="71"/>
      <c r="F389" s="71"/>
    </row>
    <row r="390">
      <c r="A390" s="68"/>
      <c r="B390" s="69"/>
      <c r="C390" s="73"/>
      <c r="D390" s="71"/>
      <c r="E390" s="71"/>
      <c r="F390" s="71"/>
    </row>
    <row r="391">
      <c r="A391" s="68"/>
      <c r="B391" s="69"/>
      <c r="C391" s="73"/>
      <c r="D391" s="71"/>
      <c r="E391" s="71"/>
      <c r="F391" s="71"/>
    </row>
    <row r="392">
      <c r="A392" s="68"/>
      <c r="B392" s="69"/>
      <c r="C392" s="73"/>
      <c r="D392" s="71"/>
      <c r="E392" s="71"/>
      <c r="F392" s="71"/>
    </row>
    <row r="393">
      <c r="A393" s="68"/>
      <c r="B393" s="69"/>
      <c r="C393" s="73"/>
      <c r="D393" s="71"/>
      <c r="E393" s="71"/>
      <c r="F393" s="71"/>
    </row>
    <row r="394">
      <c r="A394" s="68"/>
      <c r="B394" s="69"/>
      <c r="C394" s="73"/>
      <c r="D394" s="71"/>
      <c r="E394" s="71"/>
      <c r="F394" s="71"/>
    </row>
    <row r="395">
      <c r="A395" s="68"/>
      <c r="B395" s="69"/>
      <c r="C395" s="73"/>
      <c r="D395" s="71"/>
      <c r="E395" s="71"/>
      <c r="F395" s="71"/>
    </row>
    <row r="396">
      <c r="A396" s="68"/>
      <c r="B396" s="69"/>
      <c r="C396" s="73"/>
      <c r="D396" s="71"/>
      <c r="E396" s="71"/>
      <c r="F396" s="71"/>
    </row>
    <row r="397">
      <c r="A397" s="68"/>
      <c r="B397" s="69"/>
      <c r="C397" s="73"/>
      <c r="D397" s="71"/>
      <c r="E397" s="71"/>
      <c r="F397" s="71"/>
    </row>
    <row r="398">
      <c r="A398" s="68"/>
      <c r="B398" s="69"/>
      <c r="C398" s="73"/>
      <c r="D398" s="71"/>
      <c r="E398" s="71"/>
      <c r="F398" s="71"/>
    </row>
    <row r="399">
      <c r="A399" s="68"/>
      <c r="B399" s="69"/>
      <c r="C399" s="73"/>
      <c r="D399" s="71"/>
      <c r="E399" s="71"/>
      <c r="F399" s="71"/>
    </row>
    <row r="400">
      <c r="A400" s="68"/>
      <c r="B400" s="69"/>
      <c r="C400" s="73"/>
      <c r="D400" s="71"/>
      <c r="E400" s="71"/>
      <c r="F400" s="71"/>
    </row>
    <row r="401">
      <c r="A401" s="68"/>
      <c r="B401" s="69"/>
      <c r="C401" s="73"/>
      <c r="D401" s="71"/>
      <c r="E401" s="71"/>
      <c r="F401" s="71"/>
    </row>
    <row r="402">
      <c r="A402" s="68"/>
      <c r="B402" s="69"/>
      <c r="C402" s="73"/>
      <c r="D402" s="71"/>
      <c r="E402" s="71"/>
      <c r="F402" s="71"/>
    </row>
    <row r="403">
      <c r="A403" s="68"/>
      <c r="B403" s="69"/>
      <c r="C403" s="73"/>
      <c r="D403" s="71"/>
      <c r="E403" s="71"/>
      <c r="F403" s="71"/>
    </row>
    <row r="404">
      <c r="A404" s="68"/>
      <c r="B404" s="69"/>
      <c r="C404" s="73"/>
      <c r="D404" s="71"/>
      <c r="E404" s="71"/>
      <c r="F404" s="71"/>
    </row>
    <row r="405">
      <c r="A405" s="68"/>
      <c r="B405" s="69"/>
      <c r="C405" s="73"/>
      <c r="D405" s="71"/>
      <c r="E405" s="71"/>
      <c r="F405" s="71"/>
    </row>
    <row r="406">
      <c r="A406" s="68"/>
      <c r="B406" s="69"/>
      <c r="C406" s="73"/>
      <c r="D406" s="71"/>
      <c r="E406" s="71"/>
      <c r="F406" s="71"/>
    </row>
    <row r="407">
      <c r="A407" s="68"/>
      <c r="B407" s="69"/>
      <c r="C407" s="73"/>
      <c r="D407" s="71"/>
      <c r="E407" s="71"/>
      <c r="F407" s="71"/>
    </row>
    <row r="408">
      <c r="A408" s="68"/>
      <c r="B408" s="69"/>
      <c r="C408" s="73"/>
      <c r="D408" s="71"/>
      <c r="E408" s="71"/>
      <c r="F408" s="71"/>
    </row>
    <row r="409">
      <c r="A409" s="68"/>
      <c r="B409" s="69"/>
      <c r="C409" s="73"/>
      <c r="D409" s="71"/>
      <c r="E409" s="71"/>
      <c r="F409" s="71"/>
    </row>
    <row r="410">
      <c r="A410" s="68"/>
      <c r="B410" s="69"/>
      <c r="C410" s="73"/>
      <c r="D410" s="71"/>
      <c r="E410" s="71"/>
      <c r="F410" s="71"/>
    </row>
    <row r="411">
      <c r="A411" s="68"/>
      <c r="B411" s="69"/>
      <c r="C411" s="73"/>
      <c r="D411" s="71"/>
      <c r="E411" s="71"/>
      <c r="F411" s="71"/>
    </row>
    <row r="412">
      <c r="A412" s="68"/>
      <c r="B412" s="69"/>
      <c r="C412" s="73"/>
      <c r="D412" s="71"/>
      <c r="E412" s="71"/>
      <c r="F412" s="71"/>
    </row>
    <row r="413">
      <c r="A413" s="68"/>
      <c r="B413" s="69"/>
      <c r="C413" s="73"/>
      <c r="D413" s="71"/>
      <c r="E413" s="71"/>
      <c r="F413" s="71"/>
    </row>
    <row r="414">
      <c r="A414" s="68"/>
      <c r="B414" s="69"/>
      <c r="C414" s="73"/>
      <c r="D414" s="71"/>
      <c r="E414" s="71"/>
      <c r="F414" s="71"/>
    </row>
    <row r="415">
      <c r="A415" s="68"/>
      <c r="B415" s="69"/>
      <c r="C415" s="73"/>
      <c r="D415" s="71"/>
      <c r="E415" s="71"/>
      <c r="F415" s="71"/>
    </row>
    <row r="416">
      <c r="A416" s="68"/>
      <c r="B416" s="69"/>
      <c r="C416" s="73"/>
      <c r="D416" s="71"/>
      <c r="E416" s="71"/>
      <c r="F416" s="71"/>
    </row>
    <row r="417">
      <c r="A417" s="68"/>
      <c r="B417" s="69"/>
      <c r="C417" s="73"/>
      <c r="D417" s="71"/>
      <c r="E417" s="71"/>
      <c r="F417" s="71"/>
    </row>
    <row r="418">
      <c r="A418" s="68"/>
      <c r="B418" s="69"/>
      <c r="C418" s="73"/>
      <c r="D418" s="71"/>
      <c r="E418" s="71"/>
      <c r="F418" s="71"/>
    </row>
    <row r="419">
      <c r="A419" s="68"/>
      <c r="B419" s="69"/>
      <c r="C419" s="73"/>
      <c r="D419" s="71"/>
      <c r="E419" s="71"/>
      <c r="F419" s="71"/>
    </row>
    <row r="420">
      <c r="A420" s="68"/>
      <c r="B420" s="69"/>
      <c r="C420" s="73"/>
      <c r="D420" s="71"/>
      <c r="E420" s="71"/>
      <c r="F420" s="71"/>
    </row>
    <row r="421">
      <c r="A421" s="68"/>
      <c r="B421" s="69"/>
      <c r="C421" s="73"/>
      <c r="D421" s="71"/>
      <c r="E421" s="71"/>
      <c r="F421" s="71"/>
    </row>
    <row r="422">
      <c r="A422" s="68"/>
      <c r="B422" s="69"/>
      <c r="C422" s="73"/>
      <c r="D422" s="71"/>
      <c r="E422" s="71"/>
      <c r="F422" s="71"/>
    </row>
    <row r="423">
      <c r="A423" s="68"/>
      <c r="B423" s="69"/>
      <c r="C423" s="73"/>
      <c r="D423" s="71"/>
      <c r="E423" s="71"/>
      <c r="F423" s="71"/>
    </row>
    <row r="424">
      <c r="A424" s="68"/>
      <c r="B424" s="69"/>
      <c r="C424" s="73"/>
      <c r="D424" s="71"/>
      <c r="E424" s="71"/>
      <c r="F424" s="71"/>
    </row>
    <row r="425">
      <c r="A425" s="68"/>
      <c r="B425" s="69"/>
      <c r="C425" s="73"/>
      <c r="D425" s="71"/>
      <c r="E425" s="71"/>
      <c r="F425" s="71"/>
    </row>
    <row r="426">
      <c r="A426" s="68"/>
      <c r="B426" s="69"/>
      <c r="C426" s="73"/>
      <c r="D426" s="71"/>
      <c r="E426" s="71"/>
      <c r="F426" s="71"/>
    </row>
    <row r="427">
      <c r="A427" s="68"/>
      <c r="B427" s="69"/>
      <c r="C427" s="73"/>
      <c r="D427" s="71"/>
      <c r="E427" s="71"/>
      <c r="F427" s="71"/>
    </row>
    <row r="428">
      <c r="A428" s="68"/>
      <c r="B428" s="69"/>
      <c r="C428" s="73"/>
      <c r="D428" s="71"/>
      <c r="E428" s="71"/>
      <c r="F428" s="71"/>
    </row>
    <row r="429">
      <c r="A429" s="68"/>
      <c r="B429" s="69"/>
      <c r="C429" s="73"/>
      <c r="D429" s="71"/>
      <c r="E429" s="71"/>
      <c r="F429" s="71"/>
    </row>
    <row r="430">
      <c r="A430" s="68"/>
      <c r="B430" s="69"/>
      <c r="C430" s="73"/>
      <c r="D430" s="71"/>
      <c r="E430" s="71"/>
      <c r="F430" s="71"/>
    </row>
    <row r="431">
      <c r="A431" s="68"/>
      <c r="B431" s="69"/>
      <c r="C431" s="73"/>
      <c r="D431" s="71"/>
      <c r="E431" s="71"/>
      <c r="F431" s="71"/>
    </row>
    <row r="432">
      <c r="A432" s="68"/>
      <c r="B432" s="69"/>
      <c r="C432" s="73"/>
      <c r="D432" s="71"/>
      <c r="E432" s="71"/>
      <c r="F432" s="71"/>
    </row>
    <row r="433">
      <c r="A433" s="68"/>
      <c r="B433" s="69"/>
      <c r="C433" s="73"/>
      <c r="D433" s="71"/>
      <c r="E433" s="71"/>
      <c r="F433" s="71"/>
    </row>
    <row r="434">
      <c r="A434" s="68"/>
      <c r="B434" s="69"/>
      <c r="C434" s="73"/>
      <c r="D434" s="71"/>
      <c r="E434" s="71"/>
      <c r="F434" s="71"/>
    </row>
    <row r="435">
      <c r="A435" s="68"/>
      <c r="B435" s="69"/>
      <c r="C435" s="73"/>
      <c r="D435" s="71"/>
      <c r="E435" s="71"/>
      <c r="F435" s="71"/>
    </row>
    <row r="436">
      <c r="A436" s="68"/>
      <c r="B436" s="69"/>
      <c r="C436" s="73"/>
      <c r="D436" s="71"/>
      <c r="E436" s="71"/>
      <c r="F436" s="71"/>
    </row>
    <row r="437">
      <c r="A437" s="68"/>
      <c r="B437" s="69"/>
      <c r="C437" s="73"/>
      <c r="D437" s="71"/>
      <c r="E437" s="71"/>
      <c r="F437" s="71"/>
    </row>
    <row r="438">
      <c r="A438" s="68"/>
      <c r="B438" s="69"/>
      <c r="C438" s="73"/>
      <c r="D438" s="71"/>
      <c r="E438" s="71"/>
      <c r="F438" s="71"/>
    </row>
    <row r="439">
      <c r="A439" s="68"/>
      <c r="B439" s="69"/>
      <c r="C439" s="73"/>
      <c r="D439" s="71"/>
      <c r="E439" s="71"/>
      <c r="F439" s="71"/>
    </row>
    <row r="440">
      <c r="A440" s="68"/>
      <c r="B440" s="69"/>
      <c r="C440" s="73"/>
      <c r="D440" s="71"/>
      <c r="E440" s="71"/>
      <c r="F440" s="71"/>
    </row>
    <row r="441">
      <c r="A441" s="68"/>
      <c r="B441" s="69"/>
      <c r="C441" s="73"/>
      <c r="D441" s="71"/>
      <c r="E441" s="71"/>
      <c r="F441" s="71"/>
    </row>
    <row r="442">
      <c r="A442" s="68"/>
      <c r="B442" s="69"/>
      <c r="C442" s="73"/>
      <c r="D442" s="71"/>
      <c r="E442" s="71"/>
      <c r="F442" s="71"/>
    </row>
    <row r="443">
      <c r="A443" s="68"/>
      <c r="B443" s="69"/>
      <c r="C443" s="73"/>
      <c r="D443" s="71"/>
      <c r="E443" s="71"/>
      <c r="F443" s="71"/>
    </row>
    <row r="444">
      <c r="A444" s="68"/>
      <c r="B444" s="69"/>
      <c r="C444" s="73"/>
      <c r="D444" s="71"/>
      <c r="E444" s="71"/>
      <c r="F444" s="71"/>
    </row>
    <row r="445">
      <c r="A445" s="68"/>
      <c r="B445" s="69"/>
      <c r="C445" s="73"/>
      <c r="D445" s="71"/>
      <c r="E445" s="71"/>
      <c r="F445" s="71"/>
    </row>
    <row r="446">
      <c r="A446" s="68"/>
      <c r="B446" s="69"/>
      <c r="C446" s="73"/>
      <c r="D446" s="71"/>
      <c r="E446" s="71"/>
      <c r="F446" s="71"/>
    </row>
    <row r="447">
      <c r="A447" s="68"/>
      <c r="B447" s="69"/>
      <c r="C447" s="73"/>
      <c r="D447" s="71"/>
      <c r="E447" s="71"/>
      <c r="F447" s="71"/>
    </row>
    <row r="448">
      <c r="A448" s="68"/>
      <c r="B448" s="69"/>
      <c r="C448" s="73"/>
      <c r="D448" s="71"/>
      <c r="E448" s="71"/>
      <c r="F448" s="71"/>
    </row>
    <row r="449">
      <c r="A449" s="68"/>
      <c r="B449" s="69"/>
      <c r="C449" s="73"/>
      <c r="D449" s="71"/>
      <c r="E449" s="71"/>
      <c r="F449" s="71"/>
    </row>
    <row r="450">
      <c r="A450" s="68"/>
      <c r="B450" s="69"/>
      <c r="C450" s="73"/>
      <c r="D450" s="71"/>
      <c r="E450" s="71"/>
      <c r="F450" s="71"/>
    </row>
    <row r="451">
      <c r="A451" s="68"/>
      <c r="B451" s="69"/>
      <c r="C451" s="73"/>
      <c r="D451" s="71"/>
      <c r="E451" s="71"/>
      <c r="F451" s="71"/>
    </row>
    <row r="452">
      <c r="A452" s="68"/>
      <c r="B452" s="69"/>
      <c r="C452" s="73"/>
      <c r="D452" s="71"/>
      <c r="E452" s="71"/>
      <c r="F452" s="71"/>
    </row>
    <row r="453">
      <c r="A453" s="68"/>
      <c r="B453" s="69"/>
      <c r="C453" s="73"/>
      <c r="D453" s="71"/>
      <c r="E453" s="71"/>
      <c r="F453" s="71"/>
    </row>
    <row r="454">
      <c r="A454" s="68"/>
      <c r="B454" s="69"/>
      <c r="C454" s="73"/>
      <c r="D454" s="71"/>
      <c r="E454" s="71"/>
      <c r="F454" s="71"/>
    </row>
    <row r="455">
      <c r="A455" s="68"/>
      <c r="B455" s="69"/>
      <c r="C455" s="73"/>
      <c r="D455" s="71"/>
      <c r="E455" s="71"/>
      <c r="F455" s="71"/>
    </row>
    <row r="456">
      <c r="A456" s="68"/>
      <c r="B456" s="69"/>
      <c r="C456" s="73"/>
      <c r="D456" s="71"/>
      <c r="E456" s="71"/>
      <c r="F456" s="71"/>
    </row>
    <row r="457">
      <c r="A457" s="68"/>
      <c r="B457" s="69"/>
      <c r="C457" s="73"/>
      <c r="D457" s="71"/>
      <c r="E457" s="71"/>
      <c r="F457" s="71"/>
    </row>
    <row r="458">
      <c r="A458" s="68"/>
      <c r="B458" s="69"/>
      <c r="C458" s="73"/>
      <c r="D458" s="71"/>
      <c r="E458" s="71"/>
      <c r="F458" s="71"/>
    </row>
    <row r="459">
      <c r="A459" s="68"/>
      <c r="B459" s="69"/>
      <c r="C459" s="73"/>
      <c r="D459" s="71"/>
      <c r="E459" s="71"/>
      <c r="F459" s="71"/>
    </row>
    <row r="460">
      <c r="A460" s="68"/>
      <c r="B460" s="69"/>
      <c r="C460" s="73"/>
      <c r="D460" s="71"/>
      <c r="E460" s="71"/>
      <c r="F460" s="71"/>
    </row>
    <row r="461">
      <c r="A461" s="68"/>
      <c r="B461" s="69"/>
      <c r="C461" s="73"/>
      <c r="D461" s="71"/>
      <c r="E461" s="71"/>
      <c r="F461" s="71"/>
    </row>
    <row r="462">
      <c r="A462" s="68"/>
      <c r="B462" s="69"/>
      <c r="C462" s="73"/>
      <c r="D462" s="71"/>
      <c r="E462" s="71"/>
      <c r="F462" s="71"/>
    </row>
    <row r="463">
      <c r="A463" s="68"/>
      <c r="B463" s="69"/>
      <c r="C463" s="73"/>
      <c r="D463" s="71"/>
      <c r="E463" s="71"/>
      <c r="F463" s="71"/>
    </row>
    <row r="464">
      <c r="A464" s="68"/>
      <c r="B464" s="69"/>
      <c r="C464" s="73"/>
      <c r="D464" s="71"/>
      <c r="E464" s="71"/>
      <c r="F464" s="71"/>
    </row>
    <row r="465">
      <c r="A465" s="68"/>
      <c r="B465" s="69"/>
      <c r="C465" s="73"/>
      <c r="D465" s="71"/>
      <c r="E465" s="71"/>
      <c r="F465" s="71"/>
    </row>
    <row r="466">
      <c r="A466" s="68"/>
      <c r="B466" s="69"/>
      <c r="C466" s="73"/>
      <c r="D466" s="71"/>
      <c r="E466" s="71"/>
      <c r="F466" s="71"/>
    </row>
    <row r="467">
      <c r="A467" s="68"/>
      <c r="B467" s="69"/>
      <c r="C467" s="73"/>
      <c r="D467" s="71"/>
      <c r="E467" s="71"/>
      <c r="F467" s="71"/>
    </row>
    <row r="468">
      <c r="A468" s="68"/>
      <c r="B468" s="69"/>
      <c r="C468" s="73"/>
      <c r="D468" s="71"/>
      <c r="E468" s="71"/>
      <c r="F468" s="71"/>
    </row>
    <row r="469">
      <c r="A469" s="68"/>
      <c r="B469" s="69"/>
      <c r="C469" s="73"/>
      <c r="D469" s="71"/>
      <c r="E469" s="71"/>
      <c r="F469" s="71"/>
    </row>
    <row r="470">
      <c r="A470" s="68"/>
      <c r="B470" s="69"/>
      <c r="C470" s="73"/>
      <c r="D470" s="71"/>
      <c r="E470" s="71"/>
      <c r="F470" s="71"/>
    </row>
    <row r="471">
      <c r="A471" s="68"/>
      <c r="B471" s="69"/>
      <c r="C471" s="73"/>
      <c r="D471" s="71"/>
      <c r="E471" s="71"/>
      <c r="F471" s="71"/>
    </row>
    <row r="472">
      <c r="A472" s="68"/>
      <c r="B472" s="69"/>
      <c r="C472" s="73"/>
      <c r="D472" s="71"/>
      <c r="E472" s="71"/>
      <c r="F472" s="71"/>
    </row>
    <row r="473">
      <c r="A473" s="68"/>
      <c r="B473" s="69"/>
      <c r="C473" s="73"/>
      <c r="D473" s="71"/>
      <c r="E473" s="71"/>
      <c r="F473" s="71"/>
    </row>
    <row r="474">
      <c r="A474" s="68"/>
      <c r="B474" s="69"/>
      <c r="C474" s="73"/>
      <c r="D474" s="71"/>
      <c r="E474" s="71"/>
      <c r="F474" s="71"/>
    </row>
    <row r="475">
      <c r="A475" s="68"/>
      <c r="B475" s="69"/>
      <c r="C475" s="73"/>
      <c r="D475" s="71"/>
      <c r="E475" s="71"/>
      <c r="F475" s="71"/>
    </row>
    <row r="476">
      <c r="A476" s="68"/>
      <c r="B476" s="69"/>
      <c r="C476" s="73"/>
      <c r="D476" s="71"/>
      <c r="E476" s="71"/>
      <c r="F476" s="71"/>
    </row>
    <row r="477">
      <c r="A477" s="68"/>
      <c r="B477" s="69"/>
      <c r="C477" s="73"/>
      <c r="D477" s="71"/>
      <c r="E477" s="71"/>
      <c r="F477" s="71"/>
    </row>
    <row r="478">
      <c r="A478" s="68"/>
      <c r="B478" s="69"/>
      <c r="C478" s="73"/>
      <c r="D478" s="71"/>
      <c r="E478" s="71"/>
      <c r="F478" s="71"/>
    </row>
    <row r="479">
      <c r="A479" s="68"/>
      <c r="B479" s="69"/>
      <c r="C479" s="73"/>
      <c r="D479" s="71"/>
      <c r="E479" s="71"/>
      <c r="F479" s="71"/>
    </row>
    <row r="480">
      <c r="A480" s="68"/>
      <c r="B480" s="69"/>
      <c r="C480" s="73"/>
      <c r="D480" s="71"/>
      <c r="E480" s="71"/>
      <c r="F480" s="71"/>
    </row>
    <row r="481">
      <c r="A481" s="68"/>
      <c r="B481" s="69"/>
      <c r="C481" s="73"/>
      <c r="D481" s="71"/>
      <c r="E481" s="71"/>
      <c r="F481" s="71"/>
    </row>
    <row r="482">
      <c r="A482" s="68"/>
      <c r="B482" s="69"/>
      <c r="C482" s="73"/>
      <c r="D482" s="71"/>
      <c r="E482" s="71"/>
      <c r="F482" s="71"/>
    </row>
    <row r="483">
      <c r="A483" s="68"/>
      <c r="B483" s="69"/>
      <c r="C483" s="73"/>
      <c r="D483" s="71"/>
      <c r="E483" s="71"/>
      <c r="F483" s="71"/>
    </row>
    <row r="484">
      <c r="A484" s="68"/>
      <c r="B484" s="69"/>
      <c r="C484" s="73"/>
      <c r="D484" s="71"/>
      <c r="E484" s="71"/>
      <c r="F484" s="71"/>
    </row>
    <row r="485">
      <c r="A485" s="68"/>
      <c r="B485" s="69"/>
      <c r="C485" s="73"/>
      <c r="D485" s="71"/>
      <c r="E485" s="71"/>
      <c r="F485" s="71"/>
    </row>
    <row r="486">
      <c r="A486" s="68"/>
      <c r="B486" s="69"/>
      <c r="C486" s="73"/>
      <c r="D486" s="71"/>
      <c r="E486" s="71"/>
      <c r="F486" s="71"/>
    </row>
    <row r="487">
      <c r="A487" s="68"/>
      <c r="B487" s="69"/>
      <c r="C487" s="73"/>
      <c r="D487" s="71"/>
      <c r="E487" s="71"/>
      <c r="F487" s="71"/>
    </row>
    <row r="488">
      <c r="A488" s="68"/>
      <c r="B488" s="69"/>
      <c r="C488" s="73"/>
      <c r="D488" s="71"/>
      <c r="E488" s="71"/>
      <c r="F488" s="71"/>
    </row>
    <row r="489">
      <c r="A489" s="68"/>
      <c r="B489" s="69"/>
      <c r="C489" s="73"/>
      <c r="D489" s="71"/>
      <c r="E489" s="71"/>
      <c r="F489" s="71"/>
    </row>
    <row r="490">
      <c r="A490" s="68"/>
      <c r="B490" s="69"/>
      <c r="C490" s="73"/>
      <c r="D490" s="71"/>
      <c r="E490" s="71"/>
      <c r="F490" s="71"/>
    </row>
    <row r="491">
      <c r="A491" s="68"/>
      <c r="B491" s="69"/>
      <c r="C491" s="73"/>
      <c r="D491" s="71"/>
      <c r="E491" s="71"/>
      <c r="F491" s="71"/>
    </row>
    <row r="492">
      <c r="A492" s="68"/>
      <c r="B492" s="69"/>
      <c r="C492" s="73"/>
      <c r="D492" s="71"/>
      <c r="E492" s="71"/>
      <c r="F492" s="71"/>
    </row>
    <row r="493">
      <c r="A493" s="68"/>
      <c r="B493" s="69"/>
      <c r="C493" s="73"/>
      <c r="D493" s="71"/>
      <c r="E493" s="71"/>
      <c r="F493" s="71"/>
    </row>
    <row r="494">
      <c r="A494" s="68"/>
      <c r="B494" s="69"/>
      <c r="C494" s="73"/>
      <c r="D494" s="71"/>
      <c r="E494" s="71"/>
      <c r="F494" s="71"/>
    </row>
    <row r="495">
      <c r="A495" s="68"/>
      <c r="B495" s="69"/>
      <c r="C495" s="73"/>
      <c r="D495" s="71"/>
      <c r="E495" s="71"/>
      <c r="F495" s="71"/>
    </row>
    <row r="496">
      <c r="A496" s="68"/>
      <c r="B496" s="69"/>
      <c r="C496" s="73"/>
      <c r="D496" s="71"/>
      <c r="E496" s="71"/>
      <c r="F496" s="71"/>
    </row>
    <row r="497">
      <c r="A497" s="68"/>
      <c r="B497" s="69"/>
      <c r="C497" s="73"/>
      <c r="D497" s="71"/>
      <c r="E497" s="71"/>
      <c r="F497" s="71"/>
    </row>
    <row r="498">
      <c r="A498" s="68"/>
      <c r="B498" s="69"/>
      <c r="C498" s="73"/>
      <c r="D498" s="71"/>
      <c r="E498" s="71"/>
      <c r="F498" s="71"/>
    </row>
    <row r="499">
      <c r="A499" s="68"/>
      <c r="B499" s="69"/>
      <c r="C499" s="73"/>
      <c r="D499" s="71"/>
      <c r="E499" s="71"/>
      <c r="F499" s="71"/>
    </row>
    <row r="500">
      <c r="A500" s="68"/>
      <c r="B500" s="69"/>
      <c r="C500" s="73"/>
      <c r="D500" s="71"/>
      <c r="E500" s="71"/>
      <c r="F500" s="71"/>
    </row>
    <row r="501">
      <c r="A501" s="68"/>
      <c r="B501" s="69"/>
      <c r="C501" s="73"/>
      <c r="D501" s="71"/>
      <c r="E501" s="71"/>
      <c r="F501" s="71"/>
    </row>
    <row r="502">
      <c r="A502" s="68"/>
      <c r="B502" s="69"/>
      <c r="C502" s="73"/>
      <c r="D502" s="71"/>
      <c r="E502" s="71"/>
      <c r="F502" s="71"/>
    </row>
    <row r="503">
      <c r="A503" s="68"/>
      <c r="B503" s="69"/>
      <c r="C503" s="73"/>
      <c r="D503" s="71"/>
      <c r="E503" s="71"/>
      <c r="F503" s="71"/>
    </row>
    <row r="504">
      <c r="A504" s="68"/>
      <c r="B504" s="69"/>
      <c r="C504" s="73"/>
      <c r="D504" s="71"/>
      <c r="E504" s="71"/>
      <c r="F504" s="71"/>
    </row>
    <row r="505">
      <c r="A505" s="68"/>
      <c r="B505" s="69"/>
      <c r="C505" s="73"/>
      <c r="D505" s="71"/>
      <c r="E505" s="71"/>
      <c r="F505" s="71"/>
    </row>
    <row r="506">
      <c r="A506" s="68"/>
      <c r="B506" s="69"/>
      <c r="C506" s="73"/>
      <c r="D506" s="71"/>
      <c r="E506" s="71"/>
      <c r="F506" s="71"/>
    </row>
    <row r="507">
      <c r="A507" s="68"/>
      <c r="B507" s="69"/>
      <c r="C507" s="73"/>
      <c r="D507" s="71"/>
      <c r="E507" s="71"/>
      <c r="F507" s="71"/>
    </row>
    <row r="508">
      <c r="A508" s="68"/>
      <c r="B508" s="69"/>
      <c r="C508" s="73"/>
      <c r="D508" s="71"/>
      <c r="E508" s="71"/>
      <c r="F508" s="71"/>
    </row>
    <row r="509">
      <c r="A509" s="68"/>
      <c r="B509" s="69"/>
      <c r="C509" s="73"/>
      <c r="D509" s="71"/>
      <c r="E509" s="71"/>
      <c r="F509" s="71"/>
    </row>
    <row r="510">
      <c r="A510" s="68"/>
      <c r="B510" s="69"/>
      <c r="C510" s="73"/>
      <c r="D510" s="71"/>
      <c r="E510" s="71"/>
      <c r="F510" s="71"/>
    </row>
    <row r="511">
      <c r="A511" s="68"/>
      <c r="B511" s="69"/>
      <c r="C511" s="73"/>
      <c r="D511" s="71"/>
      <c r="E511" s="71"/>
      <c r="F511" s="71"/>
    </row>
    <row r="512">
      <c r="A512" s="68"/>
      <c r="B512" s="69"/>
      <c r="C512" s="73"/>
      <c r="D512" s="71"/>
      <c r="E512" s="71"/>
      <c r="F512" s="71"/>
    </row>
    <row r="513">
      <c r="A513" s="68"/>
      <c r="B513" s="69"/>
      <c r="C513" s="73"/>
      <c r="D513" s="71"/>
      <c r="E513" s="71"/>
      <c r="F513" s="71"/>
    </row>
    <row r="514">
      <c r="A514" s="68"/>
      <c r="B514" s="69"/>
      <c r="C514" s="73"/>
      <c r="D514" s="71"/>
      <c r="E514" s="71"/>
      <c r="F514" s="71"/>
    </row>
    <row r="515">
      <c r="A515" s="68"/>
      <c r="B515" s="69"/>
      <c r="C515" s="73"/>
      <c r="D515" s="71"/>
      <c r="E515" s="71"/>
      <c r="F515" s="71"/>
    </row>
    <row r="516">
      <c r="A516" s="68"/>
      <c r="B516" s="69"/>
      <c r="C516" s="73"/>
      <c r="D516" s="71"/>
      <c r="E516" s="71"/>
      <c r="F516" s="71"/>
    </row>
    <row r="517">
      <c r="A517" s="68"/>
      <c r="B517" s="69"/>
      <c r="C517" s="73"/>
      <c r="D517" s="71"/>
      <c r="E517" s="71"/>
      <c r="F517" s="71"/>
    </row>
    <row r="518">
      <c r="A518" s="68"/>
      <c r="B518" s="69"/>
      <c r="C518" s="73"/>
      <c r="D518" s="71"/>
      <c r="E518" s="71"/>
      <c r="F518" s="71"/>
    </row>
    <row r="519">
      <c r="A519" s="68"/>
      <c r="B519" s="69"/>
      <c r="C519" s="73"/>
      <c r="D519" s="71"/>
      <c r="E519" s="71"/>
      <c r="F519" s="71"/>
    </row>
    <row r="520">
      <c r="A520" s="68"/>
      <c r="B520" s="69"/>
      <c r="C520" s="73"/>
      <c r="D520" s="71"/>
      <c r="E520" s="71"/>
      <c r="F520" s="71"/>
    </row>
    <row r="521">
      <c r="A521" s="68"/>
      <c r="B521" s="69"/>
      <c r="C521" s="73"/>
      <c r="D521" s="71"/>
      <c r="E521" s="71"/>
      <c r="F521" s="71"/>
    </row>
    <row r="522">
      <c r="A522" s="68"/>
      <c r="B522" s="69"/>
      <c r="C522" s="73"/>
      <c r="D522" s="71"/>
      <c r="E522" s="71"/>
      <c r="F522" s="71"/>
    </row>
    <row r="523">
      <c r="A523" s="68"/>
      <c r="B523" s="69"/>
      <c r="C523" s="73"/>
      <c r="D523" s="71"/>
      <c r="E523" s="71"/>
      <c r="F523" s="71"/>
    </row>
    <row r="524">
      <c r="A524" s="68"/>
      <c r="B524" s="69"/>
      <c r="C524" s="73"/>
      <c r="D524" s="71"/>
      <c r="E524" s="71"/>
      <c r="F524" s="71"/>
    </row>
    <row r="525">
      <c r="A525" s="68"/>
      <c r="B525" s="69"/>
      <c r="C525" s="73"/>
      <c r="D525" s="71"/>
      <c r="E525" s="71"/>
      <c r="F525" s="71"/>
    </row>
    <row r="526">
      <c r="A526" s="68"/>
      <c r="B526" s="69"/>
      <c r="C526" s="73"/>
      <c r="D526" s="71"/>
      <c r="E526" s="71"/>
      <c r="F526" s="71"/>
    </row>
    <row r="527">
      <c r="A527" s="68"/>
      <c r="B527" s="69"/>
      <c r="C527" s="73"/>
      <c r="D527" s="71"/>
      <c r="E527" s="71"/>
      <c r="F527" s="71"/>
    </row>
    <row r="528">
      <c r="A528" s="68"/>
      <c r="B528" s="69"/>
      <c r="C528" s="73"/>
      <c r="D528" s="71"/>
      <c r="E528" s="71"/>
      <c r="F528" s="71"/>
    </row>
    <row r="529">
      <c r="A529" s="68"/>
      <c r="B529" s="69"/>
      <c r="C529" s="73"/>
      <c r="D529" s="71"/>
      <c r="E529" s="71"/>
      <c r="F529" s="71"/>
    </row>
    <row r="530">
      <c r="A530" s="68"/>
      <c r="B530" s="69"/>
      <c r="C530" s="73"/>
      <c r="D530" s="71"/>
      <c r="E530" s="71"/>
      <c r="F530" s="71"/>
    </row>
    <row r="531">
      <c r="A531" s="68"/>
      <c r="B531" s="69"/>
      <c r="C531" s="73"/>
      <c r="D531" s="71"/>
      <c r="E531" s="71"/>
      <c r="F531" s="71"/>
    </row>
    <row r="532">
      <c r="A532" s="68"/>
      <c r="B532" s="69"/>
      <c r="C532" s="73"/>
      <c r="D532" s="71"/>
      <c r="E532" s="71"/>
      <c r="F532" s="71"/>
    </row>
    <row r="533">
      <c r="A533" s="68"/>
      <c r="B533" s="69"/>
      <c r="C533" s="73"/>
      <c r="D533" s="71"/>
      <c r="E533" s="71"/>
      <c r="F533" s="71"/>
    </row>
    <row r="534">
      <c r="A534" s="68"/>
      <c r="B534" s="69"/>
      <c r="C534" s="73"/>
      <c r="D534" s="71"/>
      <c r="E534" s="71"/>
      <c r="F534" s="71"/>
    </row>
    <row r="535">
      <c r="A535" s="68"/>
      <c r="B535" s="69"/>
      <c r="C535" s="73"/>
      <c r="D535" s="71"/>
      <c r="E535" s="71"/>
      <c r="F535" s="71"/>
    </row>
    <row r="536">
      <c r="A536" s="68"/>
      <c r="B536" s="69"/>
      <c r="C536" s="73"/>
      <c r="D536" s="71"/>
      <c r="E536" s="71"/>
      <c r="F536" s="71"/>
    </row>
    <row r="537">
      <c r="A537" s="68"/>
      <c r="B537" s="69"/>
      <c r="C537" s="73"/>
      <c r="D537" s="71"/>
      <c r="E537" s="71"/>
      <c r="F537" s="71"/>
    </row>
    <row r="538">
      <c r="A538" s="68"/>
      <c r="B538" s="69"/>
      <c r="C538" s="73"/>
      <c r="D538" s="71"/>
      <c r="E538" s="71"/>
      <c r="F538" s="71"/>
    </row>
    <row r="539">
      <c r="A539" s="68"/>
      <c r="B539" s="69"/>
      <c r="C539" s="73"/>
      <c r="D539" s="71"/>
      <c r="E539" s="71"/>
      <c r="F539" s="71"/>
    </row>
    <row r="540">
      <c r="A540" s="68"/>
      <c r="B540" s="69"/>
      <c r="C540" s="73"/>
      <c r="D540" s="71"/>
      <c r="E540" s="71"/>
      <c r="F540" s="71"/>
    </row>
    <row r="541">
      <c r="A541" s="68"/>
      <c r="B541" s="69"/>
      <c r="C541" s="73"/>
      <c r="D541" s="71"/>
      <c r="E541" s="71"/>
      <c r="F541" s="71"/>
    </row>
    <row r="542">
      <c r="A542" s="68"/>
      <c r="B542" s="69"/>
      <c r="C542" s="73"/>
      <c r="D542" s="71"/>
      <c r="E542" s="71"/>
      <c r="F542" s="71"/>
    </row>
    <row r="543">
      <c r="A543" s="68"/>
      <c r="B543" s="69"/>
      <c r="C543" s="73"/>
      <c r="D543" s="71"/>
      <c r="E543" s="71"/>
      <c r="F543" s="71"/>
    </row>
    <row r="544">
      <c r="A544" s="68"/>
      <c r="B544" s="69"/>
      <c r="C544" s="73"/>
      <c r="D544" s="71"/>
      <c r="E544" s="71"/>
      <c r="F544" s="71"/>
    </row>
    <row r="545">
      <c r="A545" s="68"/>
      <c r="B545" s="69"/>
      <c r="C545" s="73"/>
      <c r="D545" s="71"/>
      <c r="E545" s="71"/>
      <c r="F545" s="71"/>
    </row>
    <row r="546">
      <c r="A546" s="68"/>
      <c r="B546" s="69"/>
      <c r="C546" s="73"/>
      <c r="D546" s="71"/>
      <c r="E546" s="71"/>
      <c r="F546" s="71"/>
    </row>
    <row r="547">
      <c r="A547" s="68"/>
      <c r="B547" s="69"/>
      <c r="C547" s="73"/>
      <c r="D547" s="71"/>
      <c r="E547" s="71"/>
      <c r="F547" s="71"/>
    </row>
    <row r="548">
      <c r="A548" s="68"/>
      <c r="B548" s="69"/>
      <c r="C548" s="73"/>
      <c r="D548" s="71"/>
      <c r="E548" s="71"/>
      <c r="F548" s="71"/>
    </row>
    <row r="549">
      <c r="A549" s="68"/>
      <c r="B549" s="69"/>
      <c r="C549" s="73"/>
      <c r="D549" s="71"/>
      <c r="E549" s="71"/>
      <c r="F549" s="71"/>
    </row>
    <row r="550">
      <c r="A550" s="68"/>
      <c r="B550" s="69"/>
      <c r="C550" s="73"/>
      <c r="D550" s="71"/>
      <c r="E550" s="71"/>
      <c r="F550" s="71"/>
    </row>
    <row r="551">
      <c r="A551" s="68"/>
      <c r="B551" s="69"/>
      <c r="C551" s="73"/>
      <c r="D551" s="71"/>
      <c r="E551" s="71"/>
      <c r="F551" s="71"/>
    </row>
    <row r="552">
      <c r="A552" s="68"/>
      <c r="B552" s="69"/>
      <c r="C552" s="73"/>
      <c r="D552" s="71"/>
      <c r="E552" s="71"/>
      <c r="F552" s="71"/>
    </row>
    <row r="553">
      <c r="A553" s="68"/>
      <c r="B553" s="69"/>
      <c r="C553" s="73"/>
      <c r="D553" s="71"/>
      <c r="E553" s="71"/>
      <c r="F553" s="71"/>
    </row>
    <row r="554">
      <c r="A554" s="68"/>
      <c r="B554" s="69"/>
      <c r="C554" s="73"/>
      <c r="D554" s="71"/>
      <c r="E554" s="71"/>
      <c r="F554" s="71"/>
    </row>
    <row r="555">
      <c r="A555" s="68"/>
      <c r="B555" s="69"/>
      <c r="C555" s="73"/>
      <c r="D555" s="71"/>
      <c r="E555" s="71"/>
      <c r="F555" s="71"/>
    </row>
    <row r="556">
      <c r="A556" s="68"/>
      <c r="B556" s="69"/>
      <c r="C556" s="73"/>
      <c r="D556" s="71"/>
      <c r="E556" s="71"/>
      <c r="F556" s="71"/>
    </row>
    <row r="557">
      <c r="A557" s="68"/>
      <c r="B557" s="69"/>
      <c r="C557" s="73"/>
      <c r="D557" s="71"/>
      <c r="E557" s="71"/>
      <c r="F557" s="71"/>
    </row>
    <row r="558">
      <c r="A558" s="68"/>
      <c r="B558" s="69"/>
      <c r="C558" s="73"/>
      <c r="D558" s="71"/>
      <c r="E558" s="71"/>
      <c r="F558" s="71"/>
    </row>
    <row r="559">
      <c r="A559" s="68"/>
      <c r="B559" s="69"/>
      <c r="C559" s="73"/>
      <c r="D559" s="71"/>
      <c r="E559" s="71"/>
      <c r="F559" s="71"/>
    </row>
    <row r="560">
      <c r="A560" s="68"/>
      <c r="B560" s="69"/>
      <c r="C560" s="73"/>
      <c r="D560" s="71"/>
      <c r="E560" s="71"/>
      <c r="F560" s="71"/>
    </row>
    <row r="561">
      <c r="A561" s="68"/>
      <c r="B561" s="69"/>
      <c r="C561" s="73"/>
      <c r="D561" s="71"/>
      <c r="E561" s="71"/>
      <c r="F561" s="71"/>
    </row>
    <row r="562">
      <c r="A562" s="68"/>
      <c r="B562" s="69"/>
      <c r="C562" s="73"/>
      <c r="D562" s="71"/>
      <c r="E562" s="71"/>
      <c r="F562" s="71"/>
    </row>
    <row r="563">
      <c r="A563" s="68"/>
      <c r="B563" s="69"/>
      <c r="C563" s="73"/>
      <c r="D563" s="71"/>
      <c r="E563" s="71"/>
      <c r="F563" s="71"/>
    </row>
    <row r="564">
      <c r="A564" s="68"/>
      <c r="B564" s="69"/>
      <c r="C564" s="73"/>
      <c r="D564" s="71"/>
      <c r="E564" s="71"/>
      <c r="F564" s="71"/>
    </row>
    <row r="565">
      <c r="A565" s="68"/>
      <c r="B565" s="69"/>
      <c r="C565" s="73"/>
      <c r="D565" s="71"/>
      <c r="E565" s="71"/>
      <c r="F565" s="71"/>
    </row>
    <row r="566">
      <c r="A566" s="68"/>
      <c r="B566" s="69"/>
      <c r="C566" s="73"/>
      <c r="D566" s="71"/>
      <c r="E566" s="71"/>
      <c r="F566" s="71"/>
    </row>
    <row r="567">
      <c r="A567" s="68"/>
      <c r="B567" s="69"/>
      <c r="C567" s="73"/>
      <c r="D567" s="71"/>
      <c r="E567" s="71"/>
      <c r="F567" s="71"/>
    </row>
    <row r="568">
      <c r="A568" s="68"/>
      <c r="B568" s="69"/>
      <c r="C568" s="73"/>
      <c r="D568" s="71"/>
      <c r="E568" s="71"/>
      <c r="F568" s="71"/>
    </row>
    <row r="569">
      <c r="A569" s="68"/>
      <c r="B569" s="69"/>
      <c r="C569" s="73"/>
      <c r="D569" s="71"/>
      <c r="E569" s="71"/>
      <c r="F569" s="71"/>
    </row>
    <row r="570">
      <c r="A570" s="68"/>
      <c r="B570" s="69"/>
      <c r="C570" s="73"/>
      <c r="D570" s="71"/>
      <c r="E570" s="71"/>
      <c r="F570" s="71"/>
    </row>
    <row r="571">
      <c r="A571" s="68"/>
      <c r="B571" s="69"/>
      <c r="C571" s="73"/>
      <c r="D571" s="71"/>
      <c r="E571" s="71"/>
      <c r="F571" s="71"/>
    </row>
    <row r="572">
      <c r="A572" s="68"/>
      <c r="B572" s="69"/>
      <c r="C572" s="73"/>
      <c r="D572" s="71"/>
      <c r="E572" s="71"/>
      <c r="F572" s="71"/>
    </row>
    <row r="573">
      <c r="A573" s="68"/>
      <c r="B573" s="69"/>
      <c r="C573" s="73"/>
      <c r="D573" s="71"/>
      <c r="E573" s="71"/>
      <c r="F573" s="71"/>
    </row>
    <row r="574">
      <c r="A574" s="68"/>
      <c r="B574" s="69"/>
      <c r="C574" s="73"/>
      <c r="D574" s="71"/>
      <c r="E574" s="71"/>
      <c r="F574" s="71"/>
    </row>
    <row r="575">
      <c r="A575" s="68"/>
      <c r="B575" s="69"/>
      <c r="C575" s="73"/>
      <c r="D575" s="71"/>
      <c r="E575" s="71"/>
      <c r="F575" s="71"/>
    </row>
    <row r="576">
      <c r="A576" s="68"/>
      <c r="B576" s="69"/>
      <c r="C576" s="73"/>
      <c r="D576" s="71"/>
      <c r="E576" s="71"/>
      <c r="F576" s="71"/>
    </row>
    <row r="577">
      <c r="A577" s="68"/>
      <c r="B577" s="69"/>
      <c r="C577" s="73"/>
      <c r="D577" s="71"/>
      <c r="E577" s="71"/>
      <c r="F577" s="71"/>
    </row>
    <row r="578">
      <c r="A578" s="68"/>
      <c r="B578" s="69"/>
      <c r="C578" s="73"/>
      <c r="D578" s="71"/>
      <c r="E578" s="71"/>
      <c r="F578" s="71"/>
    </row>
    <row r="579">
      <c r="A579" s="68"/>
      <c r="B579" s="69"/>
      <c r="C579" s="73"/>
      <c r="D579" s="71"/>
      <c r="E579" s="71"/>
      <c r="F579" s="71"/>
    </row>
    <row r="580">
      <c r="A580" s="68"/>
      <c r="B580" s="69"/>
      <c r="C580" s="73"/>
      <c r="D580" s="71"/>
      <c r="E580" s="71"/>
      <c r="F580" s="71"/>
    </row>
    <row r="581">
      <c r="A581" s="68"/>
      <c r="B581" s="69"/>
      <c r="C581" s="73"/>
      <c r="D581" s="71"/>
      <c r="E581" s="71"/>
      <c r="F581" s="71"/>
    </row>
    <row r="582">
      <c r="A582" s="68"/>
      <c r="B582" s="69"/>
      <c r="C582" s="73"/>
      <c r="D582" s="71"/>
      <c r="E582" s="71"/>
      <c r="F582" s="71"/>
    </row>
    <row r="583">
      <c r="A583" s="68"/>
      <c r="B583" s="69"/>
      <c r="C583" s="73"/>
      <c r="D583" s="71"/>
      <c r="E583" s="71"/>
      <c r="F583" s="71"/>
    </row>
    <row r="584">
      <c r="A584" s="68"/>
      <c r="B584" s="69"/>
      <c r="C584" s="73"/>
      <c r="D584" s="71"/>
      <c r="E584" s="71"/>
      <c r="F584" s="71"/>
    </row>
    <row r="585">
      <c r="A585" s="68"/>
      <c r="B585" s="69"/>
      <c r="C585" s="73"/>
      <c r="D585" s="71"/>
      <c r="E585" s="71"/>
      <c r="F585" s="71"/>
    </row>
    <row r="586">
      <c r="A586" s="68"/>
      <c r="B586" s="69"/>
      <c r="C586" s="73"/>
      <c r="D586" s="71"/>
      <c r="E586" s="71"/>
      <c r="F586" s="71"/>
    </row>
    <row r="587">
      <c r="A587" s="68"/>
      <c r="B587" s="69"/>
      <c r="C587" s="73"/>
      <c r="D587" s="71"/>
      <c r="E587" s="71"/>
      <c r="F587" s="71"/>
    </row>
    <row r="588">
      <c r="A588" s="68"/>
      <c r="B588" s="69"/>
      <c r="C588" s="73"/>
      <c r="D588" s="71"/>
      <c r="E588" s="71"/>
      <c r="F588" s="71"/>
    </row>
    <row r="589">
      <c r="A589" s="68"/>
      <c r="B589" s="69"/>
      <c r="C589" s="73"/>
      <c r="D589" s="71"/>
      <c r="E589" s="71"/>
      <c r="F589" s="71"/>
    </row>
    <row r="590">
      <c r="A590" s="68"/>
      <c r="B590" s="69"/>
      <c r="C590" s="73"/>
      <c r="D590" s="71"/>
      <c r="E590" s="71"/>
      <c r="F590" s="71"/>
    </row>
    <row r="591">
      <c r="A591" s="68"/>
      <c r="B591" s="69"/>
      <c r="C591" s="73"/>
      <c r="D591" s="71"/>
      <c r="E591" s="71"/>
      <c r="F591" s="71"/>
    </row>
    <row r="592">
      <c r="A592" s="68"/>
      <c r="B592" s="69"/>
      <c r="C592" s="73"/>
      <c r="D592" s="71"/>
      <c r="E592" s="71"/>
      <c r="F592" s="71"/>
    </row>
    <row r="593">
      <c r="A593" s="68"/>
      <c r="B593" s="69"/>
      <c r="C593" s="73"/>
      <c r="D593" s="71"/>
      <c r="E593" s="71"/>
      <c r="F593" s="71"/>
    </row>
    <row r="594">
      <c r="A594" s="68"/>
      <c r="B594" s="69"/>
      <c r="C594" s="73"/>
      <c r="D594" s="71"/>
      <c r="E594" s="71"/>
      <c r="F594" s="71"/>
    </row>
    <row r="595">
      <c r="A595" s="68"/>
      <c r="B595" s="69"/>
      <c r="C595" s="73"/>
      <c r="D595" s="71"/>
      <c r="E595" s="71"/>
      <c r="F595" s="71"/>
    </row>
    <row r="596">
      <c r="A596" s="68"/>
      <c r="B596" s="69"/>
      <c r="C596" s="73"/>
      <c r="D596" s="71"/>
      <c r="E596" s="71"/>
      <c r="F596" s="71"/>
    </row>
    <row r="597">
      <c r="A597" s="68"/>
      <c r="B597" s="69"/>
      <c r="C597" s="73"/>
      <c r="D597" s="71"/>
      <c r="E597" s="71"/>
      <c r="F597" s="71"/>
    </row>
    <row r="598">
      <c r="A598" s="68"/>
      <c r="B598" s="69"/>
      <c r="C598" s="73"/>
      <c r="D598" s="71"/>
      <c r="E598" s="71"/>
      <c r="F598" s="71"/>
    </row>
    <row r="599">
      <c r="A599" s="68"/>
      <c r="B599" s="69"/>
      <c r="C599" s="73"/>
      <c r="D599" s="71"/>
      <c r="E599" s="71"/>
      <c r="F599" s="71"/>
    </row>
    <row r="600">
      <c r="A600" s="68"/>
      <c r="B600" s="69"/>
      <c r="C600" s="73"/>
      <c r="D600" s="71"/>
      <c r="E600" s="71"/>
      <c r="F600" s="71"/>
    </row>
    <row r="601">
      <c r="A601" s="68"/>
      <c r="B601" s="69"/>
      <c r="C601" s="73"/>
      <c r="D601" s="71"/>
      <c r="E601" s="71"/>
      <c r="F601" s="71"/>
    </row>
    <row r="602">
      <c r="A602" s="68"/>
      <c r="B602" s="69"/>
      <c r="C602" s="73"/>
      <c r="D602" s="71"/>
      <c r="E602" s="71"/>
      <c r="F602" s="71"/>
    </row>
    <row r="603">
      <c r="A603" s="68"/>
      <c r="B603" s="69"/>
      <c r="C603" s="73"/>
      <c r="D603" s="71"/>
      <c r="E603" s="71"/>
      <c r="F603" s="71"/>
    </row>
    <row r="604">
      <c r="A604" s="68"/>
      <c r="B604" s="69"/>
      <c r="C604" s="73"/>
      <c r="D604" s="71"/>
      <c r="E604" s="71"/>
      <c r="F604" s="71"/>
    </row>
    <row r="605">
      <c r="A605" s="68"/>
      <c r="B605" s="69"/>
      <c r="C605" s="73"/>
      <c r="D605" s="71"/>
      <c r="E605" s="71"/>
      <c r="F605" s="71"/>
    </row>
    <row r="606">
      <c r="A606" s="68"/>
      <c r="B606" s="69"/>
      <c r="C606" s="73"/>
      <c r="D606" s="71"/>
      <c r="E606" s="71"/>
      <c r="F606" s="71"/>
    </row>
    <row r="607">
      <c r="A607" s="68"/>
      <c r="B607" s="69"/>
      <c r="C607" s="73"/>
      <c r="D607" s="71"/>
      <c r="E607" s="71"/>
      <c r="F607" s="71"/>
    </row>
    <row r="608">
      <c r="A608" s="68"/>
      <c r="B608" s="69"/>
      <c r="C608" s="73"/>
      <c r="D608" s="71"/>
      <c r="E608" s="71"/>
      <c r="F608" s="71"/>
    </row>
    <row r="609">
      <c r="A609" s="68"/>
      <c r="B609" s="69"/>
      <c r="C609" s="73"/>
      <c r="D609" s="71"/>
      <c r="E609" s="71"/>
      <c r="F609" s="71"/>
    </row>
    <row r="610">
      <c r="A610" s="68"/>
      <c r="B610" s="69"/>
      <c r="C610" s="73"/>
      <c r="D610" s="71"/>
      <c r="E610" s="71"/>
      <c r="F610" s="71"/>
    </row>
    <row r="611">
      <c r="A611" s="68"/>
      <c r="B611" s="69"/>
      <c r="C611" s="73"/>
      <c r="D611" s="71"/>
      <c r="E611" s="71"/>
      <c r="F611" s="71"/>
    </row>
    <row r="612">
      <c r="A612" s="68"/>
      <c r="B612" s="69"/>
      <c r="C612" s="73"/>
      <c r="D612" s="71"/>
      <c r="E612" s="71"/>
      <c r="F612" s="71"/>
    </row>
    <row r="613">
      <c r="A613" s="68"/>
      <c r="B613" s="69"/>
      <c r="C613" s="73"/>
      <c r="D613" s="71"/>
      <c r="E613" s="71"/>
      <c r="F613" s="71"/>
    </row>
    <row r="614">
      <c r="A614" s="68"/>
      <c r="B614" s="69"/>
      <c r="C614" s="73"/>
      <c r="D614" s="71"/>
      <c r="E614" s="71"/>
      <c r="F614" s="71"/>
    </row>
    <row r="615">
      <c r="A615" s="68"/>
      <c r="B615" s="69"/>
      <c r="C615" s="73"/>
      <c r="D615" s="71"/>
      <c r="E615" s="71"/>
      <c r="F615" s="71"/>
    </row>
    <row r="616">
      <c r="A616" s="68"/>
      <c r="B616" s="69"/>
      <c r="C616" s="73"/>
      <c r="D616" s="71"/>
      <c r="E616" s="71"/>
      <c r="F616" s="71"/>
    </row>
    <row r="617">
      <c r="A617" s="68"/>
      <c r="B617" s="69"/>
      <c r="C617" s="73"/>
      <c r="D617" s="71"/>
      <c r="E617" s="71"/>
      <c r="F617" s="71"/>
    </row>
    <row r="618">
      <c r="A618" s="68"/>
      <c r="B618" s="69"/>
      <c r="C618" s="73"/>
      <c r="D618" s="71"/>
      <c r="E618" s="71"/>
      <c r="F618" s="71"/>
    </row>
    <row r="619">
      <c r="A619" s="68"/>
      <c r="B619" s="69"/>
      <c r="C619" s="73"/>
      <c r="D619" s="71"/>
      <c r="E619" s="71"/>
      <c r="F619" s="71"/>
    </row>
    <row r="620">
      <c r="A620" s="68"/>
      <c r="B620" s="69"/>
      <c r="C620" s="73"/>
      <c r="D620" s="71"/>
      <c r="E620" s="71"/>
      <c r="F620" s="71"/>
    </row>
    <row r="621">
      <c r="A621" s="68"/>
      <c r="B621" s="69"/>
      <c r="C621" s="73"/>
      <c r="D621" s="71"/>
      <c r="E621" s="71"/>
      <c r="F621" s="71"/>
    </row>
    <row r="622">
      <c r="A622" s="68"/>
      <c r="B622" s="69"/>
      <c r="C622" s="73"/>
      <c r="D622" s="71"/>
      <c r="E622" s="71"/>
      <c r="F622" s="71"/>
    </row>
    <row r="623">
      <c r="A623" s="68"/>
      <c r="B623" s="69"/>
      <c r="C623" s="73"/>
      <c r="D623" s="71"/>
      <c r="E623" s="71"/>
      <c r="F623" s="71"/>
    </row>
    <row r="624">
      <c r="A624" s="68"/>
      <c r="B624" s="69"/>
      <c r="C624" s="73"/>
      <c r="D624" s="71"/>
      <c r="E624" s="71"/>
      <c r="F624" s="71"/>
    </row>
    <row r="625">
      <c r="A625" s="68"/>
      <c r="B625" s="69"/>
      <c r="C625" s="73"/>
      <c r="D625" s="71"/>
      <c r="E625" s="71"/>
      <c r="F625" s="71"/>
    </row>
    <row r="626">
      <c r="A626" s="68"/>
      <c r="B626" s="69"/>
      <c r="C626" s="73"/>
      <c r="D626" s="71"/>
      <c r="E626" s="71"/>
      <c r="F626" s="71"/>
    </row>
    <row r="627">
      <c r="A627" s="68"/>
      <c r="B627" s="69"/>
      <c r="C627" s="73"/>
      <c r="D627" s="71"/>
      <c r="E627" s="71"/>
      <c r="F627" s="71"/>
    </row>
    <row r="628">
      <c r="A628" s="68"/>
      <c r="B628" s="69"/>
      <c r="C628" s="73"/>
      <c r="D628" s="71"/>
      <c r="E628" s="71"/>
      <c r="F628" s="71"/>
    </row>
    <row r="629">
      <c r="A629" s="68"/>
      <c r="B629" s="69"/>
      <c r="C629" s="73"/>
      <c r="D629" s="71"/>
      <c r="E629" s="71"/>
      <c r="F629" s="71"/>
    </row>
    <row r="630">
      <c r="A630" s="68"/>
      <c r="B630" s="69"/>
      <c r="C630" s="73"/>
      <c r="D630" s="71"/>
      <c r="E630" s="71"/>
      <c r="F630" s="71"/>
    </row>
    <row r="631">
      <c r="A631" s="68"/>
      <c r="B631" s="69"/>
      <c r="C631" s="73"/>
      <c r="D631" s="71"/>
      <c r="E631" s="71"/>
      <c r="F631" s="71"/>
    </row>
    <row r="632">
      <c r="A632" s="68"/>
      <c r="B632" s="69"/>
      <c r="C632" s="73"/>
      <c r="D632" s="71"/>
      <c r="E632" s="71"/>
      <c r="F632" s="71"/>
    </row>
    <row r="633">
      <c r="A633" s="68"/>
      <c r="B633" s="69"/>
      <c r="C633" s="73"/>
      <c r="D633" s="71"/>
      <c r="E633" s="71"/>
      <c r="F633" s="71"/>
    </row>
    <row r="634">
      <c r="A634" s="68"/>
      <c r="B634" s="69"/>
      <c r="C634" s="73"/>
      <c r="D634" s="71"/>
      <c r="E634" s="71"/>
      <c r="F634" s="71"/>
    </row>
    <row r="635">
      <c r="A635" s="68"/>
      <c r="B635" s="69"/>
      <c r="C635" s="73"/>
      <c r="D635" s="71"/>
      <c r="E635" s="71"/>
      <c r="F635" s="71"/>
    </row>
    <row r="636">
      <c r="A636" s="68"/>
      <c r="B636" s="69"/>
      <c r="C636" s="73"/>
      <c r="D636" s="71"/>
      <c r="E636" s="71"/>
      <c r="F636" s="71"/>
    </row>
    <row r="637">
      <c r="A637" s="68"/>
      <c r="B637" s="69"/>
      <c r="C637" s="73"/>
      <c r="D637" s="71"/>
      <c r="E637" s="71"/>
      <c r="F637" s="71"/>
    </row>
    <row r="638">
      <c r="A638" s="68"/>
      <c r="B638" s="69"/>
      <c r="C638" s="73"/>
      <c r="D638" s="71"/>
      <c r="E638" s="71"/>
      <c r="F638" s="71"/>
    </row>
    <row r="639">
      <c r="A639" s="68"/>
      <c r="B639" s="69"/>
      <c r="C639" s="73"/>
      <c r="D639" s="71"/>
      <c r="E639" s="71"/>
      <c r="F639" s="71"/>
    </row>
    <row r="640">
      <c r="A640" s="68"/>
      <c r="B640" s="69"/>
      <c r="C640" s="73"/>
      <c r="D640" s="71"/>
      <c r="E640" s="71"/>
      <c r="F640" s="71"/>
    </row>
    <row r="641">
      <c r="A641" s="68"/>
      <c r="B641" s="69"/>
      <c r="C641" s="73"/>
      <c r="D641" s="71"/>
      <c r="E641" s="71"/>
      <c r="F641" s="71"/>
    </row>
    <row r="642">
      <c r="A642" s="68"/>
      <c r="B642" s="69"/>
      <c r="C642" s="73"/>
      <c r="D642" s="71"/>
      <c r="E642" s="71"/>
      <c r="F642" s="71"/>
    </row>
    <row r="643">
      <c r="A643" s="68"/>
      <c r="B643" s="69"/>
      <c r="C643" s="73"/>
      <c r="D643" s="71"/>
      <c r="E643" s="71"/>
      <c r="F643" s="71"/>
    </row>
    <row r="644">
      <c r="A644" s="68"/>
      <c r="B644" s="69"/>
      <c r="C644" s="73"/>
      <c r="D644" s="71"/>
      <c r="E644" s="71"/>
      <c r="F644" s="71"/>
    </row>
    <row r="645">
      <c r="A645" s="68"/>
      <c r="B645" s="69"/>
      <c r="C645" s="73"/>
      <c r="D645" s="71"/>
      <c r="E645" s="71"/>
      <c r="F645" s="71"/>
    </row>
    <row r="646">
      <c r="A646" s="68"/>
      <c r="B646" s="69"/>
      <c r="C646" s="73"/>
      <c r="D646" s="71"/>
      <c r="E646" s="71"/>
      <c r="F646" s="71"/>
    </row>
    <row r="647">
      <c r="A647" s="68"/>
      <c r="B647" s="69"/>
      <c r="C647" s="73"/>
      <c r="D647" s="71"/>
      <c r="E647" s="71"/>
      <c r="F647" s="71"/>
    </row>
    <row r="648">
      <c r="A648" s="68"/>
      <c r="B648" s="69"/>
      <c r="C648" s="73"/>
      <c r="D648" s="71"/>
      <c r="E648" s="71"/>
      <c r="F648" s="71"/>
    </row>
    <row r="649">
      <c r="A649" s="68"/>
      <c r="B649" s="69"/>
      <c r="C649" s="73"/>
      <c r="D649" s="71"/>
      <c r="E649" s="71"/>
      <c r="F649" s="71"/>
    </row>
    <row r="650">
      <c r="A650" s="68"/>
      <c r="B650" s="69"/>
      <c r="C650" s="73"/>
      <c r="D650" s="71"/>
      <c r="E650" s="71"/>
      <c r="F650" s="71"/>
    </row>
    <row r="651">
      <c r="A651" s="68"/>
      <c r="B651" s="69"/>
      <c r="C651" s="73"/>
      <c r="D651" s="71"/>
      <c r="E651" s="71"/>
      <c r="F651" s="71"/>
    </row>
    <row r="652">
      <c r="A652" s="68"/>
      <c r="B652" s="69"/>
      <c r="C652" s="73"/>
      <c r="D652" s="71"/>
      <c r="E652" s="71"/>
      <c r="F652" s="71"/>
    </row>
    <row r="653">
      <c r="A653" s="68"/>
      <c r="B653" s="69"/>
      <c r="C653" s="73"/>
      <c r="D653" s="71"/>
      <c r="E653" s="71"/>
      <c r="F653" s="71"/>
    </row>
    <row r="654">
      <c r="A654" s="68"/>
      <c r="B654" s="69"/>
      <c r="C654" s="73"/>
      <c r="D654" s="71"/>
      <c r="E654" s="71"/>
      <c r="F654" s="71"/>
    </row>
    <row r="655">
      <c r="A655" s="68"/>
      <c r="B655" s="69"/>
      <c r="C655" s="73"/>
      <c r="D655" s="71"/>
      <c r="E655" s="71"/>
      <c r="F655" s="71"/>
    </row>
    <row r="656">
      <c r="A656" s="68"/>
      <c r="B656" s="69"/>
      <c r="C656" s="73"/>
      <c r="D656" s="71"/>
      <c r="E656" s="71"/>
      <c r="F656" s="71"/>
    </row>
    <row r="657">
      <c r="A657" s="68"/>
      <c r="B657" s="69"/>
      <c r="C657" s="73"/>
      <c r="D657" s="71"/>
      <c r="E657" s="71"/>
      <c r="F657" s="71"/>
    </row>
    <row r="658">
      <c r="A658" s="68"/>
      <c r="B658" s="69"/>
      <c r="C658" s="73"/>
      <c r="D658" s="71"/>
      <c r="E658" s="71"/>
      <c r="F658" s="71"/>
    </row>
    <row r="659">
      <c r="A659" s="68"/>
      <c r="B659" s="69"/>
      <c r="C659" s="73"/>
      <c r="D659" s="71"/>
      <c r="E659" s="71"/>
      <c r="F659" s="71"/>
    </row>
    <row r="660">
      <c r="A660" s="68"/>
      <c r="B660" s="69"/>
      <c r="C660" s="73"/>
      <c r="D660" s="71"/>
      <c r="E660" s="71"/>
      <c r="F660" s="71"/>
    </row>
    <row r="661">
      <c r="A661" s="68"/>
      <c r="B661" s="69"/>
      <c r="C661" s="73"/>
      <c r="D661" s="71"/>
      <c r="E661" s="71"/>
      <c r="F661" s="71"/>
    </row>
    <row r="662">
      <c r="A662" s="68"/>
      <c r="B662" s="69"/>
      <c r="C662" s="73"/>
      <c r="D662" s="71"/>
      <c r="E662" s="71"/>
      <c r="F662" s="71"/>
    </row>
    <row r="663">
      <c r="A663" s="68"/>
      <c r="B663" s="69"/>
      <c r="C663" s="73"/>
      <c r="D663" s="71"/>
      <c r="E663" s="71"/>
      <c r="F663" s="71"/>
    </row>
    <row r="664">
      <c r="A664" s="68"/>
      <c r="B664" s="69"/>
      <c r="C664" s="73"/>
      <c r="D664" s="71"/>
      <c r="E664" s="71"/>
      <c r="F664" s="71"/>
    </row>
    <row r="665">
      <c r="A665" s="68"/>
      <c r="B665" s="69"/>
      <c r="C665" s="73"/>
      <c r="D665" s="71"/>
      <c r="E665" s="71"/>
      <c r="F665" s="71"/>
    </row>
    <row r="666">
      <c r="A666" s="68"/>
      <c r="B666" s="69"/>
      <c r="C666" s="73"/>
      <c r="D666" s="71"/>
      <c r="E666" s="71"/>
      <c r="F666" s="71"/>
    </row>
    <row r="667">
      <c r="A667" s="68"/>
      <c r="B667" s="69"/>
      <c r="C667" s="73"/>
      <c r="D667" s="71"/>
      <c r="E667" s="71"/>
      <c r="F667" s="71"/>
    </row>
    <row r="668">
      <c r="A668" s="68"/>
      <c r="B668" s="69"/>
      <c r="C668" s="73"/>
      <c r="D668" s="71"/>
      <c r="E668" s="71"/>
      <c r="F668" s="71"/>
    </row>
    <row r="669">
      <c r="A669" s="68"/>
      <c r="B669" s="69"/>
      <c r="C669" s="73"/>
      <c r="D669" s="71"/>
      <c r="E669" s="71"/>
      <c r="F669" s="71"/>
    </row>
    <row r="670">
      <c r="A670" s="68"/>
      <c r="B670" s="69"/>
      <c r="C670" s="73"/>
      <c r="D670" s="71"/>
      <c r="E670" s="71"/>
      <c r="F670" s="71"/>
    </row>
    <row r="671">
      <c r="A671" s="68"/>
      <c r="B671" s="69"/>
      <c r="C671" s="73"/>
      <c r="D671" s="71"/>
      <c r="E671" s="71"/>
      <c r="F671" s="71"/>
    </row>
    <row r="672">
      <c r="A672" s="68"/>
      <c r="B672" s="69"/>
      <c r="C672" s="73"/>
      <c r="D672" s="71"/>
      <c r="E672" s="71"/>
      <c r="F672" s="71"/>
    </row>
    <row r="673">
      <c r="A673" s="68"/>
      <c r="B673" s="69"/>
      <c r="C673" s="73"/>
      <c r="D673" s="71"/>
      <c r="E673" s="71"/>
      <c r="F673" s="71"/>
    </row>
    <row r="674">
      <c r="A674" s="68"/>
      <c r="B674" s="69"/>
      <c r="C674" s="73"/>
      <c r="D674" s="71"/>
      <c r="E674" s="71"/>
      <c r="F674" s="71"/>
    </row>
    <row r="675">
      <c r="A675" s="68"/>
      <c r="B675" s="69"/>
      <c r="C675" s="73"/>
      <c r="D675" s="71"/>
      <c r="E675" s="71"/>
      <c r="F675" s="71"/>
    </row>
    <row r="676">
      <c r="A676" s="68"/>
      <c r="B676" s="69"/>
      <c r="C676" s="73"/>
      <c r="D676" s="71"/>
      <c r="E676" s="71"/>
      <c r="F676" s="71"/>
    </row>
    <row r="677">
      <c r="A677" s="68"/>
      <c r="B677" s="69"/>
      <c r="C677" s="73"/>
      <c r="D677" s="71"/>
      <c r="E677" s="71"/>
      <c r="F677" s="71"/>
    </row>
    <row r="678">
      <c r="A678" s="68"/>
      <c r="B678" s="69"/>
      <c r="C678" s="73"/>
      <c r="D678" s="71"/>
      <c r="E678" s="71"/>
      <c r="F678" s="71"/>
    </row>
    <row r="679">
      <c r="A679" s="68"/>
      <c r="B679" s="69"/>
      <c r="C679" s="73"/>
      <c r="D679" s="71"/>
      <c r="E679" s="71"/>
      <c r="F679" s="71"/>
    </row>
    <row r="680">
      <c r="A680" s="68"/>
      <c r="B680" s="69"/>
      <c r="C680" s="73"/>
      <c r="D680" s="71"/>
      <c r="E680" s="71"/>
      <c r="F680" s="71"/>
    </row>
    <row r="681">
      <c r="A681" s="68"/>
      <c r="B681" s="69"/>
      <c r="C681" s="73"/>
      <c r="D681" s="71"/>
      <c r="E681" s="71"/>
      <c r="F681" s="71"/>
    </row>
    <row r="682">
      <c r="A682" s="68"/>
      <c r="B682" s="69"/>
      <c r="C682" s="73"/>
      <c r="D682" s="71"/>
      <c r="E682" s="71"/>
      <c r="F682" s="71"/>
    </row>
    <row r="683">
      <c r="A683" s="68"/>
      <c r="B683" s="69"/>
      <c r="C683" s="73"/>
      <c r="D683" s="71"/>
      <c r="E683" s="71"/>
      <c r="F683" s="71"/>
    </row>
    <row r="684">
      <c r="A684" s="68"/>
      <c r="B684" s="69"/>
      <c r="C684" s="73"/>
      <c r="D684" s="71"/>
      <c r="E684" s="71"/>
      <c r="F684" s="71"/>
    </row>
    <row r="685">
      <c r="A685" s="68"/>
      <c r="B685" s="69"/>
      <c r="C685" s="73"/>
      <c r="D685" s="71"/>
      <c r="E685" s="71"/>
      <c r="F685" s="71"/>
    </row>
    <row r="686">
      <c r="A686" s="68"/>
      <c r="B686" s="69"/>
      <c r="C686" s="73"/>
      <c r="D686" s="71"/>
      <c r="E686" s="71"/>
      <c r="F686" s="71"/>
    </row>
    <row r="687">
      <c r="A687" s="68"/>
      <c r="B687" s="69"/>
      <c r="C687" s="73"/>
      <c r="D687" s="71"/>
      <c r="E687" s="71"/>
      <c r="F687" s="71"/>
    </row>
    <row r="688">
      <c r="A688" s="68"/>
      <c r="B688" s="69"/>
      <c r="C688" s="73"/>
      <c r="D688" s="71"/>
      <c r="E688" s="71"/>
      <c r="F688" s="71"/>
    </row>
    <row r="689">
      <c r="A689" s="68"/>
      <c r="B689" s="69"/>
      <c r="C689" s="73"/>
      <c r="D689" s="71"/>
      <c r="E689" s="71"/>
      <c r="F689" s="71"/>
    </row>
    <row r="690">
      <c r="A690" s="68"/>
      <c r="B690" s="69"/>
      <c r="C690" s="73"/>
      <c r="D690" s="71"/>
      <c r="E690" s="71"/>
      <c r="F690" s="71"/>
    </row>
    <row r="691">
      <c r="A691" s="68"/>
      <c r="B691" s="69"/>
      <c r="C691" s="73"/>
      <c r="D691" s="71"/>
      <c r="E691" s="71"/>
      <c r="F691" s="71"/>
    </row>
    <row r="692">
      <c r="A692" s="68"/>
      <c r="B692" s="69"/>
      <c r="C692" s="73"/>
      <c r="D692" s="71"/>
      <c r="E692" s="71"/>
      <c r="F692" s="71"/>
    </row>
    <row r="693">
      <c r="A693" s="68"/>
      <c r="B693" s="69"/>
      <c r="C693" s="73"/>
      <c r="D693" s="71"/>
      <c r="E693" s="71"/>
      <c r="F693" s="71"/>
    </row>
    <row r="694">
      <c r="A694" s="68"/>
      <c r="B694" s="69"/>
      <c r="C694" s="73"/>
      <c r="D694" s="71"/>
      <c r="E694" s="71"/>
      <c r="F694" s="71"/>
    </row>
    <row r="695">
      <c r="A695" s="68"/>
      <c r="B695" s="69"/>
      <c r="C695" s="73"/>
      <c r="D695" s="71"/>
      <c r="E695" s="71"/>
      <c r="F695" s="71"/>
    </row>
    <row r="696">
      <c r="A696" s="68"/>
      <c r="B696" s="69"/>
      <c r="C696" s="73"/>
      <c r="D696" s="71"/>
      <c r="E696" s="71"/>
      <c r="F696" s="71"/>
    </row>
    <row r="697">
      <c r="A697" s="68"/>
      <c r="B697" s="69"/>
      <c r="C697" s="73"/>
      <c r="D697" s="71"/>
      <c r="E697" s="71"/>
      <c r="F697" s="71"/>
    </row>
    <row r="698">
      <c r="A698" s="68"/>
      <c r="B698" s="69"/>
      <c r="C698" s="73"/>
      <c r="D698" s="71"/>
      <c r="E698" s="71"/>
      <c r="F698" s="71"/>
    </row>
    <row r="699">
      <c r="A699" s="68"/>
      <c r="B699" s="69"/>
      <c r="C699" s="73"/>
      <c r="D699" s="71"/>
      <c r="E699" s="71"/>
      <c r="F699" s="71"/>
    </row>
    <row r="700">
      <c r="A700" s="68"/>
      <c r="B700" s="69"/>
      <c r="C700" s="73"/>
      <c r="D700" s="71"/>
      <c r="E700" s="71"/>
      <c r="F700" s="71"/>
    </row>
    <row r="701">
      <c r="A701" s="68"/>
      <c r="B701" s="69"/>
      <c r="C701" s="73"/>
      <c r="D701" s="71"/>
      <c r="E701" s="71"/>
      <c r="F701" s="71"/>
    </row>
    <row r="702">
      <c r="A702" s="68"/>
      <c r="B702" s="69"/>
      <c r="C702" s="73"/>
      <c r="D702" s="71"/>
      <c r="E702" s="71"/>
      <c r="F702" s="71"/>
    </row>
    <row r="703">
      <c r="A703" s="68"/>
      <c r="B703" s="69"/>
      <c r="C703" s="73"/>
      <c r="D703" s="71"/>
      <c r="E703" s="71"/>
      <c r="F703" s="71"/>
    </row>
    <row r="704">
      <c r="A704" s="68"/>
      <c r="B704" s="69"/>
      <c r="C704" s="73"/>
      <c r="D704" s="71"/>
      <c r="E704" s="71"/>
      <c r="F704" s="71"/>
    </row>
    <row r="705">
      <c r="A705" s="68"/>
      <c r="B705" s="69"/>
      <c r="C705" s="73"/>
      <c r="D705" s="71"/>
      <c r="E705" s="71"/>
      <c r="F705" s="71"/>
    </row>
    <row r="706">
      <c r="A706" s="68"/>
      <c r="B706" s="69"/>
      <c r="C706" s="73"/>
      <c r="D706" s="71"/>
      <c r="E706" s="71"/>
      <c r="F706" s="71"/>
    </row>
    <row r="707">
      <c r="A707" s="68"/>
      <c r="B707" s="69"/>
      <c r="C707" s="73"/>
      <c r="D707" s="71"/>
      <c r="E707" s="71"/>
      <c r="F707" s="71"/>
    </row>
    <row r="708">
      <c r="A708" s="68"/>
      <c r="B708" s="69"/>
      <c r="C708" s="73"/>
      <c r="D708" s="71"/>
      <c r="E708" s="71"/>
      <c r="F708" s="71"/>
    </row>
    <row r="709">
      <c r="A709" s="68"/>
      <c r="B709" s="69"/>
      <c r="C709" s="73"/>
      <c r="D709" s="71"/>
      <c r="E709" s="71"/>
      <c r="F709" s="71"/>
    </row>
    <row r="710">
      <c r="A710" s="68"/>
      <c r="B710" s="69"/>
      <c r="C710" s="73"/>
      <c r="D710" s="71"/>
      <c r="E710" s="71"/>
      <c r="F710" s="71"/>
    </row>
    <row r="711">
      <c r="A711" s="68"/>
      <c r="B711" s="69"/>
      <c r="C711" s="73"/>
      <c r="D711" s="71"/>
      <c r="E711" s="71"/>
      <c r="F711" s="71"/>
    </row>
    <row r="712">
      <c r="A712" s="68"/>
      <c r="B712" s="69"/>
      <c r="C712" s="73"/>
      <c r="D712" s="71"/>
      <c r="E712" s="71"/>
      <c r="F712" s="71"/>
    </row>
    <row r="713">
      <c r="A713" s="68"/>
      <c r="B713" s="69"/>
      <c r="C713" s="73"/>
      <c r="D713" s="71"/>
      <c r="E713" s="71"/>
      <c r="F713" s="71"/>
    </row>
    <row r="714">
      <c r="A714" s="68"/>
      <c r="B714" s="69"/>
      <c r="C714" s="73"/>
      <c r="D714" s="71"/>
      <c r="E714" s="71"/>
      <c r="F714" s="71"/>
    </row>
    <row r="715">
      <c r="A715" s="68"/>
      <c r="B715" s="69"/>
      <c r="C715" s="73"/>
      <c r="D715" s="71"/>
      <c r="E715" s="71"/>
      <c r="F715" s="71"/>
    </row>
    <row r="716">
      <c r="A716" s="68"/>
      <c r="B716" s="69"/>
      <c r="C716" s="73"/>
      <c r="D716" s="71"/>
      <c r="E716" s="71"/>
      <c r="F716" s="71"/>
    </row>
    <row r="717">
      <c r="A717" s="68"/>
      <c r="B717" s="69"/>
      <c r="C717" s="73"/>
      <c r="D717" s="71"/>
      <c r="E717" s="71"/>
      <c r="F717" s="71"/>
    </row>
    <row r="718">
      <c r="A718" s="68"/>
      <c r="B718" s="69"/>
      <c r="C718" s="73"/>
      <c r="D718" s="71"/>
      <c r="E718" s="71"/>
      <c r="F718" s="71"/>
    </row>
    <row r="719">
      <c r="A719" s="68"/>
      <c r="B719" s="69"/>
      <c r="C719" s="73"/>
      <c r="D719" s="71"/>
      <c r="E719" s="71"/>
      <c r="F719" s="71"/>
    </row>
    <row r="720">
      <c r="A720" s="68"/>
      <c r="B720" s="69"/>
      <c r="C720" s="73"/>
      <c r="D720" s="71"/>
      <c r="E720" s="71"/>
      <c r="F720" s="71"/>
    </row>
    <row r="721">
      <c r="A721" s="68"/>
      <c r="B721" s="69"/>
      <c r="C721" s="73"/>
      <c r="D721" s="71"/>
      <c r="E721" s="71"/>
      <c r="F721" s="71"/>
    </row>
    <row r="722">
      <c r="A722" s="68"/>
      <c r="B722" s="69"/>
      <c r="C722" s="73"/>
      <c r="D722" s="71"/>
      <c r="E722" s="71"/>
      <c r="F722" s="71"/>
    </row>
    <row r="723">
      <c r="A723" s="68"/>
      <c r="B723" s="69"/>
      <c r="C723" s="73"/>
      <c r="D723" s="71"/>
      <c r="E723" s="71"/>
      <c r="F723" s="71"/>
    </row>
    <row r="724">
      <c r="A724" s="68"/>
      <c r="B724" s="69"/>
      <c r="C724" s="73"/>
      <c r="D724" s="71"/>
      <c r="E724" s="71"/>
      <c r="F724" s="71"/>
    </row>
    <row r="725">
      <c r="A725" s="68"/>
      <c r="B725" s="69"/>
      <c r="C725" s="73"/>
      <c r="D725" s="71"/>
      <c r="E725" s="71"/>
      <c r="F725" s="71"/>
    </row>
    <row r="726">
      <c r="A726" s="68"/>
      <c r="B726" s="69"/>
      <c r="C726" s="73"/>
      <c r="D726" s="71"/>
      <c r="E726" s="71"/>
      <c r="F726" s="71"/>
    </row>
    <row r="727">
      <c r="A727" s="68"/>
      <c r="B727" s="69"/>
      <c r="C727" s="73"/>
      <c r="D727" s="71"/>
      <c r="E727" s="71"/>
      <c r="F727" s="71"/>
    </row>
    <row r="728">
      <c r="A728" s="68"/>
      <c r="B728" s="69"/>
      <c r="C728" s="73"/>
      <c r="D728" s="71"/>
      <c r="E728" s="71"/>
      <c r="F728" s="71"/>
    </row>
    <row r="729">
      <c r="A729" s="68"/>
      <c r="B729" s="69"/>
      <c r="C729" s="73"/>
      <c r="D729" s="71"/>
      <c r="E729" s="71"/>
      <c r="F729" s="71"/>
    </row>
    <row r="730">
      <c r="A730" s="68"/>
      <c r="B730" s="69"/>
      <c r="C730" s="73"/>
      <c r="D730" s="71"/>
      <c r="E730" s="71"/>
      <c r="F730" s="71"/>
    </row>
    <row r="731">
      <c r="A731" s="68"/>
      <c r="B731" s="69"/>
      <c r="C731" s="73"/>
      <c r="D731" s="71"/>
      <c r="E731" s="71"/>
      <c r="F731" s="71"/>
    </row>
    <row r="732">
      <c r="A732" s="68"/>
      <c r="B732" s="69"/>
      <c r="C732" s="73"/>
      <c r="D732" s="71"/>
      <c r="E732" s="71"/>
      <c r="F732" s="71"/>
    </row>
    <row r="733">
      <c r="A733" s="68"/>
      <c r="B733" s="69"/>
      <c r="C733" s="73"/>
      <c r="D733" s="71"/>
      <c r="E733" s="71"/>
      <c r="F733" s="71"/>
    </row>
    <row r="734">
      <c r="A734" s="68"/>
      <c r="B734" s="69"/>
      <c r="C734" s="73"/>
      <c r="D734" s="71"/>
      <c r="E734" s="71"/>
      <c r="F734" s="71"/>
    </row>
    <row r="735">
      <c r="A735" s="68"/>
      <c r="B735" s="69"/>
      <c r="C735" s="73"/>
      <c r="D735" s="71"/>
      <c r="E735" s="71"/>
      <c r="F735" s="71"/>
    </row>
    <row r="736">
      <c r="A736" s="68"/>
      <c r="B736" s="69"/>
      <c r="C736" s="73"/>
      <c r="D736" s="71"/>
      <c r="E736" s="71"/>
      <c r="F736" s="71"/>
    </row>
    <row r="737">
      <c r="A737" s="68"/>
      <c r="B737" s="69"/>
      <c r="C737" s="73"/>
      <c r="D737" s="71"/>
      <c r="E737" s="71"/>
      <c r="F737" s="71"/>
    </row>
    <row r="738">
      <c r="A738" s="68"/>
      <c r="B738" s="69"/>
      <c r="C738" s="73"/>
      <c r="D738" s="71"/>
      <c r="E738" s="71"/>
      <c r="F738" s="71"/>
    </row>
    <row r="739">
      <c r="A739" s="68"/>
      <c r="B739" s="69"/>
      <c r="C739" s="73"/>
      <c r="D739" s="71"/>
      <c r="E739" s="71"/>
      <c r="F739" s="71"/>
    </row>
    <row r="740">
      <c r="A740" s="68"/>
      <c r="B740" s="69"/>
      <c r="C740" s="73"/>
      <c r="D740" s="71"/>
      <c r="E740" s="71"/>
      <c r="F740" s="71"/>
    </row>
    <row r="741">
      <c r="A741" s="68"/>
      <c r="B741" s="69"/>
      <c r="C741" s="73"/>
      <c r="D741" s="71"/>
      <c r="E741" s="71"/>
      <c r="F741" s="71"/>
    </row>
    <row r="742">
      <c r="A742" s="68"/>
      <c r="B742" s="69"/>
      <c r="C742" s="73"/>
      <c r="D742" s="71"/>
      <c r="E742" s="71"/>
      <c r="F742" s="71"/>
    </row>
    <row r="743">
      <c r="A743" s="68"/>
      <c r="B743" s="69"/>
      <c r="C743" s="73"/>
      <c r="D743" s="71"/>
      <c r="E743" s="71"/>
      <c r="F743" s="71"/>
    </row>
    <row r="744">
      <c r="A744" s="68"/>
      <c r="B744" s="69"/>
      <c r="C744" s="73"/>
      <c r="D744" s="71"/>
      <c r="E744" s="71"/>
      <c r="F744" s="71"/>
    </row>
    <row r="745">
      <c r="A745" s="68"/>
      <c r="B745" s="69"/>
      <c r="C745" s="73"/>
      <c r="D745" s="71"/>
      <c r="E745" s="71"/>
      <c r="F745" s="71"/>
    </row>
    <row r="746">
      <c r="A746" s="68"/>
      <c r="B746" s="69"/>
      <c r="C746" s="73"/>
      <c r="D746" s="71"/>
      <c r="E746" s="71"/>
      <c r="F746" s="71"/>
    </row>
    <row r="747">
      <c r="A747" s="68"/>
      <c r="B747" s="69"/>
      <c r="C747" s="73"/>
      <c r="D747" s="71"/>
      <c r="E747" s="71"/>
      <c r="F747" s="71"/>
    </row>
    <row r="748">
      <c r="A748" s="68"/>
      <c r="B748" s="69"/>
      <c r="C748" s="73"/>
      <c r="D748" s="71"/>
      <c r="E748" s="71"/>
      <c r="F748" s="71"/>
    </row>
    <row r="749">
      <c r="A749" s="68"/>
      <c r="B749" s="69"/>
      <c r="C749" s="73"/>
      <c r="D749" s="71"/>
      <c r="E749" s="71"/>
      <c r="F749" s="71"/>
    </row>
    <row r="750">
      <c r="A750" s="68"/>
      <c r="B750" s="69"/>
      <c r="C750" s="73"/>
      <c r="D750" s="71"/>
      <c r="E750" s="71"/>
      <c r="F750" s="71"/>
    </row>
    <row r="751">
      <c r="A751" s="68"/>
      <c r="B751" s="69"/>
      <c r="C751" s="73"/>
      <c r="D751" s="71"/>
      <c r="E751" s="71"/>
      <c r="F751" s="71"/>
    </row>
    <row r="752">
      <c r="A752" s="68"/>
      <c r="B752" s="69"/>
      <c r="C752" s="73"/>
      <c r="D752" s="71"/>
      <c r="E752" s="71"/>
      <c r="F752" s="71"/>
    </row>
    <row r="753">
      <c r="A753" s="68"/>
      <c r="B753" s="69"/>
      <c r="C753" s="73"/>
      <c r="D753" s="71"/>
      <c r="E753" s="71"/>
      <c r="F753" s="71"/>
    </row>
    <row r="754">
      <c r="A754" s="68"/>
      <c r="B754" s="69"/>
      <c r="C754" s="73"/>
      <c r="D754" s="71"/>
      <c r="E754" s="71"/>
      <c r="F754" s="71"/>
    </row>
    <row r="755">
      <c r="A755" s="68"/>
      <c r="B755" s="69"/>
      <c r="C755" s="73"/>
      <c r="D755" s="71"/>
      <c r="E755" s="71"/>
      <c r="F755" s="71"/>
    </row>
    <row r="756">
      <c r="A756" s="68"/>
      <c r="B756" s="69"/>
      <c r="C756" s="73"/>
      <c r="D756" s="71"/>
      <c r="E756" s="71"/>
      <c r="F756" s="71"/>
    </row>
    <row r="757">
      <c r="A757" s="68"/>
      <c r="B757" s="69"/>
      <c r="C757" s="73"/>
      <c r="D757" s="71"/>
      <c r="E757" s="71"/>
      <c r="F757" s="71"/>
    </row>
    <row r="758">
      <c r="A758" s="68"/>
      <c r="B758" s="69"/>
      <c r="C758" s="73"/>
      <c r="D758" s="71"/>
      <c r="E758" s="71"/>
      <c r="F758" s="71"/>
    </row>
    <row r="759">
      <c r="A759" s="68"/>
      <c r="B759" s="69"/>
      <c r="C759" s="73"/>
      <c r="D759" s="71"/>
      <c r="E759" s="71"/>
      <c r="F759" s="71"/>
    </row>
    <row r="760">
      <c r="A760" s="68"/>
      <c r="B760" s="69"/>
      <c r="C760" s="73"/>
      <c r="D760" s="71"/>
      <c r="E760" s="71"/>
      <c r="F760" s="71"/>
    </row>
    <row r="761">
      <c r="A761" s="68"/>
      <c r="B761" s="69"/>
      <c r="C761" s="73"/>
      <c r="D761" s="71"/>
      <c r="E761" s="71"/>
      <c r="F761" s="71"/>
    </row>
    <row r="762">
      <c r="A762" s="68"/>
      <c r="B762" s="69"/>
      <c r="C762" s="73"/>
      <c r="D762" s="71"/>
      <c r="E762" s="71"/>
      <c r="F762" s="71"/>
    </row>
    <row r="763">
      <c r="A763" s="68"/>
      <c r="B763" s="69"/>
      <c r="C763" s="73"/>
      <c r="D763" s="71"/>
      <c r="E763" s="71"/>
      <c r="F763" s="71"/>
    </row>
    <row r="764">
      <c r="A764" s="68"/>
      <c r="B764" s="69"/>
      <c r="C764" s="73"/>
      <c r="D764" s="71"/>
      <c r="E764" s="71"/>
      <c r="F764" s="71"/>
    </row>
    <row r="765">
      <c r="A765" s="68"/>
      <c r="B765" s="69"/>
      <c r="C765" s="73"/>
      <c r="D765" s="71"/>
      <c r="E765" s="71"/>
      <c r="F765" s="71"/>
    </row>
    <row r="766">
      <c r="A766" s="68"/>
      <c r="B766" s="69"/>
      <c r="C766" s="73"/>
      <c r="D766" s="71"/>
      <c r="E766" s="71"/>
      <c r="F766" s="71"/>
    </row>
    <row r="767">
      <c r="A767" s="68"/>
      <c r="B767" s="69"/>
      <c r="C767" s="73"/>
      <c r="D767" s="71"/>
      <c r="E767" s="71"/>
      <c r="F767" s="71"/>
    </row>
    <row r="768">
      <c r="A768" s="68"/>
      <c r="B768" s="69"/>
      <c r="C768" s="73"/>
      <c r="D768" s="71"/>
      <c r="E768" s="71"/>
      <c r="F768" s="71"/>
    </row>
    <row r="769">
      <c r="A769" s="68"/>
      <c r="B769" s="69"/>
      <c r="C769" s="73"/>
      <c r="D769" s="71"/>
      <c r="E769" s="71"/>
      <c r="F769" s="71"/>
    </row>
    <row r="770">
      <c r="A770" s="68"/>
      <c r="B770" s="69"/>
      <c r="C770" s="73"/>
      <c r="D770" s="71"/>
      <c r="E770" s="71"/>
      <c r="F770" s="71"/>
    </row>
    <row r="771">
      <c r="A771" s="68"/>
      <c r="B771" s="69"/>
      <c r="C771" s="73"/>
      <c r="D771" s="71"/>
      <c r="E771" s="71"/>
      <c r="F771" s="71"/>
    </row>
    <row r="772">
      <c r="A772" s="68"/>
      <c r="B772" s="69"/>
      <c r="C772" s="73"/>
      <c r="D772" s="71"/>
      <c r="E772" s="71"/>
      <c r="F772" s="71"/>
    </row>
    <row r="773">
      <c r="A773" s="68"/>
      <c r="B773" s="69"/>
      <c r="C773" s="73"/>
      <c r="D773" s="71"/>
      <c r="E773" s="71"/>
      <c r="F773" s="71"/>
    </row>
    <row r="774">
      <c r="A774" s="68"/>
      <c r="B774" s="69"/>
      <c r="C774" s="73"/>
      <c r="D774" s="71"/>
      <c r="E774" s="71"/>
      <c r="F774" s="71"/>
    </row>
    <row r="775">
      <c r="A775" s="68"/>
      <c r="B775" s="69"/>
      <c r="C775" s="73"/>
      <c r="D775" s="71"/>
      <c r="E775" s="71"/>
      <c r="F775" s="71"/>
    </row>
    <row r="776">
      <c r="A776" s="68"/>
      <c r="B776" s="69"/>
      <c r="C776" s="73"/>
      <c r="D776" s="71"/>
      <c r="E776" s="71"/>
      <c r="F776" s="71"/>
    </row>
    <row r="777">
      <c r="A777" s="68"/>
      <c r="B777" s="69"/>
      <c r="C777" s="73"/>
      <c r="D777" s="71"/>
      <c r="E777" s="71"/>
      <c r="F777" s="71"/>
    </row>
    <row r="778">
      <c r="A778" s="68"/>
      <c r="B778" s="69"/>
      <c r="C778" s="73"/>
      <c r="D778" s="71"/>
      <c r="E778" s="71"/>
      <c r="F778" s="71"/>
    </row>
    <row r="779">
      <c r="A779" s="68"/>
      <c r="B779" s="69"/>
      <c r="C779" s="73"/>
      <c r="D779" s="71"/>
      <c r="E779" s="71"/>
      <c r="F779" s="71"/>
    </row>
    <row r="780">
      <c r="A780" s="68"/>
      <c r="B780" s="69"/>
      <c r="C780" s="73"/>
      <c r="D780" s="71"/>
      <c r="E780" s="71"/>
      <c r="F780" s="71"/>
    </row>
    <row r="781">
      <c r="A781" s="68"/>
      <c r="B781" s="69"/>
      <c r="C781" s="73"/>
      <c r="D781" s="71"/>
      <c r="E781" s="71"/>
      <c r="F781" s="71"/>
    </row>
    <row r="782">
      <c r="A782" s="68"/>
      <c r="B782" s="69"/>
      <c r="C782" s="73"/>
      <c r="D782" s="71"/>
      <c r="E782" s="71"/>
      <c r="F782" s="71"/>
    </row>
    <row r="783">
      <c r="A783" s="68"/>
      <c r="B783" s="69"/>
      <c r="C783" s="73"/>
      <c r="D783" s="71"/>
      <c r="E783" s="71"/>
      <c r="F783" s="71"/>
    </row>
    <row r="784">
      <c r="A784" s="68"/>
      <c r="B784" s="69"/>
      <c r="C784" s="73"/>
      <c r="D784" s="71"/>
      <c r="E784" s="71"/>
      <c r="F784" s="71"/>
    </row>
    <row r="785">
      <c r="A785" s="68"/>
      <c r="B785" s="69"/>
      <c r="C785" s="73"/>
      <c r="D785" s="71"/>
      <c r="E785" s="71"/>
      <c r="F785" s="71"/>
    </row>
    <row r="786">
      <c r="A786" s="68"/>
      <c r="B786" s="69"/>
      <c r="C786" s="73"/>
      <c r="D786" s="71"/>
      <c r="E786" s="71"/>
      <c r="F786" s="71"/>
    </row>
    <row r="787">
      <c r="A787" s="68"/>
      <c r="B787" s="69"/>
      <c r="C787" s="73"/>
      <c r="D787" s="71"/>
      <c r="E787" s="71"/>
      <c r="F787" s="71"/>
    </row>
    <row r="788">
      <c r="A788" s="68"/>
      <c r="B788" s="69"/>
      <c r="C788" s="73"/>
      <c r="D788" s="71"/>
      <c r="E788" s="71"/>
      <c r="F788" s="71"/>
    </row>
    <row r="789">
      <c r="A789" s="68"/>
      <c r="B789" s="69"/>
      <c r="C789" s="73"/>
      <c r="D789" s="71"/>
      <c r="E789" s="71"/>
      <c r="F789" s="71"/>
    </row>
    <row r="790">
      <c r="A790" s="68"/>
      <c r="B790" s="69"/>
      <c r="C790" s="73"/>
      <c r="D790" s="71"/>
      <c r="E790" s="71"/>
      <c r="F790" s="71"/>
    </row>
    <row r="791">
      <c r="A791" s="68"/>
      <c r="B791" s="69"/>
      <c r="C791" s="73"/>
      <c r="D791" s="71"/>
      <c r="E791" s="71"/>
      <c r="F791" s="71"/>
    </row>
    <row r="792">
      <c r="A792" s="68"/>
      <c r="B792" s="69"/>
      <c r="C792" s="73"/>
      <c r="D792" s="71"/>
      <c r="E792" s="71"/>
      <c r="F792" s="71"/>
    </row>
    <row r="793">
      <c r="A793" s="68"/>
      <c r="B793" s="69"/>
      <c r="C793" s="73"/>
      <c r="D793" s="71"/>
      <c r="E793" s="71"/>
      <c r="F793" s="71"/>
    </row>
    <row r="794">
      <c r="A794" s="68"/>
      <c r="B794" s="69"/>
      <c r="C794" s="73"/>
      <c r="D794" s="71"/>
      <c r="E794" s="71"/>
      <c r="F794" s="71"/>
    </row>
    <row r="795">
      <c r="A795" s="68"/>
      <c r="B795" s="69"/>
      <c r="C795" s="73"/>
      <c r="D795" s="71"/>
      <c r="E795" s="71"/>
      <c r="F795" s="71"/>
    </row>
    <row r="796">
      <c r="A796" s="68"/>
      <c r="B796" s="69"/>
      <c r="C796" s="73"/>
      <c r="D796" s="71"/>
      <c r="E796" s="71"/>
      <c r="F796" s="71"/>
    </row>
    <row r="797">
      <c r="A797" s="68"/>
      <c r="B797" s="69"/>
      <c r="C797" s="73"/>
      <c r="D797" s="71"/>
      <c r="E797" s="71"/>
      <c r="F797" s="71"/>
    </row>
    <row r="798">
      <c r="A798" s="68"/>
      <c r="B798" s="69"/>
      <c r="C798" s="73"/>
      <c r="D798" s="71"/>
      <c r="E798" s="71"/>
      <c r="F798" s="71"/>
    </row>
    <row r="799">
      <c r="A799" s="68"/>
      <c r="B799" s="69"/>
      <c r="C799" s="73"/>
      <c r="D799" s="71"/>
      <c r="E799" s="71"/>
      <c r="F799" s="71"/>
    </row>
    <row r="800">
      <c r="A800" s="68"/>
      <c r="B800" s="69"/>
      <c r="C800" s="73"/>
      <c r="D800" s="71"/>
      <c r="E800" s="71"/>
      <c r="F800" s="71"/>
    </row>
    <row r="801">
      <c r="A801" s="68"/>
      <c r="B801" s="69"/>
      <c r="C801" s="73"/>
      <c r="D801" s="71"/>
      <c r="E801" s="71"/>
      <c r="F801" s="71"/>
    </row>
    <row r="802">
      <c r="A802" s="68"/>
      <c r="B802" s="69"/>
      <c r="C802" s="73"/>
      <c r="D802" s="71"/>
      <c r="E802" s="71"/>
      <c r="F802" s="71"/>
    </row>
    <row r="803">
      <c r="A803" s="68"/>
      <c r="B803" s="69"/>
      <c r="C803" s="73"/>
      <c r="D803" s="71"/>
      <c r="E803" s="71"/>
      <c r="F803" s="71"/>
    </row>
    <row r="804">
      <c r="A804" s="68"/>
      <c r="B804" s="69"/>
      <c r="C804" s="73"/>
      <c r="D804" s="71"/>
      <c r="E804" s="71"/>
      <c r="F804" s="71"/>
    </row>
    <row r="805">
      <c r="A805" s="68"/>
      <c r="B805" s="69"/>
      <c r="C805" s="73"/>
      <c r="D805" s="71"/>
      <c r="E805" s="71"/>
      <c r="F805" s="71"/>
    </row>
    <row r="806">
      <c r="A806" s="68"/>
      <c r="B806" s="69"/>
      <c r="C806" s="73"/>
      <c r="D806" s="71"/>
      <c r="E806" s="71"/>
      <c r="F806" s="71"/>
    </row>
    <row r="807">
      <c r="A807" s="68"/>
      <c r="B807" s="69"/>
      <c r="C807" s="73"/>
      <c r="D807" s="71"/>
      <c r="E807" s="71"/>
      <c r="F807" s="71"/>
    </row>
    <row r="808">
      <c r="A808" s="68"/>
      <c r="B808" s="69"/>
      <c r="C808" s="73"/>
      <c r="D808" s="71"/>
      <c r="E808" s="71"/>
      <c r="F808" s="71"/>
    </row>
    <row r="809">
      <c r="A809" s="68"/>
      <c r="B809" s="69"/>
      <c r="C809" s="73"/>
      <c r="D809" s="71"/>
      <c r="E809" s="71"/>
      <c r="F809" s="71"/>
    </row>
    <row r="810">
      <c r="A810" s="68"/>
      <c r="B810" s="69"/>
      <c r="C810" s="73"/>
      <c r="D810" s="71"/>
      <c r="E810" s="71"/>
      <c r="F810" s="71"/>
    </row>
    <row r="811">
      <c r="A811" s="68"/>
      <c r="B811" s="69"/>
      <c r="C811" s="73"/>
      <c r="D811" s="71"/>
      <c r="E811" s="71"/>
      <c r="F811" s="71"/>
    </row>
    <row r="812">
      <c r="A812" s="68"/>
      <c r="B812" s="69"/>
      <c r="C812" s="73"/>
      <c r="D812" s="71"/>
      <c r="E812" s="71"/>
      <c r="F812" s="71"/>
    </row>
    <row r="813">
      <c r="A813" s="68"/>
      <c r="B813" s="69"/>
      <c r="C813" s="73"/>
      <c r="D813" s="71"/>
      <c r="E813" s="71"/>
      <c r="F813" s="71"/>
    </row>
    <row r="814">
      <c r="A814" s="68"/>
      <c r="B814" s="69"/>
      <c r="C814" s="73"/>
      <c r="D814" s="71"/>
      <c r="E814" s="71"/>
      <c r="F814" s="71"/>
    </row>
    <row r="815">
      <c r="A815" s="68"/>
      <c r="B815" s="69"/>
      <c r="C815" s="73"/>
      <c r="D815" s="71"/>
      <c r="E815" s="71"/>
      <c r="F815" s="71"/>
    </row>
    <row r="816">
      <c r="A816" s="68"/>
      <c r="B816" s="69"/>
      <c r="C816" s="73"/>
      <c r="D816" s="71"/>
      <c r="E816" s="71"/>
      <c r="F816" s="71"/>
    </row>
    <row r="817">
      <c r="A817" s="68"/>
      <c r="B817" s="69"/>
      <c r="C817" s="73"/>
      <c r="D817" s="71"/>
      <c r="E817" s="71"/>
      <c r="F817" s="71"/>
    </row>
    <row r="818">
      <c r="A818" s="68"/>
      <c r="B818" s="69"/>
      <c r="C818" s="73"/>
      <c r="D818" s="71"/>
      <c r="E818" s="71"/>
      <c r="F818" s="71"/>
    </row>
    <row r="819">
      <c r="A819" s="68"/>
      <c r="B819" s="69"/>
      <c r="C819" s="73"/>
      <c r="D819" s="71"/>
      <c r="E819" s="71"/>
      <c r="F819" s="71"/>
    </row>
    <row r="820">
      <c r="A820" s="68"/>
      <c r="B820" s="69"/>
      <c r="C820" s="73"/>
      <c r="D820" s="71"/>
      <c r="E820" s="71"/>
      <c r="F820" s="71"/>
    </row>
    <row r="821">
      <c r="A821" s="68"/>
      <c r="B821" s="69"/>
      <c r="C821" s="73"/>
      <c r="D821" s="71"/>
      <c r="E821" s="71"/>
      <c r="F821" s="71"/>
    </row>
    <row r="822">
      <c r="A822" s="68"/>
      <c r="B822" s="69"/>
      <c r="C822" s="73"/>
      <c r="D822" s="71"/>
      <c r="E822" s="71"/>
      <c r="F822" s="71"/>
    </row>
    <row r="823">
      <c r="A823" s="68"/>
      <c r="B823" s="69"/>
      <c r="C823" s="73"/>
      <c r="D823" s="71"/>
      <c r="E823" s="71"/>
      <c r="F823" s="71"/>
    </row>
    <row r="824">
      <c r="A824" s="68"/>
      <c r="B824" s="69"/>
      <c r="C824" s="73"/>
      <c r="D824" s="71"/>
      <c r="E824" s="71"/>
      <c r="F824" s="71"/>
    </row>
    <row r="825">
      <c r="A825" s="68"/>
      <c r="B825" s="69"/>
      <c r="C825" s="73"/>
      <c r="D825" s="71"/>
      <c r="E825" s="71"/>
      <c r="F825" s="71"/>
    </row>
    <row r="826">
      <c r="A826" s="68"/>
      <c r="B826" s="69"/>
      <c r="C826" s="73"/>
      <c r="D826" s="71"/>
      <c r="E826" s="71"/>
      <c r="F826" s="71"/>
    </row>
    <row r="827">
      <c r="A827" s="68"/>
      <c r="B827" s="69"/>
      <c r="C827" s="73"/>
      <c r="D827" s="71"/>
      <c r="E827" s="71"/>
      <c r="F827" s="71"/>
    </row>
    <row r="828">
      <c r="A828" s="68"/>
      <c r="B828" s="69"/>
      <c r="C828" s="73"/>
      <c r="D828" s="71"/>
      <c r="E828" s="71"/>
      <c r="F828" s="71"/>
    </row>
    <row r="829">
      <c r="A829" s="68"/>
      <c r="B829" s="69"/>
      <c r="C829" s="73"/>
      <c r="D829" s="71"/>
      <c r="E829" s="71"/>
      <c r="F829" s="71"/>
    </row>
    <row r="830">
      <c r="A830" s="68"/>
      <c r="B830" s="69"/>
      <c r="C830" s="73"/>
      <c r="D830" s="71"/>
      <c r="E830" s="71"/>
      <c r="F830" s="71"/>
    </row>
    <row r="831">
      <c r="A831" s="68"/>
      <c r="B831" s="69"/>
      <c r="C831" s="73"/>
      <c r="D831" s="71"/>
      <c r="E831" s="71"/>
      <c r="F831" s="71"/>
    </row>
    <row r="832">
      <c r="A832" s="68"/>
      <c r="B832" s="69"/>
      <c r="C832" s="73"/>
      <c r="D832" s="71"/>
      <c r="E832" s="71"/>
      <c r="F832" s="71"/>
    </row>
    <row r="833">
      <c r="A833" s="68"/>
      <c r="B833" s="69"/>
      <c r="C833" s="73"/>
      <c r="D833" s="71"/>
      <c r="E833" s="71"/>
      <c r="F833" s="71"/>
    </row>
    <row r="834">
      <c r="A834" s="68"/>
      <c r="B834" s="69"/>
      <c r="C834" s="73"/>
      <c r="D834" s="71"/>
      <c r="E834" s="71"/>
      <c r="F834" s="71"/>
    </row>
    <row r="835">
      <c r="A835" s="68"/>
      <c r="B835" s="69"/>
      <c r="C835" s="73"/>
      <c r="D835" s="71"/>
      <c r="E835" s="71"/>
      <c r="F835" s="71"/>
    </row>
    <row r="836">
      <c r="A836" s="68"/>
      <c r="B836" s="69"/>
      <c r="C836" s="73"/>
      <c r="D836" s="71"/>
      <c r="E836" s="71"/>
      <c r="F836" s="71"/>
    </row>
    <row r="837">
      <c r="A837" s="68"/>
      <c r="B837" s="69"/>
      <c r="C837" s="73"/>
      <c r="D837" s="71"/>
      <c r="E837" s="71"/>
      <c r="F837" s="71"/>
    </row>
    <row r="838">
      <c r="A838" s="68"/>
      <c r="B838" s="69"/>
      <c r="C838" s="73"/>
      <c r="D838" s="71"/>
      <c r="E838" s="71"/>
      <c r="F838" s="71"/>
    </row>
    <row r="839">
      <c r="A839" s="68"/>
      <c r="B839" s="69"/>
      <c r="C839" s="73"/>
      <c r="D839" s="71"/>
      <c r="E839" s="71"/>
      <c r="F839" s="71"/>
    </row>
    <row r="840">
      <c r="A840" s="68"/>
      <c r="B840" s="69"/>
      <c r="C840" s="73"/>
      <c r="D840" s="71"/>
      <c r="E840" s="71"/>
      <c r="F840" s="71"/>
    </row>
    <row r="841">
      <c r="A841" s="68"/>
      <c r="B841" s="69"/>
      <c r="C841" s="73"/>
      <c r="D841" s="71"/>
      <c r="E841" s="71"/>
      <c r="F841" s="71"/>
    </row>
    <row r="842">
      <c r="A842" s="68"/>
      <c r="B842" s="69"/>
      <c r="C842" s="73"/>
      <c r="D842" s="71"/>
      <c r="E842" s="71"/>
      <c r="F842" s="71"/>
    </row>
    <row r="843">
      <c r="A843" s="68"/>
      <c r="B843" s="69"/>
      <c r="C843" s="73"/>
      <c r="D843" s="71"/>
      <c r="E843" s="71"/>
      <c r="F843" s="71"/>
    </row>
    <row r="844">
      <c r="A844" s="68"/>
      <c r="B844" s="69"/>
      <c r="C844" s="73"/>
      <c r="D844" s="71"/>
      <c r="E844" s="71"/>
      <c r="F844" s="71"/>
    </row>
    <row r="845">
      <c r="A845" s="68"/>
      <c r="B845" s="69"/>
      <c r="C845" s="73"/>
      <c r="D845" s="71"/>
      <c r="E845" s="71"/>
      <c r="F845" s="71"/>
    </row>
    <row r="846">
      <c r="A846" s="68"/>
      <c r="B846" s="69"/>
      <c r="C846" s="73"/>
      <c r="D846" s="71"/>
      <c r="E846" s="71"/>
      <c r="F846" s="71"/>
    </row>
    <row r="847">
      <c r="A847" s="68"/>
      <c r="B847" s="69"/>
      <c r="C847" s="73"/>
      <c r="D847" s="71"/>
      <c r="E847" s="71"/>
      <c r="F847" s="71"/>
    </row>
    <row r="848">
      <c r="A848" s="68"/>
      <c r="B848" s="69"/>
      <c r="C848" s="73"/>
      <c r="D848" s="71"/>
      <c r="E848" s="71"/>
      <c r="F848" s="71"/>
    </row>
    <row r="849">
      <c r="A849" s="68"/>
      <c r="B849" s="69"/>
      <c r="C849" s="73"/>
      <c r="D849" s="71"/>
      <c r="E849" s="71"/>
      <c r="F849" s="71"/>
    </row>
    <row r="850">
      <c r="A850" s="68"/>
      <c r="B850" s="69"/>
      <c r="C850" s="73"/>
      <c r="D850" s="71"/>
      <c r="E850" s="71"/>
      <c r="F850" s="71"/>
    </row>
    <row r="851">
      <c r="A851" s="68"/>
      <c r="B851" s="69"/>
      <c r="C851" s="73"/>
      <c r="D851" s="71"/>
      <c r="E851" s="71"/>
      <c r="F851" s="71"/>
    </row>
    <row r="852">
      <c r="A852" s="68"/>
      <c r="B852" s="69"/>
      <c r="C852" s="73"/>
      <c r="D852" s="71"/>
      <c r="E852" s="71"/>
      <c r="F852" s="71"/>
    </row>
    <row r="853">
      <c r="A853" s="68"/>
      <c r="B853" s="69"/>
      <c r="C853" s="73"/>
      <c r="D853" s="71"/>
      <c r="E853" s="71"/>
      <c r="F853" s="71"/>
    </row>
    <row r="854">
      <c r="A854" s="68"/>
      <c r="B854" s="69"/>
      <c r="C854" s="73"/>
      <c r="D854" s="71"/>
      <c r="E854" s="71"/>
      <c r="F854" s="71"/>
    </row>
    <row r="855">
      <c r="A855" s="68"/>
      <c r="B855" s="69"/>
      <c r="C855" s="73"/>
      <c r="D855" s="71"/>
      <c r="E855" s="71"/>
      <c r="F855" s="71"/>
    </row>
    <row r="856">
      <c r="A856" s="68"/>
      <c r="B856" s="69"/>
      <c r="C856" s="73"/>
      <c r="D856" s="71"/>
      <c r="E856" s="71"/>
      <c r="F856" s="71"/>
    </row>
    <row r="857">
      <c r="A857" s="68"/>
      <c r="B857" s="69"/>
      <c r="C857" s="73"/>
      <c r="D857" s="71"/>
      <c r="E857" s="71"/>
      <c r="F857" s="71"/>
    </row>
    <row r="858">
      <c r="A858" s="68"/>
      <c r="B858" s="69"/>
      <c r="C858" s="73"/>
      <c r="D858" s="71"/>
      <c r="E858" s="71"/>
      <c r="F858" s="71"/>
    </row>
    <row r="859">
      <c r="A859" s="68"/>
      <c r="B859" s="69"/>
      <c r="C859" s="73"/>
      <c r="D859" s="71"/>
      <c r="E859" s="71"/>
      <c r="F859" s="71"/>
    </row>
    <row r="860">
      <c r="A860" s="68"/>
      <c r="B860" s="69"/>
      <c r="C860" s="73"/>
      <c r="D860" s="71"/>
      <c r="E860" s="71"/>
      <c r="F860" s="71"/>
    </row>
    <row r="861">
      <c r="A861" s="68"/>
      <c r="B861" s="69"/>
      <c r="C861" s="73"/>
      <c r="D861" s="71"/>
      <c r="E861" s="71"/>
      <c r="F861" s="71"/>
    </row>
    <row r="862">
      <c r="A862" s="68"/>
      <c r="B862" s="69"/>
      <c r="C862" s="73"/>
      <c r="D862" s="71"/>
      <c r="E862" s="71"/>
      <c r="F862" s="71"/>
    </row>
    <row r="863">
      <c r="A863" s="68"/>
      <c r="B863" s="69"/>
      <c r="C863" s="73"/>
      <c r="D863" s="71"/>
      <c r="E863" s="71"/>
      <c r="F863" s="71"/>
    </row>
    <row r="864">
      <c r="A864" s="68"/>
      <c r="B864" s="69"/>
      <c r="C864" s="73"/>
      <c r="D864" s="71"/>
      <c r="E864" s="71"/>
      <c r="F864" s="71"/>
    </row>
    <row r="865">
      <c r="A865" s="68"/>
      <c r="B865" s="69"/>
      <c r="C865" s="73"/>
      <c r="D865" s="71"/>
      <c r="E865" s="71"/>
      <c r="F865" s="71"/>
    </row>
    <row r="866">
      <c r="A866" s="68"/>
      <c r="B866" s="69"/>
      <c r="C866" s="73"/>
      <c r="D866" s="71"/>
      <c r="E866" s="71"/>
      <c r="F866" s="71"/>
    </row>
    <row r="867">
      <c r="A867" s="68"/>
      <c r="B867" s="69"/>
      <c r="C867" s="73"/>
      <c r="D867" s="71"/>
      <c r="E867" s="71"/>
      <c r="F867" s="71"/>
    </row>
    <row r="868">
      <c r="A868" s="68"/>
      <c r="B868" s="69"/>
      <c r="C868" s="73"/>
      <c r="D868" s="71"/>
      <c r="E868" s="71"/>
      <c r="F868" s="71"/>
    </row>
    <row r="869">
      <c r="A869" s="68"/>
      <c r="B869" s="69"/>
      <c r="C869" s="73"/>
      <c r="D869" s="71"/>
      <c r="E869" s="71"/>
      <c r="F869" s="71"/>
    </row>
    <row r="870">
      <c r="A870" s="68"/>
      <c r="B870" s="69"/>
      <c r="C870" s="73"/>
      <c r="D870" s="71"/>
      <c r="E870" s="71"/>
      <c r="F870" s="71"/>
    </row>
    <row r="871">
      <c r="A871" s="68"/>
      <c r="B871" s="69"/>
      <c r="C871" s="73"/>
      <c r="D871" s="71"/>
      <c r="E871" s="71"/>
      <c r="F871" s="71"/>
    </row>
    <row r="872">
      <c r="A872" s="68"/>
      <c r="B872" s="69"/>
      <c r="C872" s="73"/>
      <c r="D872" s="71"/>
      <c r="E872" s="71"/>
      <c r="F872" s="71"/>
    </row>
    <row r="873">
      <c r="A873" s="68"/>
      <c r="B873" s="69"/>
      <c r="C873" s="73"/>
      <c r="D873" s="71"/>
      <c r="E873" s="71"/>
      <c r="F873" s="71"/>
    </row>
    <row r="874">
      <c r="A874" s="68"/>
      <c r="B874" s="69"/>
      <c r="C874" s="73"/>
      <c r="D874" s="71"/>
      <c r="E874" s="71"/>
      <c r="F874" s="71"/>
    </row>
    <row r="875">
      <c r="A875" s="68"/>
      <c r="B875" s="69"/>
      <c r="C875" s="73"/>
      <c r="D875" s="71"/>
      <c r="E875" s="71"/>
      <c r="F875" s="71"/>
    </row>
    <row r="876">
      <c r="A876" s="68"/>
      <c r="B876" s="69"/>
      <c r="C876" s="73"/>
      <c r="D876" s="71"/>
      <c r="E876" s="71"/>
      <c r="F876" s="71"/>
    </row>
    <row r="877">
      <c r="A877" s="68"/>
      <c r="B877" s="69"/>
      <c r="C877" s="73"/>
      <c r="D877" s="71"/>
      <c r="E877" s="71"/>
      <c r="F877" s="71"/>
    </row>
    <row r="878">
      <c r="A878" s="68"/>
      <c r="B878" s="69"/>
      <c r="C878" s="73"/>
      <c r="D878" s="71"/>
      <c r="E878" s="71"/>
      <c r="F878" s="71"/>
    </row>
    <row r="879">
      <c r="A879" s="68"/>
      <c r="B879" s="69"/>
      <c r="C879" s="73"/>
      <c r="D879" s="71"/>
      <c r="E879" s="71"/>
      <c r="F879" s="71"/>
    </row>
    <row r="880">
      <c r="A880" s="68"/>
      <c r="B880" s="69"/>
      <c r="C880" s="73"/>
      <c r="D880" s="71"/>
      <c r="E880" s="71"/>
      <c r="F880" s="71"/>
    </row>
    <row r="881">
      <c r="A881" s="68"/>
      <c r="B881" s="69"/>
      <c r="C881" s="73"/>
      <c r="D881" s="71"/>
      <c r="E881" s="71"/>
      <c r="F881" s="71"/>
    </row>
    <row r="882">
      <c r="A882" s="68"/>
      <c r="B882" s="69"/>
      <c r="C882" s="73"/>
      <c r="D882" s="71"/>
      <c r="E882" s="71"/>
      <c r="F882" s="71"/>
    </row>
    <row r="883">
      <c r="A883" s="68"/>
      <c r="B883" s="69"/>
      <c r="C883" s="73"/>
      <c r="D883" s="71"/>
      <c r="E883" s="71"/>
      <c r="F883" s="71"/>
    </row>
    <row r="884">
      <c r="A884" s="68"/>
      <c r="B884" s="69"/>
      <c r="C884" s="73"/>
      <c r="D884" s="71"/>
      <c r="E884" s="71"/>
      <c r="F884" s="71"/>
    </row>
    <row r="885">
      <c r="A885" s="68"/>
      <c r="B885" s="69"/>
      <c r="C885" s="73"/>
      <c r="D885" s="71"/>
      <c r="E885" s="71"/>
      <c r="F885" s="71"/>
    </row>
    <row r="886">
      <c r="A886" s="68"/>
      <c r="B886" s="69"/>
      <c r="C886" s="73"/>
      <c r="D886" s="71"/>
      <c r="E886" s="71"/>
      <c r="F886" s="71"/>
    </row>
    <row r="887">
      <c r="A887" s="68"/>
      <c r="B887" s="69"/>
      <c r="C887" s="73"/>
      <c r="D887" s="71"/>
      <c r="E887" s="71"/>
      <c r="F887" s="71"/>
    </row>
    <row r="888">
      <c r="A888" s="68"/>
      <c r="B888" s="69"/>
      <c r="C888" s="73"/>
      <c r="D888" s="71"/>
      <c r="E888" s="71"/>
      <c r="F888" s="71"/>
    </row>
    <row r="889">
      <c r="A889" s="68"/>
      <c r="B889" s="69"/>
      <c r="C889" s="73"/>
      <c r="D889" s="71"/>
      <c r="E889" s="71"/>
      <c r="F889" s="71"/>
    </row>
    <row r="890">
      <c r="A890" s="68"/>
      <c r="B890" s="69"/>
      <c r="C890" s="73"/>
      <c r="D890" s="71"/>
      <c r="E890" s="71"/>
      <c r="F890" s="71"/>
    </row>
    <row r="891">
      <c r="A891" s="68"/>
      <c r="B891" s="69"/>
      <c r="C891" s="73"/>
      <c r="D891" s="71"/>
      <c r="E891" s="71"/>
      <c r="F891" s="71"/>
    </row>
    <row r="892">
      <c r="A892" s="68"/>
      <c r="B892" s="69"/>
      <c r="C892" s="73"/>
      <c r="D892" s="71"/>
      <c r="E892" s="71"/>
      <c r="F892" s="71"/>
    </row>
    <row r="893">
      <c r="A893" s="68"/>
      <c r="B893" s="69"/>
      <c r="C893" s="73"/>
      <c r="D893" s="71"/>
      <c r="E893" s="71"/>
      <c r="F893" s="71"/>
    </row>
    <row r="894">
      <c r="A894" s="68"/>
      <c r="B894" s="69"/>
      <c r="C894" s="73"/>
      <c r="D894" s="71"/>
      <c r="E894" s="71"/>
      <c r="F894" s="71"/>
    </row>
    <row r="895">
      <c r="A895" s="68"/>
      <c r="B895" s="69"/>
      <c r="C895" s="73"/>
      <c r="D895" s="71"/>
      <c r="E895" s="71"/>
      <c r="F895" s="71"/>
    </row>
    <row r="896">
      <c r="A896" s="68"/>
      <c r="B896" s="69"/>
      <c r="C896" s="73"/>
      <c r="D896" s="71"/>
      <c r="E896" s="71"/>
      <c r="F896" s="71"/>
    </row>
    <row r="897">
      <c r="A897" s="68"/>
      <c r="B897" s="69"/>
      <c r="C897" s="73"/>
      <c r="D897" s="71"/>
      <c r="E897" s="71"/>
      <c r="F897" s="71"/>
    </row>
    <row r="898">
      <c r="A898" s="68"/>
      <c r="B898" s="69"/>
      <c r="C898" s="73"/>
      <c r="D898" s="71"/>
      <c r="E898" s="71"/>
      <c r="F898" s="71"/>
    </row>
    <row r="899">
      <c r="A899" s="68"/>
      <c r="B899" s="69"/>
      <c r="C899" s="73"/>
      <c r="D899" s="71"/>
      <c r="E899" s="71"/>
      <c r="F899" s="71"/>
    </row>
    <row r="900">
      <c r="A900" s="68"/>
      <c r="B900" s="69"/>
      <c r="C900" s="73"/>
      <c r="D900" s="71"/>
      <c r="E900" s="71"/>
      <c r="F900" s="71"/>
    </row>
    <row r="901">
      <c r="A901" s="68"/>
      <c r="B901" s="69"/>
      <c r="C901" s="73"/>
      <c r="D901" s="71"/>
      <c r="E901" s="71"/>
      <c r="F901" s="71"/>
    </row>
    <row r="902">
      <c r="A902" s="68"/>
      <c r="B902" s="69"/>
      <c r="C902" s="73"/>
      <c r="D902" s="71"/>
      <c r="E902" s="71"/>
      <c r="F902" s="71"/>
    </row>
    <row r="903">
      <c r="A903" s="68"/>
      <c r="B903" s="69"/>
      <c r="C903" s="73"/>
      <c r="D903" s="71"/>
      <c r="E903" s="71"/>
      <c r="F903" s="71"/>
    </row>
    <row r="904">
      <c r="A904" s="68"/>
      <c r="B904" s="69"/>
      <c r="C904" s="73"/>
      <c r="D904" s="71"/>
      <c r="E904" s="71"/>
      <c r="F904" s="71"/>
    </row>
    <row r="905">
      <c r="A905" s="68"/>
      <c r="B905" s="69"/>
      <c r="C905" s="73"/>
      <c r="D905" s="71"/>
      <c r="E905" s="71"/>
      <c r="F905" s="71"/>
    </row>
    <row r="906">
      <c r="A906" s="68"/>
      <c r="B906" s="69"/>
      <c r="C906" s="73"/>
      <c r="D906" s="71"/>
      <c r="E906" s="71"/>
      <c r="F906" s="71"/>
    </row>
    <row r="907">
      <c r="A907" s="68"/>
      <c r="B907" s="69"/>
      <c r="C907" s="73"/>
      <c r="D907" s="71"/>
      <c r="E907" s="71"/>
      <c r="F907" s="71"/>
    </row>
    <row r="908">
      <c r="A908" s="68"/>
      <c r="B908" s="69"/>
      <c r="C908" s="73"/>
      <c r="D908" s="71"/>
      <c r="E908" s="71"/>
      <c r="F908" s="71"/>
    </row>
    <row r="909">
      <c r="A909" s="68"/>
      <c r="B909" s="69"/>
      <c r="C909" s="73"/>
      <c r="D909" s="71"/>
      <c r="E909" s="71"/>
      <c r="F909" s="71"/>
    </row>
    <row r="910">
      <c r="A910" s="68"/>
      <c r="B910" s="69"/>
      <c r="C910" s="73"/>
      <c r="D910" s="71"/>
      <c r="E910" s="71"/>
      <c r="F910" s="71"/>
    </row>
    <row r="911">
      <c r="A911" s="68"/>
      <c r="B911" s="69"/>
      <c r="C911" s="73"/>
      <c r="D911" s="71"/>
      <c r="E911" s="71"/>
      <c r="F911" s="71"/>
    </row>
    <row r="912">
      <c r="A912" s="68"/>
      <c r="B912" s="69"/>
      <c r="C912" s="73"/>
      <c r="D912" s="71"/>
      <c r="E912" s="71"/>
      <c r="F912" s="71"/>
    </row>
    <row r="913">
      <c r="A913" s="68"/>
      <c r="B913" s="69"/>
      <c r="C913" s="73"/>
      <c r="D913" s="71"/>
      <c r="E913" s="71"/>
      <c r="F913" s="71"/>
    </row>
    <row r="914">
      <c r="A914" s="68"/>
      <c r="B914" s="69"/>
      <c r="C914" s="73"/>
      <c r="D914" s="71"/>
      <c r="E914" s="71"/>
      <c r="F914" s="71"/>
    </row>
    <row r="915">
      <c r="A915" s="68"/>
      <c r="B915" s="69"/>
      <c r="C915" s="73"/>
      <c r="D915" s="71"/>
      <c r="E915" s="71"/>
      <c r="F915" s="71"/>
    </row>
    <row r="916">
      <c r="A916" s="68"/>
      <c r="B916" s="69"/>
      <c r="C916" s="73"/>
      <c r="D916" s="71"/>
      <c r="E916" s="71"/>
      <c r="F916" s="71"/>
    </row>
    <row r="917">
      <c r="A917" s="68"/>
      <c r="B917" s="69"/>
      <c r="C917" s="73"/>
      <c r="D917" s="71"/>
      <c r="E917" s="71"/>
      <c r="F917" s="71"/>
    </row>
    <row r="918">
      <c r="A918" s="68"/>
      <c r="B918" s="69"/>
      <c r="C918" s="73"/>
      <c r="D918" s="71"/>
      <c r="E918" s="71"/>
      <c r="F918" s="71"/>
    </row>
    <row r="919">
      <c r="A919" s="68"/>
      <c r="B919" s="69"/>
      <c r="C919" s="73"/>
      <c r="D919" s="71"/>
      <c r="E919" s="71"/>
      <c r="F919" s="71"/>
    </row>
    <row r="920">
      <c r="A920" s="68"/>
      <c r="B920" s="69"/>
      <c r="C920" s="73"/>
      <c r="D920" s="71"/>
      <c r="E920" s="71"/>
      <c r="F920" s="71"/>
    </row>
    <row r="921">
      <c r="A921" s="68"/>
      <c r="B921" s="69"/>
      <c r="C921" s="73"/>
      <c r="D921" s="71"/>
      <c r="E921" s="71"/>
      <c r="F921" s="71"/>
    </row>
    <row r="922">
      <c r="A922" s="68"/>
      <c r="B922" s="69"/>
      <c r="C922" s="73"/>
      <c r="D922" s="71"/>
      <c r="E922" s="71"/>
      <c r="F922" s="71"/>
    </row>
    <row r="923">
      <c r="A923" s="68"/>
      <c r="B923" s="69"/>
      <c r="C923" s="73"/>
      <c r="D923" s="71"/>
      <c r="E923" s="71"/>
      <c r="F923" s="71"/>
    </row>
    <row r="924">
      <c r="A924" s="68"/>
      <c r="B924" s="69"/>
      <c r="C924" s="73"/>
      <c r="D924" s="71"/>
      <c r="E924" s="71"/>
      <c r="F924" s="71"/>
    </row>
    <row r="925">
      <c r="A925" s="68"/>
      <c r="B925" s="69"/>
      <c r="C925" s="73"/>
      <c r="D925" s="71"/>
      <c r="E925" s="71"/>
      <c r="F925" s="71"/>
    </row>
    <row r="926">
      <c r="A926" s="68"/>
      <c r="B926" s="69"/>
      <c r="C926" s="73"/>
      <c r="D926" s="71"/>
      <c r="E926" s="71"/>
      <c r="F926" s="71"/>
    </row>
    <row r="927">
      <c r="A927" s="68"/>
      <c r="B927" s="69"/>
      <c r="C927" s="73"/>
      <c r="D927" s="71"/>
      <c r="E927" s="71"/>
      <c r="F927" s="71"/>
    </row>
    <row r="928">
      <c r="A928" s="68"/>
      <c r="B928" s="69"/>
      <c r="C928" s="73"/>
      <c r="D928" s="71"/>
      <c r="E928" s="71"/>
      <c r="F928" s="71"/>
    </row>
    <row r="929">
      <c r="A929" s="68"/>
      <c r="B929" s="69"/>
      <c r="C929" s="73"/>
      <c r="D929" s="71"/>
      <c r="E929" s="71"/>
      <c r="F929" s="71"/>
    </row>
    <row r="930">
      <c r="A930" s="68"/>
      <c r="B930" s="69"/>
      <c r="C930" s="73"/>
      <c r="D930" s="71"/>
      <c r="E930" s="71"/>
      <c r="F930" s="71"/>
    </row>
    <row r="931">
      <c r="A931" s="68"/>
      <c r="B931" s="69"/>
      <c r="C931" s="73"/>
      <c r="D931" s="71"/>
      <c r="E931" s="71"/>
      <c r="F931" s="71"/>
    </row>
    <row r="932">
      <c r="A932" s="68"/>
      <c r="B932" s="69"/>
      <c r="C932" s="73"/>
      <c r="D932" s="71"/>
      <c r="E932" s="71"/>
      <c r="F932" s="71"/>
    </row>
    <row r="933">
      <c r="A933" s="68"/>
      <c r="B933" s="69"/>
      <c r="C933" s="73"/>
      <c r="D933" s="71"/>
      <c r="E933" s="71"/>
      <c r="F933" s="71"/>
    </row>
    <row r="934">
      <c r="A934" s="68"/>
      <c r="B934" s="69"/>
      <c r="C934" s="73"/>
      <c r="D934" s="71"/>
      <c r="E934" s="71"/>
      <c r="F934" s="71"/>
    </row>
    <row r="935">
      <c r="A935" s="68"/>
      <c r="B935" s="69"/>
      <c r="C935" s="73"/>
      <c r="D935" s="71"/>
      <c r="E935" s="71"/>
      <c r="F935" s="71"/>
    </row>
    <row r="936">
      <c r="A936" s="68"/>
      <c r="B936" s="69"/>
      <c r="C936" s="73"/>
      <c r="D936" s="71"/>
      <c r="E936" s="71"/>
      <c r="F936" s="71"/>
    </row>
    <row r="937">
      <c r="A937" s="68"/>
      <c r="B937" s="69"/>
      <c r="C937" s="73"/>
      <c r="D937" s="71"/>
      <c r="E937" s="71"/>
      <c r="F937" s="71"/>
    </row>
    <row r="938">
      <c r="A938" s="68"/>
      <c r="B938" s="69"/>
      <c r="C938" s="73"/>
      <c r="D938" s="71"/>
      <c r="E938" s="71"/>
      <c r="F938" s="71"/>
    </row>
    <row r="939">
      <c r="A939" s="68"/>
      <c r="B939" s="69"/>
      <c r="C939" s="73"/>
      <c r="D939" s="71"/>
      <c r="E939" s="71"/>
      <c r="F939" s="71"/>
    </row>
    <row r="940">
      <c r="A940" s="68"/>
      <c r="B940" s="69"/>
      <c r="C940" s="73"/>
      <c r="D940" s="71"/>
      <c r="E940" s="71"/>
      <c r="F940" s="71"/>
    </row>
    <row r="941">
      <c r="A941" s="68"/>
      <c r="B941" s="69"/>
      <c r="C941" s="73"/>
      <c r="D941" s="71"/>
      <c r="E941" s="71"/>
      <c r="F941" s="71"/>
    </row>
    <row r="942">
      <c r="A942" s="68"/>
      <c r="B942" s="69"/>
      <c r="C942" s="73"/>
      <c r="D942" s="71"/>
      <c r="E942" s="71"/>
      <c r="F942" s="71"/>
    </row>
    <row r="943">
      <c r="A943" s="68"/>
      <c r="B943" s="69"/>
      <c r="C943" s="73"/>
      <c r="D943" s="71"/>
      <c r="E943" s="71"/>
      <c r="F943" s="71"/>
    </row>
    <row r="944">
      <c r="A944" s="68"/>
      <c r="B944" s="69"/>
      <c r="C944" s="73"/>
      <c r="D944" s="71"/>
      <c r="E944" s="71"/>
      <c r="F944" s="71"/>
    </row>
    <row r="945">
      <c r="A945" s="68"/>
      <c r="B945" s="69"/>
      <c r="C945" s="73"/>
      <c r="D945" s="71"/>
      <c r="E945" s="71"/>
      <c r="F945" s="71"/>
    </row>
    <row r="946">
      <c r="A946" s="68"/>
      <c r="B946" s="69"/>
      <c r="C946" s="73"/>
      <c r="D946" s="71"/>
      <c r="E946" s="71"/>
      <c r="F946" s="71"/>
    </row>
    <row r="947">
      <c r="A947" s="68"/>
      <c r="B947" s="69"/>
      <c r="C947" s="73"/>
      <c r="D947" s="71"/>
      <c r="E947" s="71"/>
      <c r="F947" s="71"/>
    </row>
    <row r="948">
      <c r="A948" s="68"/>
      <c r="B948" s="69"/>
      <c r="C948" s="73"/>
      <c r="D948" s="71"/>
      <c r="E948" s="71"/>
      <c r="F948" s="71"/>
    </row>
    <row r="949">
      <c r="A949" s="68"/>
      <c r="B949" s="69"/>
      <c r="C949" s="73"/>
      <c r="D949" s="71"/>
      <c r="E949" s="71"/>
      <c r="F949" s="71"/>
    </row>
    <row r="950">
      <c r="A950" s="68"/>
      <c r="B950" s="69"/>
      <c r="C950" s="73"/>
      <c r="D950" s="71"/>
      <c r="E950" s="71"/>
      <c r="F950" s="71"/>
    </row>
    <row r="951">
      <c r="A951" s="68"/>
      <c r="B951" s="69"/>
      <c r="C951" s="73"/>
      <c r="D951" s="71"/>
      <c r="E951" s="71"/>
      <c r="F951" s="71"/>
    </row>
    <row r="952">
      <c r="A952" s="68"/>
      <c r="B952" s="69"/>
      <c r="C952" s="73"/>
      <c r="D952" s="71"/>
      <c r="E952" s="71"/>
      <c r="F952" s="71"/>
    </row>
    <row r="953">
      <c r="A953" s="68"/>
      <c r="B953" s="69"/>
      <c r="C953" s="73"/>
      <c r="D953" s="71"/>
      <c r="E953" s="71"/>
      <c r="F953" s="71"/>
    </row>
    <row r="954">
      <c r="A954" s="68"/>
      <c r="B954" s="69"/>
      <c r="C954" s="73"/>
      <c r="D954" s="71"/>
      <c r="E954" s="71"/>
      <c r="F954" s="71"/>
    </row>
    <row r="955">
      <c r="A955" s="68"/>
      <c r="B955" s="69"/>
      <c r="C955" s="73"/>
      <c r="D955" s="71"/>
      <c r="E955" s="71"/>
      <c r="F955" s="71"/>
    </row>
    <row r="956">
      <c r="A956" s="68"/>
      <c r="B956" s="69"/>
      <c r="C956" s="73"/>
      <c r="D956" s="71"/>
      <c r="E956" s="71"/>
      <c r="F956" s="71"/>
    </row>
    <row r="957">
      <c r="A957" s="68"/>
      <c r="B957" s="69"/>
      <c r="C957" s="73"/>
      <c r="D957" s="71"/>
      <c r="E957" s="71"/>
      <c r="F957" s="71"/>
    </row>
    <row r="958">
      <c r="A958" s="68"/>
      <c r="B958" s="69"/>
      <c r="C958" s="73"/>
      <c r="D958" s="71"/>
      <c r="E958" s="71"/>
      <c r="F958" s="71"/>
    </row>
    <row r="959">
      <c r="A959" s="68"/>
      <c r="B959" s="69"/>
      <c r="C959" s="73"/>
      <c r="D959" s="71"/>
      <c r="E959" s="71"/>
      <c r="F959" s="71"/>
    </row>
    <row r="960">
      <c r="A960" s="68"/>
      <c r="B960" s="69"/>
      <c r="C960" s="73"/>
      <c r="D960" s="71"/>
      <c r="E960" s="71"/>
      <c r="F960" s="71"/>
    </row>
    <row r="961">
      <c r="A961" s="68"/>
      <c r="B961" s="69"/>
      <c r="C961" s="73"/>
      <c r="D961" s="71"/>
      <c r="E961" s="71"/>
      <c r="F961" s="71"/>
    </row>
    <row r="962">
      <c r="A962" s="68"/>
      <c r="B962" s="69"/>
      <c r="C962" s="73"/>
      <c r="D962" s="71"/>
      <c r="E962" s="71"/>
      <c r="F962" s="71"/>
    </row>
    <row r="963">
      <c r="A963" s="68"/>
      <c r="B963" s="69"/>
      <c r="C963" s="73"/>
      <c r="D963" s="71"/>
      <c r="E963" s="71"/>
      <c r="F963" s="71"/>
    </row>
    <row r="964">
      <c r="A964" s="68"/>
      <c r="B964" s="69"/>
      <c r="C964" s="73"/>
      <c r="D964" s="71"/>
      <c r="E964" s="71"/>
      <c r="F964" s="71"/>
    </row>
    <row r="965">
      <c r="A965" s="68"/>
      <c r="B965" s="69"/>
      <c r="C965" s="73"/>
      <c r="D965" s="71"/>
      <c r="E965" s="71"/>
      <c r="F965" s="71"/>
    </row>
    <row r="966">
      <c r="A966" s="68"/>
      <c r="B966" s="69"/>
      <c r="C966" s="73"/>
      <c r="D966" s="71"/>
      <c r="E966" s="71"/>
      <c r="F966" s="71"/>
    </row>
    <row r="967">
      <c r="A967" s="68"/>
      <c r="B967" s="69"/>
      <c r="C967" s="73"/>
      <c r="D967" s="71"/>
      <c r="E967" s="71"/>
      <c r="F967" s="71"/>
    </row>
    <row r="968">
      <c r="A968" s="68"/>
      <c r="B968" s="69"/>
      <c r="C968" s="73"/>
      <c r="D968" s="71"/>
      <c r="E968" s="71"/>
      <c r="F968" s="71"/>
    </row>
    <row r="969">
      <c r="A969" s="68"/>
      <c r="B969" s="69"/>
      <c r="C969" s="73"/>
      <c r="D969" s="71"/>
      <c r="E969" s="71"/>
      <c r="F969" s="71"/>
    </row>
    <row r="970">
      <c r="A970" s="68"/>
      <c r="B970" s="69"/>
      <c r="C970" s="73"/>
      <c r="D970" s="71"/>
      <c r="E970" s="71"/>
      <c r="F970" s="71"/>
    </row>
    <row r="971">
      <c r="A971" s="68"/>
      <c r="B971" s="69"/>
      <c r="C971" s="73"/>
      <c r="D971" s="71"/>
      <c r="E971" s="71"/>
      <c r="F971" s="71"/>
    </row>
    <row r="972">
      <c r="A972" s="68"/>
      <c r="B972" s="69"/>
      <c r="C972" s="73"/>
      <c r="D972" s="71"/>
      <c r="E972" s="71"/>
      <c r="F972" s="71"/>
    </row>
    <row r="973">
      <c r="A973" s="68"/>
      <c r="B973" s="69"/>
      <c r="C973" s="73"/>
      <c r="D973" s="71"/>
      <c r="E973" s="71"/>
      <c r="F973" s="71"/>
    </row>
    <row r="974">
      <c r="A974" s="68"/>
      <c r="B974" s="69"/>
      <c r="C974" s="73"/>
      <c r="D974" s="71"/>
      <c r="E974" s="71"/>
      <c r="F974" s="71"/>
    </row>
    <row r="975">
      <c r="A975" s="68"/>
      <c r="B975" s="69"/>
      <c r="C975" s="73"/>
      <c r="D975" s="71"/>
      <c r="E975" s="71"/>
      <c r="F975" s="71"/>
    </row>
    <row r="976">
      <c r="A976" s="68"/>
      <c r="B976" s="69"/>
      <c r="C976" s="73"/>
      <c r="D976" s="71"/>
      <c r="E976" s="71"/>
      <c r="F976" s="71"/>
    </row>
    <row r="977">
      <c r="A977" s="68"/>
      <c r="B977" s="69"/>
      <c r="C977" s="73"/>
      <c r="D977" s="71"/>
      <c r="E977" s="71"/>
      <c r="F977" s="71"/>
    </row>
    <row r="978">
      <c r="A978" s="68"/>
      <c r="B978" s="69"/>
      <c r="C978" s="73"/>
      <c r="D978" s="71"/>
      <c r="E978" s="71"/>
      <c r="F978" s="71"/>
    </row>
    <row r="979">
      <c r="A979" s="68"/>
      <c r="B979" s="69"/>
      <c r="C979" s="73"/>
      <c r="D979" s="71"/>
      <c r="E979" s="71"/>
      <c r="F979" s="71"/>
    </row>
    <row r="980">
      <c r="A980" s="68"/>
      <c r="B980" s="69"/>
      <c r="C980" s="73"/>
      <c r="D980" s="71"/>
      <c r="E980" s="71"/>
      <c r="F980" s="71"/>
    </row>
    <row r="981">
      <c r="A981" s="68"/>
      <c r="B981" s="69"/>
      <c r="C981" s="73"/>
      <c r="D981" s="71"/>
      <c r="E981" s="71"/>
      <c r="F981" s="71"/>
    </row>
    <row r="982">
      <c r="A982" s="68"/>
      <c r="B982" s="69"/>
      <c r="C982" s="73"/>
      <c r="D982" s="71"/>
      <c r="E982" s="71"/>
      <c r="F982" s="71"/>
    </row>
    <row r="983">
      <c r="A983" s="68"/>
      <c r="B983" s="69"/>
      <c r="C983" s="73"/>
      <c r="D983" s="71"/>
      <c r="E983" s="71"/>
      <c r="F983" s="71"/>
    </row>
    <row r="984">
      <c r="A984" s="68"/>
      <c r="B984" s="69"/>
      <c r="C984" s="73"/>
      <c r="D984" s="71"/>
      <c r="E984" s="71"/>
      <c r="F984" s="71"/>
    </row>
    <row r="985">
      <c r="A985" s="68"/>
      <c r="B985" s="69"/>
      <c r="C985" s="73"/>
      <c r="D985" s="71"/>
      <c r="E985" s="71"/>
      <c r="F985" s="71"/>
    </row>
    <row r="986">
      <c r="A986" s="68"/>
      <c r="B986" s="69"/>
      <c r="C986" s="73"/>
      <c r="D986" s="71"/>
      <c r="E986" s="71"/>
      <c r="F986" s="71"/>
    </row>
    <row r="987">
      <c r="A987" s="68"/>
      <c r="B987" s="69"/>
      <c r="C987" s="73"/>
      <c r="D987" s="71"/>
      <c r="E987" s="71"/>
      <c r="F987" s="71"/>
    </row>
    <row r="988">
      <c r="A988" s="68"/>
      <c r="B988" s="69"/>
      <c r="C988" s="73"/>
      <c r="D988" s="71"/>
      <c r="E988" s="71"/>
      <c r="F988" s="71"/>
    </row>
    <row r="989">
      <c r="A989" s="68"/>
      <c r="B989" s="69"/>
      <c r="C989" s="73"/>
      <c r="D989" s="71"/>
      <c r="E989" s="71"/>
      <c r="F989" s="71"/>
    </row>
    <row r="990">
      <c r="A990" s="68"/>
      <c r="B990" s="69"/>
      <c r="C990" s="73"/>
      <c r="D990" s="71"/>
      <c r="E990" s="71"/>
      <c r="F990" s="71"/>
    </row>
    <row r="991">
      <c r="A991" s="68"/>
      <c r="B991" s="69"/>
      <c r="C991" s="73"/>
      <c r="D991" s="71"/>
      <c r="E991" s="71"/>
      <c r="F991" s="71"/>
    </row>
    <row r="992">
      <c r="A992" s="68"/>
      <c r="B992" s="69"/>
      <c r="C992" s="73"/>
      <c r="D992" s="71"/>
      <c r="E992" s="71"/>
      <c r="F992" s="71"/>
    </row>
    <row r="993">
      <c r="A993" s="68"/>
      <c r="B993" s="69"/>
      <c r="C993" s="73"/>
      <c r="D993" s="71"/>
      <c r="E993" s="71"/>
      <c r="F993" s="71"/>
    </row>
    <row r="994">
      <c r="A994" s="68"/>
      <c r="B994" s="69"/>
      <c r="C994" s="73"/>
      <c r="D994" s="71"/>
      <c r="E994" s="71"/>
      <c r="F994" s="71"/>
    </row>
    <row r="995">
      <c r="A995" s="68"/>
      <c r="B995" s="69"/>
      <c r="C995" s="73"/>
      <c r="D995" s="71"/>
      <c r="E995" s="71"/>
      <c r="F995" s="71"/>
    </row>
    <row r="996">
      <c r="A996" s="68"/>
      <c r="B996" s="69"/>
      <c r="C996" s="73"/>
      <c r="D996" s="71"/>
      <c r="E996" s="71"/>
      <c r="F996" s="71"/>
    </row>
    <row r="997">
      <c r="A997" s="68"/>
      <c r="B997" s="69"/>
      <c r="C997" s="73"/>
      <c r="D997" s="71"/>
      <c r="E997" s="71"/>
      <c r="F997" s="71"/>
    </row>
    <row r="998">
      <c r="A998" s="68"/>
      <c r="B998" s="69"/>
      <c r="C998" s="73"/>
      <c r="D998" s="71"/>
      <c r="E998" s="71"/>
      <c r="F998" s="71"/>
    </row>
    <row r="999">
      <c r="A999" s="68"/>
      <c r="B999" s="69"/>
      <c r="C999" s="73"/>
      <c r="D999" s="71"/>
      <c r="E999" s="71"/>
      <c r="F999" s="71"/>
    </row>
    <row r="1000">
      <c r="A1000" s="68"/>
      <c r="B1000" s="69"/>
      <c r="C1000" s="73"/>
      <c r="D1000" s="71"/>
      <c r="E1000" s="71"/>
      <c r="F1000" s="71"/>
    </row>
    <row r="1001">
      <c r="A1001" s="68"/>
      <c r="B1001" s="69"/>
      <c r="C1001" s="73"/>
      <c r="D1001" s="71"/>
      <c r="E1001" s="71"/>
      <c r="F1001" s="71"/>
    </row>
    <row r="1002">
      <c r="A1002" s="68"/>
      <c r="B1002" s="69"/>
      <c r="C1002" s="73"/>
      <c r="D1002" s="71"/>
      <c r="E1002" s="71"/>
      <c r="F1002" s="71"/>
    </row>
    <row r="1003">
      <c r="A1003" s="68"/>
      <c r="B1003" s="69"/>
      <c r="C1003" s="73"/>
      <c r="D1003" s="71"/>
      <c r="E1003" s="71"/>
      <c r="F1003" s="71"/>
    </row>
  </sheetData>
  <conditionalFormatting sqref="E3:E6">
    <cfRule type="containsBlanks" dxfId="6" priority="1">
      <formula>LEN(TRIM(E3))=0</formula>
    </cfRule>
  </conditionalFormatting>
  <conditionalFormatting sqref="E3:E6">
    <cfRule type="notContainsBlanks" dxfId="5" priority="2">
      <formula>LEN(TRIM(E3))&gt;0</formula>
    </cfRule>
  </conditionalFormatting>
  <conditionalFormatting sqref="E3:E37">
    <cfRule type="containsText" dxfId="7" priority="3" operator="containsText" text="MENSALIDADE">
      <formula>NOT(ISERROR(SEARCH(("MENSALIDADE"),(E3))))</formula>
    </cfRule>
  </conditionalFormatting>
  <conditionalFormatting sqref="E3:E26">
    <cfRule type="containsText" dxfId="8" priority="4" operator="containsText" text="CAMISETA">
      <formula>NOT(ISERROR(SEARCH(("CAMISETA"),(E3))))</formula>
    </cfRule>
  </conditionalFormatting>
  <conditionalFormatting sqref="E3:E26">
    <cfRule type="containsText" dxfId="8" priority="5" operator="containsText" text="UNIFORME">
      <formula>NOT(ISERROR(SEARCH(("UNIFORME"),(E3))))</formula>
    </cfRule>
  </conditionalFormatting>
  <conditionalFormatting sqref="E3:E26">
    <cfRule type="containsText" dxfId="8" priority="6" operator="containsText" text="CAMISA">
      <formula>NOT(ISERROR(SEARCH(("CAMISA"),(E3))))</formula>
    </cfRule>
  </conditionalFormatting>
  <conditionalFormatting sqref="E3:E26">
    <cfRule type="containsText" dxfId="8" priority="7" operator="containsText" text="MEIÃO">
      <formula>NOT(ISERROR(SEARCH(("MEIÃO"),(E3))))</formula>
    </cfRule>
  </conditionalFormatting>
  <conditionalFormatting sqref="E3:E67">
    <cfRule type="containsText" dxfId="8" priority="8" operator="containsText" text="CALÇÃO">
      <formula>NOT(ISERROR(SEARCH(("CALÇÃO"),(E3))))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3.0"/>
    <col customWidth="1" min="5" max="5" width="74.25"/>
    <col customWidth="1" min="6" max="6" width="27.5"/>
    <col customWidth="1" min="7" max="7" width="17.75"/>
    <col customWidth="1" min="8" max="8" width="14.88"/>
    <col customWidth="1" min="9" max="9" width="21.13"/>
  </cols>
  <sheetData>
    <row r="1">
      <c r="A1" s="336"/>
      <c r="B1" s="337"/>
      <c r="C1" s="338"/>
      <c r="D1" s="339"/>
      <c r="E1" s="340" t="s">
        <v>984</v>
      </c>
      <c r="F1" s="339"/>
    </row>
    <row r="2">
      <c r="A2" s="341" t="s">
        <v>2</v>
      </c>
      <c r="B2" s="342" t="s">
        <v>3</v>
      </c>
      <c r="C2" s="343" t="s">
        <v>987</v>
      </c>
      <c r="D2" s="344" t="s">
        <v>5</v>
      </c>
      <c r="E2" s="344" t="s">
        <v>988</v>
      </c>
      <c r="F2" s="344" t="s">
        <v>88</v>
      </c>
      <c r="G2" s="30" t="s">
        <v>17</v>
      </c>
      <c r="H2" s="31" t="s">
        <v>19</v>
      </c>
      <c r="I2" s="33" t="s">
        <v>21</v>
      </c>
    </row>
    <row r="3">
      <c r="A3" s="341"/>
      <c r="B3" s="342"/>
      <c r="C3" s="70"/>
      <c r="D3" s="344"/>
      <c r="E3" s="12"/>
      <c r="F3" s="344"/>
      <c r="G3" s="42">
        <f>SUM(B2:B41)</f>
        <v>0</v>
      </c>
      <c r="H3" s="49">
        <f>SUM(C3:C41)</f>
        <v>0</v>
      </c>
      <c r="I3" s="53">
        <f>G3-H3</f>
        <v>0</v>
      </c>
    </row>
    <row r="4">
      <c r="A4" s="341"/>
      <c r="B4" s="342"/>
      <c r="C4" s="70"/>
      <c r="D4" s="344"/>
      <c r="E4" s="12"/>
      <c r="F4" s="344"/>
    </row>
    <row r="5">
      <c r="A5" s="341"/>
      <c r="B5" s="342"/>
      <c r="C5" s="70"/>
      <c r="D5" s="344"/>
      <c r="E5" s="12"/>
      <c r="F5" s="344"/>
    </row>
    <row r="6">
      <c r="A6" s="341"/>
      <c r="B6" s="342"/>
      <c r="C6" s="70"/>
      <c r="D6" s="344"/>
      <c r="E6" s="12"/>
      <c r="F6" s="344"/>
    </row>
    <row r="7">
      <c r="A7" s="341"/>
      <c r="B7" s="342"/>
      <c r="C7" s="70"/>
      <c r="D7" s="344"/>
      <c r="E7" s="12"/>
      <c r="F7" s="344"/>
    </row>
    <row r="8">
      <c r="A8" s="341"/>
      <c r="B8" s="342"/>
      <c r="C8" s="70"/>
      <c r="D8" s="344"/>
      <c r="E8" s="12"/>
      <c r="F8" s="71"/>
    </row>
    <row r="9">
      <c r="A9" s="341"/>
      <c r="B9" s="342"/>
      <c r="C9" s="70"/>
      <c r="D9" s="344"/>
      <c r="E9" s="12"/>
      <c r="F9" s="71"/>
    </row>
    <row r="10">
      <c r="A10" s="341"/>
      <c r="B10" s="342"/>
      <c r="C10" s="70"/>
      <c r="D10" s="344"/>
      <c r="E10" s="12"/>
      <c r="F10" s="71"/>
    </row>
    <row r="11">
      <c r="A11" s="341"/>
      <c r="B11" s="69"/>
      <c r="C11" s="70"/>
      <c r="D11" s="344"/>
      <c r="E11" s="12"/>
      <c r="F11" s="71"/>
    </row>
    <row r="12">
      <c r="A12" s="345"/>
      <c r="B12" s="346"/>
      <c r="C12" s="70"/>
      <c r="D12" s="347"/>
      <c r="E12" s="12"/>
      <c r="F12" s="71"/>
    </row>
    <row r="13">
      <c r="A13" s="345"/>
      <c r="B13" s="346"/>
      <c r="C13" s="70"/>
      <c r="D13" s="347"/>
      <c r="E13" s="12"/>
      <c r="F13" s="71"/>
    </row>
    <row r="14">
      <c r="A14" s="341"/>
      <c r="B14" s="342"/>
      <c r="C14" s="70"/>
      <c r="D14" s="344"/>
      <c r="E14" s="12"/>
      <c r="F14" s="71"/>
    </row>
    <row r="15">
      <c r="A15" s="345"/>
      <c r="B15" s="346"/>
      <c r="C15" s="70"/>
      <c r="D15" s="347"/>
      <c r="E15" s="12"/>
      <c r="F15" s="71"/>
    </row>
    <row r="16">
      <c r="A16" s="345"/>
      <c r="B16" s="346"/>
      <c r="C16" s="70"/>
      <c r="D16" s="347"/>
      <c r="E16" s="12"/>
      <c r="F16" s="71"/>
    </row>
    <row r="17">
      <c r="A17" s="345"/>
      <c r="B17" s="346"/>
      <c r="C17" s="70"/>
      <c r="D17" s="347"/>
      <c r="E17" s="12"/>
      <c r="F17" s="71"/>
    </row>
    <row r="18">
      <c r="A18" s="341"/>
      <c r="B18" s="342"/>
      <c r="C18" s="70"/>
      <c r="D18" s="344"/>
      <c r="E18" s="12"/>
      <c r="F18" s="71"/>
    </row>
    <row r="19">
      <c r="A19" s="341"/>
      <c r="B19" s="342"/>
      <c r="C19" s="70"/>
      <c r="D19" s="344"/>
      <c r="E19" s="12"/>
      <c r="F19" s="71"/>
    </row>
    <row r="20">
      <c r="A20" s="341"/>
      <c r="B20" s="342"/>
      <c r="C20" s="70"/>
      <c r="D20" s="344"/>
      <c r="E20" s="12"/>
      <c r="F20" s="71"/>
    </row>
    <row r="21">
      <c r="A21" s="341"/>
      <c r="B21" s="342"/>
      <c r="C21" s="70"/>
      <c r="D21" s="344"/>
      <c r="E21" s="12"/>
      <c r="F21" s="71"/>
    </row>
    <row r="22">
      <c r="A22" s="341"/>
      <c r="B22" s="342"/>
      <c r="C22" s="70"/>
      <c r="D22" s="344"/>
      <c r="E22" s="12"/>
      <c r="F22" s="71"/>
    </row>
    <row r="23">
      <c r="A23" s="341"/>
      <c r="B23" s="342"/>
      <c r="C23" s="348"/>
      <c r="D23" s="344"/>
      <c r="E23" s="12"/>
      <c r="F23" s="71"/>
    </row>
    <row r="24">
      <c r="A24" s="341"/>
      <c r="B24" s="342"/>
      <c r="C24" s="348"/>
      <c r="D24" s="344"/>
      <c r="E24" s="12"/>
      <c r="F24" s="71"/>
    </row>
    <row r="25">
      <c r="A25" s="341"/>
      <c r="B25" s="342"/>
      <c r="C25" s="70"/>
      <c r="D25" s="344"/>
      <c r="E25" s="344"/>
      <c r="F25" s="71"/>
    </row>
    <row r="26">
      <c r="A26" s="341"/>
      <c r="B26" s="342"/>
      <c r="C26" s="70"/>
      <c r="D26" s="344"/>
      <c r="E26" s="344"/>
      <c r="F26" s="71"/>
    </row>
    <row r="27">
      <c r="A27" s="341"/>
      <c r="B27" s="342"/>
      <c r="C27" s="70"/>
      <c r="D27" s="344"/>
      <c r="E27" s="344"/>
      <c r="F27" s="71"/>
    </row>
    <row r="28">
      <c r="A28" s="341"/>
      <c r="B28" s="342"/>
      <c r="C28" s="70"/>
      <c r="D28" s="344"/>
      <c r="E28" s="344"/>
      <c r="F28" s="71"/>
    </row>
    <row r="29">
      <c r="A29" s="341"/>
      <c r="B29" s="342"/>
      <c r="C29" s="70"/>
      <c r="D29" s="344"/>
      <c r="E29" s="344"/>
      <c r="F29" s="71"/>
    </row>
    <row r="30">
      <c r="A30" s="341"/>
      <c r="B30" s="69"/>
      <c r="C30" s="70"/>
      <c r="D30" s="71"/>
      <c r="E30" s="71"/>
      <c r="F30" s="71"/>
    </row>
    <row r="31">
      <c r="A31" s="341"/>
      <c r="B31" s="69"/>
      <c r="C31" s="70"/>
      <c r="D31" s="71"/>
      <c r="E31" s="71"/>
      <c r="F31" s="71"/>
    </row>
    <row r="32">
      <c r="A32" s="341"/>
      <c r="B32" s="69"/>
      <c r="C32" s="70"/>
      <c r="D32" s="71"/>
      <c r="E32" s="71"/>
      <c r="F32" s="71"/>
    </row>
    <row r="33">
      <c r="A33" s="341"/>
      <c r="B33" s="69"/>
      <c r="C33" s="70"/>
      <c r="D33" s="71"/>
      <c r="E33" s="71"/>
      <c r="F33" s="71"/>
    </row>
    <row r="34">
      <c r="A34" s="341"/>
      <c r="B34" s="69"/>
      <c r="C34" s="70"/>
      <c r="D34" s="71"/>
      <c r="E34" s="71"/>
      <c r="F34" s="71"/>
    </row>
    <row r="35">
      <c r="A35" s="341"/>
      <c r="B35" s="69"/>
      <c r="C35" s="70"/>
      <c r="D35" s="71"/>
      <c r="E35" s="71"/>
      <c r="F35" s="71"/>
    </row>
    <row r="36">
      <c r="A36" s="341"/>
      <c r="B36" s="69"/>
      <c r="C36" s="70"/>
      <c r="D36" s="71"/>
      <c r="E36" s="71"/>
      <c r="F36" s="71"/>
    </row>
    <row r="37">
      <c r="A37" s="341"/>
      <c r="B37" s="69"/>
      <c r="C37" s="70"/>
      <c r="D37" s="71"/>
      <c r="E37" s="71"/>
      <c r="F37" s="71"/>
    </row>
    <row r="38">
      <c r="A38" s="341"/>
      <c r="B38" s="69"/>
      <c r="C38" s="70"/>
      <c r="D38" s="71"/>
      <c r="E38" s="71"/>
      <c r="F38" s="71"/>
    </row>
    <row r="39">
      <c r="A39" s="341"/>
      <c r="B39" s="69"/>
      <c r="C39" s="70"/>
      <c r="D39" s="71"/>
      <c r="E39" s="71"/>
      <c r="F39" s="71"/>
    </row>
    <row r="40">
      <c r="A40" s="341"/>
      <c r="B40" s="69"/>
      <c r="C40" s="70"/>
      <c r="D40" s="71"/>
      <c r="E40" s="71"/>
      <c r="F40" s="71"/>
    </row>
    <row r="41">
      <c r="A41" s="341"/>
      <c r="B41" s="69"/>
      <c r="C41" s="70"/>
      <c r="D41" s="71"/>
      <c r="E41" s="71"/>
      <c r="F41" s="71"/>
    </row>
    <row r="42">
      <c r="A42" s="341"/>
      <c r="B42" s="69"/>
      <c r="C42" s="70"/>
      <c r="D42" s="71"/>
      <c r="E42" s="71"/>
      <c r="F42" s="71"/>
    </row>
    <row r="43">
      <c r="A43" s="341"/>
      <c r="B43" s="69"/>
      <c r="C43" s="70"/>
      <c r="D43" s="71"/>
      <c r="E43" s="71"/>
      <c r="F43" s="71"/>
    </row>
    <row r="44">
      <c r="A44" s="341"/>
      <c r="B44" s="69"/>
      <c r="C44" s="70"/>
      <c r="D44" s="71"/>
      <c r="E44" s="71"/>
      <c r="F44" s="71"/>
    </row>
    <row r="45">
      <c r="A45" s="341"/>
      <c r="B45" s="69"/>
      <c r="C45" s="70"/>
      <c r="D45" s="71"/>
      <c r="E45" s="71"/>
      <c r="F45" s="71"/>
    </row>
    <row r="46">
      <c r="A46" s="341"/>
      <c r="B46" s="69"/>
      <c r="C46" s="70"/>
      <c r="D46" s="71"/>
      <c r="E46" s="71"/>
      <c r="F46" s="71"/>
    </row>
    <row r="47">
      <c r="A47" s="341"/>
      <c r="B47" s="69"/>
      <c r="C47" s="70"/>
      <c r="D47" s="71"/>
      <c r="E47" s="71"/>
      <c r="F47" s="71"/>
    </row>
    <row r="48">
      <c r="A48" s="341"/>
      <c r="B48" s="69"/>
      <c r="C48" s="70"/>
      <c r="D48" s="71"/>
      <c r="E48" s="71"/>
      <c r="F48" s="71"/>
    </row>
    <row r="49">
      <c r="A49" s="341"/>
      <c r="B49" s="69"/>
      <c r="C49" s="70"/>
      <c r="D49" s="71"/>
      <c r="E49" s="71"/>
      <c r="F49" s="71"/>
    </row>
    <row r="50">
      <c r="A50" s="341"/>
      <c r="B50" s="69"/>
      <c r="C50" s="70"/>
      <c r="D50" s="71"/>
      <c r="E50" s="71"/>
      <c r="F50" s="71"/>
    </row>
    <row r="51">
      <c r="A51" s="341"/>
      <c r="B51" s="69"/>
      <c r="C51" s="70"/>
      <c r="D51" s="71"/>
      <c r="E51" s="71"/>
      <c r="F51" s="71"/>
    </row>
    <row r="52">
      <c r="A52" s="341"/>
      <c r="B52" s="69"/>
      <c r="C52" s="70"/>
      <c r="D52" s="71"/>
      <c r="E52" s="71"/>
      <c r="F52" s="71"/>
    </row>
    <row r="53">
      <c r="A53" s="341"/>
      <c r="B53" s="69"/>
      <c r="C53" s="70"/>
      <c r="D53" s="71"/>
      <c r="E53" s="71"/>
      <c r="F53" s="71"/>
    </row>
    <row r="54">
      <c r="A54" s="341"/>
      <c r="B54" s="69"/>
      <c r="C54" s="70"/>
      <c r="D54" s="71"/>
      <c r="E54" s="71"/>
      <c r="F54" s="71"/>
    </row>
    <row r="55">
      <c r="A55" s="341"/>
      <c r="B55" s="69"/>
      <c r="C55" s="70"/>
      <c r="D55" s="71"/>
      <c r="E55" s="71"/>
      <c r="F55" s="71"/>
    </row>
    <row r="56">
      <c r="A56" s="341"/>
      <c r="B56" s="69"/>
      <c r="C56" s="70"/>
      <c r="D56" s="71"/>
      <c r="E56" s="71"/>
      <c r="F56" s="71"/>
    </row>
    <row r="57">
      <c r="A57" s="68"/>
      <c r="B57" s="69"/>
      <c r="C57" s="70"/>
      <c r="D57" s="71"/>
      <c r="E57" s="71"/>
      <c r="F57" s="71"/>
    </row>
    <row r="58">
      <c r="A58" s="68"/>
      <c r="B58" s="69"/>
      <c r="C58" s="70"/>
      <c r="D58" s="71"/>
      <c r="E58" s="71"/>
      <c r="F58" s="71"/>
    </row>
    <row r="59">
      <c r="A59" s="68"/>
      <c r="B59" s="69"/>
      <c r="C59" s="70"/>
      <c r="D59" s="71"/>
      <c r="E59" s="71"/>
      <c r="F59" s="71"/>
    </row>
    <row r="60">
      <c r="A60" s="68"/>
      <c r="B60" s="69"/>
      <c r="C60" s="70"/>
      <c r="D60" s="71"/>
      <c r="E60" s="71"/>
      <c r="F60" s="71"/>
    </row>
    <row r="61">
      <c r="A61" s="68"/>
      <c r="B61" s="69"/>
      <c r="C61" s="70"/>
      <c r="D61" s="71"/>
      <c r="E61" s="71"/>
      <c r="F61" s="71"/>
    </row>
    <row r="62">
      <c r="A62" s="68"/>
      <c r="B62" s="69"/>
      <c r="C62" s="70"/>
      <c r="D62" s="71"/>
      <c r="E62" s="71"/>
      <c r="F62" s="71"/>
    </row>
    <row r="63">
      <c r="A63" s="68"/>
      <c r="B63" s="69"/>
      <c r="C63" s="70"/>
      <c r="D63" s="71"/>
      <c r="E63" s="71"/>
      <c r="F63" s="71"/>
    </row>
    <row r="64">
      <c r="A64" s="68"/>
      <c r="B64" s="69"/>
      <c r="C64" s="70"/>
      <c r="D64" s="71"/>
      <c r="E64" s="71"/>
      <c r="F64" s="71"/>
    </row>
    <row r="65">
      <c r="A65" s="68"/>
      <c r="B65" s="69"/>
      <c r="C65" s="70"/>
      <c r="D65" s="71"/>
      <c r="E65" s="71"/>
      <c r="F65" s="71"/>
    </row>
    <row r="66">
      <c r="A66" s="68"/>
      <c r="B66" s="69"/>
      <c r="C66" s="70"/>
      <c r="D66" s="71"/>
      <c r="E66" s="71"/>
      <c r="F66" s="71"/>
    </row>
    <row r="67">
      <c r="A67" s="68"/>
      <c r="B67" s="69"/>
      <c r="C67" s="70"/>
      <c r="D67" s="71"/>
      <c r="E67" s="71"/>
      <c r="F67" s="71"/>
    </row>
    <row r="68">
      <c r="A68" s="68"/>
      <c r="B68" s="69"/>
      <c r="C68" s="70"/>
      <c r="D68" s="71"/>
      <c r="E68" s="71"/>
      <c r="F68" s="71"/>
    </row>
    <row r="69">
      <c r="A69" s="68"/>
      <c r="B69" s="69"/>
      <c r="C69" s="70"/>
      <c r="D69" s="71"/>
      <c r="E69" s="71"/>
      <c r="F69" s="71"/>
    </row>
    <row r="70">
      <c r="A70" s="68"/>
      <c r="B70" s="69"/>
      <c r="C70" s="70"/>
      <c r="D70" s="71"/>
      <c r="E70" s="71"/>
      <c r="F70" s="71"/>
    </row>
    <row r="71">
      <c r="A71" s="68"/>
      <c r="B71" s="69"/>
      <c r="C71" s="70"/>
      <c r="D71" s="71"/>
      <c r="E71" s="71"/>
      <c r="F71" s="71"/>
    </row>
    <row r="72">
      <c r="A72" s="68"/>
      <c r="B72" s="69"/>
      <c r="C72" s="70"/>
      <c r="D72" s="71"/>
      <c r="E72" s="71"/>
      <c r="F72" s="71"/>
    </row>
    <row r="73">
      <c r="A73" s="68"/>
      <c r="B73" s="69"/>
      <c r="C73" s="70"/>
      <c r="D73" s="71"/>
      <c r="E73" s="71"/>
      <c r="F73" s="71"/>
    </row>
    <row r="74">
      <c r="A74" s="68"/>
      <c r="B74" s="69"/>
      <c r="C74" s="70"/>
      <c r="D74" s="71"/>
      <c r="E74" s="71"/>
      <c r="F74" s="71"/>
    </row>
    <row r="75">
      <c r="A75" s="68"/>
      <c r="B75" s="69"/>
      <c r="C75" s="73"/>
      <c r="D75" s="71"/>
      <c r="E75" s="71"/>
      <c r="F75" s="71"/>
    </row>
    <row r="76">
      <c r="A76" s="68"/>
      <c r="B76" s="69"/>
      <c r="C76" s="73"/>
      <c r="D76" s="71"/>
      <c r="E76" s="71"/>
      <c r="F76" s="71"/>
    </row>
    <row r="77">
      <c r="A77" s="68"/>
      <c r="B77" s="69"/>
      <c r="C77" s="73"/>
      <c r="D77" s="71"/>
      <c r="E77" s="71"/>
      <c r="F77" s="71"/>
    </row>
    <row r="78">
      <c r="A78" s="68"/>
      <c r="B78" s="69"/>
      <c r="C78" s="73"/>
      <c r="D78" s="71"/>
      <c r="E78" s="71"/>
      <c r="F78" s="71"/>
    </row>
    <row r="79">
      <c r="A79" s="68"/>
      <c r="B79" s="69"/>
      <c r="C79" s="73"/>
      <c r="D79" s="71"/>
      <c r="E79" s="71"/>
      <c r="F79" s="71"/>
    </row>
    <row r="80">
      <c r="A80" s="68"/>
      <c r="B80" s="69"/>
      <c r="C80" s="73"/>
      <c r="D80" s="71"/>
      <c r="E80" s="71"/>
      <c r="F80" s="71"/>
    </row>
    <row r="81">
      <c r="A81" s="68"/>
      <c r="B81" s="69"/>
      <c r="C81" s="73"/>
      <c r="D81" s="71"/>
      <c r="E81" s="71"/>
      <c r="F81" s="71"/>
    </row>
    <row r="82">
      <c r="A82" s="68"/>
      <c r="B82" s="69"/>
      <c r="C82" s="73"/>
      <c r="D82" s="71"/>
      <c r="E82" s="71"/>
      <c r="F82" s="71"/>
    </row>
    <row r="83">
      <c r="A83" s="68"/>
      <c r="B83" s="69"/>
      <c r="C83" s="73"/>
      <c r="D83" s="71"/>
      <c r="E83" s="71"/>
      <c r="F83" s="71"/>
    </row>
    <row r="84">
      <c r="A84" s="68"/>
      <c r="B84" s="69"/>
      <c r="C84" s="73"/>
      <c r="D84" s="71"/>
      <c r="E84" s="71"/>
      <c r="F84" s="71"/>
    </row>
    <row r="85">
      <c r="A85" s="68"/>
      <c r="B85" s="69"/>
      <c r="C85" s="73"/>
      <c r="D85" s="71"/>
      <c r="E85" s="71"/>
      <c r="F85" s="71"/>
    </row>
    <row r="86">
      <c r="A86" s="68"/>
      <c r="B86" s="69"/>
      <c r="C86" s="73"/>
      <c r="D86" s="71"/>
      <c r="E86" s="71"/>
      <c r="F86" s="71"/>
    </row>
    <row r="87">
      <c r="A87" s="68"/>
      <c r="B87" s="69"/>
      <c r="C87" s="73"/>
      <c r="D87" s="71"/>
      <c r="E87" s="71"/>
      <c r="F87" s="71"/>
    </row>
    <row r="88">
      <c r="A88" s="68"/>
      <c r="B88" s="69"/>
      <c r="C88" s="73"/>
      <c r="D88" s="71"/>
      <c r="E88" s="71"/>
      <c r="F88" s="71"/>
    </row>
    <row r="89">
      <c r="A89" s="68"/>
      <c r="B89" s="69"/>
      <c r="C89" s="73"/>
      <c r="D89" s="71"/>
      <c r="E89" s="71"/>
      <c r="F89" s="71"/>
    </row>
    <row r="90">
      <c r="A90" s="68"/>
      <c r="B90" s="69"/>
      <c r="C90" s="73"/>
      <c r="D90" s="71"/>
      <c r="E90" s="71"/>
      <c r="F90" s="71"/>
    </row>
    <row r="91">
      <c r="A91" s="68"/>
      <c r="B91" s="69"/>
      <c r="C91" s="73"/>
      <c r="D91" s="71"/>
      <c r="E91" s="71"/>
      <c r="F91" s="71"/>
    </row>
    <row r="92">
      <c r="A92" s="68"/>
      <c r="B92" s="69"/>
      <c r="C92" s="73"/>
      <c r="D92" s="71"/>
      <c r="E92" s="71"/>
      <c r="F92" s="71"/>
    </row>
    <row r="93">
      <c r="A93" s="68"/>
      <c r="B93" s="69"/>
      <c r="C93" s="73"/>
      <c r="D93" s="71"/>
      <c r="E93" s="71"/>
      <c r="F93" s="71"/>
    </row>
    <row r="94">
      <c r="A94" s="68"/>
      <c r="B94" s="69"/>
      <c r="C94" s="73"/>
      <c r="D94" s="71"/>
      <c r="E94" s="71"/>
      <c r="F94" s="71"/>
    </row>
    <row r="95">
      <c r="A95" s="68"/>
      <c r="B95" s="69"/>
      <c r="C95" s="73"/>
      <c r="D95" s="71"/>
      <c r="E95" s="71"/>
      <c r="F95" s="71"/>
    </row>
    <row r="96">
      <c r="A96" s="68"/>
      <c r="B96" s="69"/>
      <c r="C96" s="73"/>
      <c r="D96" s="71"/>
      <c r="E96" s="71"/>
      <c r="F96" s="71"/>
    </row>
    <row r="97">
      <c r="A97" s="68"/>
      <c r="B97" s="69"/>
      <c r="C97" s="73"/>
      <c r="D97" s="71"/>
      <c r="E97" s="71"/>
      <c r="F97" s="71"/>
    </row>
    <row r="98">
      <c r="A98" s="68"/>
      <c r="B98" s="69"/>
      <c r="C98" s="73"/>
      <c r="D98" s="71"/>
      <c r="E98" s="71"/>
      <c r="F98" s="71"/>
    </row>
    <row r="99">
      <c r="A99" s="68"/>
      <c r="B99" s="69"/>
      <c r="C99" s="73"/>
      <c r="D99" s="71"/>
      <c r="E99" s="71"/>
      <c r="F99" s="71"/>
    </row>
    <row r="100">
      <c r="A100" s="68"/>
      <c r="B100" s="69"/>
      <c r="C100" s="73"/>
      <c r="D100" s="71"/>
      <c r="E100" s="71"/>
      <c r="F100" s="71"/>
    </row>
    <row r="101">
      <c r="A101" s="68"/>
      <c r="B101" s="69"/>
      <c r="C101" s="73"/>
      <c r="D101" s="71"/>
      <c r="E101" s="71"/>
      <c r="F101" s="71"/>
    </row>
    <row r="102">
      <c r="A102" s="68"/>
      <c r="B102" s="69"/>
      <c r="C102" s="73"/>
      <c r="D102" s="71"/>
      <c r="E102" s="71"/>
      <c r="F102" s="71"/>
    </row>
    <row r="103">
      <c r="A103" s="68"/>
      <c r="B103" s="69"/>
      <c r="C103" s="73"/>
      <c r="D103" s="71"/>
      <c r="E103" s="71"/>
      <c r="F103" s="71"/>
    </row>
    <row r="104">
      <c r="A104" s="68"/>
      <c r="B104" s="69"/>
      <c r="C104" s="73"/>
      <c r="D104" s="71"/>
      <c r="E104" s="71"/>
      <c r="F104" s="71"/>
    </row>
    <row r="105">
      <c r="A105" s="68"/>
      <c r="B105" s="69"/>
      <c r="C105" s="73"/>
      <c r="D105" s="71"/>
      <c r="E105" s="71"/>
      <c r="F105" s="71"/>
    </row>
    <row r="106">
      <c r="A106" s="68"/>
      <c r="B106" s="69"/>
      <c r="C106" s="73"/>
      <c r="D106" s="71"/>
      <c r="E106" s="71"/>
      <c r="F106" s="71"/>
    </row>
    <row r="107">
      <c r="A107" s="68"/>
      <c r="B107" s="69"/>
      <c r="C107" s="73"/>
      <c r="D107" s="71"/>
      <c r="E107" s="71"/>
      <c r="F107" s="71"/>
    </row>
    <row r="108">
      <c r="A108" s="68"/>
      <c r="B108" s="69"/>
      <c r="C108" s="73"/>
      <c r="D108" s="71"/>
      <c r="E108" s="71"/>
      <c r="F108" s="71"/>
    </row>
    <row r="109">
      <c r="A109" s="68"/>
      <c r="B109" s="69"/>
      <c r="C109" s="73"/>
      <c r="D109" s="71"/>
      <c r="E109" s="71"/>
      <c r="F109" s="71"/>
    </row>
    <row r="110">
      <c r="A110" s="68"/>
      <c r="B110" s="69"/>
      <c r="C110" s="73"/>
      <c r="D110" s="71"/>
      <c r="E110" s="71"/>
      <c r="F110" s="71"/>
    </row>
    <row r="111">
      <c r="A111" s="68"/>
      <c r="B111" s="69"/>
      <c r="C111" s="73"/>
      <c r="D111" s="71"/>
      <c r="E111" s="71"/>
      <c r="F111" s="71"/>
    </row>
    <row r="112">
      <c r="A112" s="68"/>
      <c r="B112" s="69"/>
      <c r="C112" s="73"/>
      <c r="D112" s="71"/>
      <c r="E112" s="71"/>
      <c r="F112" s="71"/>
    </row>
    <row r="113">
      <c r="A113" s="68"/>
      <c r="B113" s="69"/>
      <c r="C113" s="73"/>
      <c r="D113" s="71"/>
      <c r="E113" s="71"/>
      <c r="F113" s="71"/>
    </row>
    <row r="114">
      <c r="A114" s="68"/>
      <c r="B114" s="69"/>
      <c r="C114" s="73"/>
      <c r="D114" s="71"/>
      <c r="E114" s="71"/>
      <c r="F114" s="71"/>
    </row>
    <row r="115">
      <c r="A115" s="68"/>
      <c r="B115" s="69"/>
      <c r="C115" s="73"/>
      <c r="D115" s="71"/>
      <c r="E115" s="71"/>
      <c r="F115" s="71"/>
    </row>
    <row r="116">
      <c r="A116" s="68"/>
      <c r="B116" s="69"/>
      <c r="C116" s="73"/>
      <c r="D116" s="71"/>
      <c r="E116" s="71"/>
      <c r="F116" s="71"/>
    </row>
    <row r="117">
      <c r="A117" s="68"/>
      <c r="B117" s="69"/>
      <c r="C117" s="73"/>
      <c r="D117" s="71"/>
      <c r="E117" s="71"/>
      <c r="F117" s="71"/>
    </row>
    <row r="118">
      <c r="A118" s="68"/>
      <c r="B118" s="69"/>
      <c r="C118" s="73"/>
      <c r="D118" s="71"/>
      <c r="E118" s="71"/>
      <c r="F118" s="71"/>
    </row>
    <row r="119">
      <c r="A119" s="68"/>
      <c r="B119" s="69"/>
      <c r="C119" s="73"/>
      <c r="D119" s="71"/>
      <c r="E119" s="71"/>
      <c r="F119" s="71"/>
    </row>
    <row r="120">
      <c r="A120" s="68"/>
      <c r="B120" s="69"/>
      <c r="C120" s="73"/>
      <c r="D120" s="71"/>
      <c r="E120" s="71"/>
      <c r="F120" s="71"/>
    </row>
    <row r="121">
      <c r="A121" s="68"/>
      <c r="B121" s="69"/>
      <c r="C121" s="73"/>
      <c r="D121" s="71"/>
      <c r="E121" s="71"/>
      <c r="F121" s="71"/>
    </row>
    <row r="122">
      <c r="A122" s="68"/>
      <c r="B122" s="69"/>
      <c r="C122" s="73"/>
      <c r="D122" s="71"/>
      <c r="E122" s="71"/>
      <c r="F122" s="71"/>
    </row>
    <row r="123">
      <c r="A123" s="68"/>
      <c r="B123" s="69"/>
      <c r="C123" s="73"/>
      <c r="D123" s="71"/>
      <c r="E123" s="71"/>
      <c r="F123" s="71"/>
    </row>
    <row r="124">
      <c r="A124" s="68"/>
      <c r="B124" s="69"/>
      <c r="C124" s="73"/>
      <c r="D124" s="71"/>
      <c r="E124" s="71"/>
      <c r="F124" s="71"/>
    </row>
    <row r="125">
      <c r="A125" s="68"/>
      <c r="B125" s="69"/>
      <c r="C125" s="73"/>
      <c r="D125" s="71"/>
      <c r="E125" s="71"/>
      <c r="F125" s="71"/>
    </row>
    <row r="126">
      <c r="A126" s="68"/>
      <c r="B126" s="69"/>
      <c r="C126" s="73"/>
      <c r="D126" s="71"/>
      <c r="E126" s="71"/>
      <c r="F126" s="71"/>
    </row>
    <row r="127">
      <c r="A127" s="68"/>
      <c r="B127" s="69"/>
      <c r="C127" s="73"/>
      <c r="D127" s="71"/>
      <c r="E127" s="71"/>
      <c r="F127" s="71"/>
    </row>
    <row r="128">
      <c r="A128" s="68"/>
      <c r="B128" s="69"/>
      <c r="C128" s="73"/>
      <c r="D128" s="71"/>
      <c r="E128" s="71"/>
      <c r="F128" s="71"/>
    </row>
    <row r="129">
      <c r="A129" s="68"/>
      <c r="B129" s="69"/>
      <c r="C129" s="73"/>
      <c r="D129" s="71"/>
      <c r="E129" s="71"/>
      <c r="F129" s="71"/>
    </row>
    <row r="130">
      <c r="A130" s="68"/>
      <c r="B130" s="69"/>
      <c r="C130" s="73"/>
      <c r="D130" s="71"/>
      <c r="E130" s="71"/>
      <c r="F130" s="71"/>
    </row>
    <row r="131">
      <c r="A131" s="68"/>
      <c r="B131" s="69"/>
      <c r="C131" s="73"/>
      <c r="D131" s="71"/>
      <c r="E131" s="71"/>
      <c r="F131" s="71"/>
    </row>
    <row r="132">
      <c r="A132" s="68"/>
      <c r="B132" s="69"/>
      <c r="C132" s="73"/>
      <c r="D132" s="71"/>
      <c r="E132" s="71"/>
      <c r="F132" s="71"/>
    </row>
    <row r="133">
      <c r="A133" s="68"/>
      <c r="B133" s="69"/>
      <c r="C133" s="73"/>
      <c r="D133" s="71"/>
      <c r="E133" s="71"/>
      <c r="F133" s="71"/>
    </row>
    <row r="134">
      <c r="A134" s="68"/>
      <c r="B134" s="69"/>
      <c r="C134" s="73"/>
      <c r="D134" s="71"/>
      <c r="E134" s="71"/>
      <c r="F134" s="71"/>
    </row>
    <row r="135">
      <c r="A135" s="68"/>
      <c r="B135" s="69"/>
      <c r="C135" s="73"/>
      <c r="D135" s="71"/>
      <c r="E135" s="71"/>
      <c r="F135" s="71"/>
    </row>
    <row r="136">
      <c r="A136" s="68"/>
      <c r="B136" s="69"/>
      <c r="C136" s="73"/>
      <c r="D136" s="71"/>
      <c r="E136" s="71"/>
      <c r="F136" s="71"/>
    </row>
    <row r="137">
      <c r="A137" s="68"/>
      <c r="B137" s="69"/>
      <c r="C137" s="73"/>
      <c r="D137" s="71"/>
      <c r="E137" s="71"/>
      <c r="F137" s="71"/>
    </row>
    <row r="138">
      <c r="A138" s="68"/>
      <c r="B138" s="69"/>
      <c r="C138" s="73"/>
      <c r="D138" s="71"/>
      <c r="E138" s="71"/>
      <c r="F138" s="71"/>
    </row>
    <row r="139">
      <c r="A139" s="68"/>
      <c r="B139" s="69"/>
      <c r="C139" s="73"/>
      <c r="D139" s="71"/>
      <c r="E139" s="71"/>
      <c r="F139" s="71"/>
    </row>
    <row r="140">
      <c r="A140" s="68"/>
      <c r="B140" s="69"/>
      <c r="C140" s="73"/>
      <c r="D140" s="71"/>
      <c r="E140" s="71"/>
      <c r="F140" s="71"/>
    </row>
    <row r="141">
      <c r="A141" s="68"/>
      <c r="B141" s="69"/>
      <c r="C141" s="73"/>
      <c r="D141" s="71"/>
      <c r="E141" s="71"/>
      <c r="F141" s="71"/>
    </row>
    <row r="142">
      <c r="A142" s="68"/>
      <c r="B142" s="69"/>
      <c r="C142" s="73"/>
      <c r="D142" s="71"/>
      <c r="E142" s="71"/>
      <c r="F142" s="71"/>
    </row>
    <row r="143">
      <c r="A143" s="68"/>
      <c r="B143" s="69"/>
      <c r="C143" s="73"/>
      <c r="D143" s="71"/>
      <c r="E143" s="71"/>
      <c r="F143" s="71"/>
    </row>
    <row r="144">
      <c r="A144" s="68"/>
      <c r="B144" s="69"/>
      <c r="C144" s="73"/>
      <c r="D144" s="71"/>
      <c r="E144" s="71"/>
      <c r="F144" s="71"/>
    </row>
    <row r="145">
      <c r="A145" s="68"/>
      <c r="B145" s="69"/>
      <c r="C145" s="73"/>
      <c r="D145" s="71"/>
      <c r="E145" s="71"/>
      <c r="F145" s="71"/>
    </row>
    <row r="146">
      <c r="A146" s="68"/>
      <c r="B146" s="69"/>
      <c r="C146" s="73"/>
      <c r="D146" s="71"/>
      <c r="E146" s="71"/>
      <c r="F146" s="71"/>
    </row>
    <row r="147">
      <c r="A147" s="68"/>
      <c r="B147" s="69"/>
      <c r="C147" s="73"/>
      <c r="D147" s="71"/>
      <c r="E147" s="71"/>
      <c r="F147" s="71"/>
    </row>
    <row r="148">
      <c r="A148" s="68"/>
      <c r="B148" s="69"/>
      <c r="C148" s="73"/>
      <c r="D148" s="71"/>
      <c r="E148" s="71"/>
      <c r="F148" s="71"/>
    </row>
    <row r="149">
      <c r="A149" s="68"/>
      <c r="B149" s="69"/>
      <c r="C149" s="73"/>
      <c r="D149" s="71"/>
      <c r="E149" s="71"/>
      <c r="F149" s="71"/>
    </row>
    <row r="150">
      <c r="A150" s="68"/>
      <c r="B150" s="69"/>
      <c r="C150" s="73"/>
      <c r="D150" s="71"/>
      <c r="E150" s="71"/>
      <c r="F150" s="71"/>
    </row>
    <row r="151">
      <c r="A151" s="68"/>
      <c r="B151" s="69"/>
      <c r="C151" s="73"/>
      <c r="D151" s="71"/>
      <c r="E151" s="71"/>
      <c r="F151" s="71"/>
    </row>
    <row r="152">
      <c r="A152" s="68"/>
      <c r="B152" s="69"/>
      <c r="C152" s="73"/>
      <c r="D152" s="71"/>
      <c r="E152" s="71"/>
      <c r="F152" s="71"/>
    </row>
    <row r="153">
      <c r="A153" s="68"/>
      <c r="B153" s="69"/>
      <c r="C153" s="73"/>
      <c r="D153" s="71"/>
      <c r="E153" s="71"/>
      <c r="F153" s="71"/>
    </row>
    <row r="154">
      <c r="A154" s="68"/>
      <c r="B154" s="69"/>
      <c r="C154" s="73"/>
      <c r="D154" s="71"/>
      <c r="E154" s="71"/>
      <c r="F154" s="71"/>
    </row>
    <row r="155">
      <c r="A155" s="68"/>
      <c r="B155" s="69"/>
      <c r="C155" s="73"/>
      <c r="D155" s="71"/>
      <c r="E155" s="71"/>
      <c r="F155" s="71"/>
    </row>
    <row r="156">
      <c r="A156" s="68"/>
      <c r="B156" s="69"/>
      <c r="C156" s="73"/>
      <c r="D156" s="71"/>
      <c r="E156" s="71"/>
      <c r="F156" s="71"/>
    </row>
    <row r="157">
      <c r="A157" s="68"/>
      <c r="B157" s="69"/>
      <c r="C157" s="73"/>
      <c r="D157" s="71"/>
      <c r="E157" s="71"/>
      <c r="F157" s="71"/>
    </row>
    <row r="158">
      <c r="A158" s="68"/>
      <c r="B158" s="69"/>
      <c r="C158" s="73"/>
      <c r="D158" s="71"/>
      <c r="E158" s="71"/>
      <c r="F158" s="71"/>
    </row>
    <row r="159">
      <c r="A159" s="68"/>
      <c r="B159" s="69"/>
      <c r="C159" s="73"/>
      <c r="D159" s="71"/>
      <c r="E159" s="71"/>
      <c r="F159" s="71"/>
    </row>
    <row r="160">
      <c r="A160" s="68"/>
      <c r="B160" s="69"/>
      <c r="C160" s="73"/>
      <c r="D160" s="71"/>
      <c r="E160" s="71"/>
      <c r="F160" s="71"/>
    </row>
    <row r="161">
      <c r="A161" s="68"/>
      <c r="B161" s="69"/>
      <c r="C161" s="73"/>
      <c r="D161" s="71"/>
      <c r="E161" s="71"/>
      <c r="F161" s="71"/>
    </row>
    <row r="162">
      <c r="A162" s="68"/>
      <c r="B162" s="69"/>
      <c r="C162" s="73"/>
      <c r="D162" s="71"/>
      <c r="E162" s="71"/>
      <c r="F162" s="71"/>
    </row>
    <row r="163">
      <c r="A163" s="68"/>
      <c r="B163" s="69"/>
      <c r="C163" s="73"/>
      <c r="D163" s="71"/>
      <c r="E163" s="71"/>
      <c r="F163" s="71"/>
    </row>
    <row r="164">
      <c r="A164" s="68"/>
      <c r="B164" s="69"/>
      <c r="C164" s="73"/>
      <c r="D164" s="71"/>
      <c r="E164" s="71"/>
      <c r="F164" s="71"/>
    </row>
    <row r="165">
      <c r="A165" s="68"/>
      <c r="B165" s="69"/>
      <c r="C165" s="73"/>
      <c r="D165" s="71"/>
      <c r="E165" s="71"/>
      <c r="F165" s="71"/>
    </row>
    <row r="166">
      <c r="A166" s="68"/>
      <c r="B166" s="69"/>
      <c r="C166" s="73"/>
      <c r="D166" s="71"/>
      <c r="E166" s="71"/>
      <c r="F166" s="71"/>
    </row>
    <row r="167">
      <c r="A167" s="68"/>
      <c r="B167" s="69"/>
      <c r="C167" s="73"/>
      <c r="D167" s="71"/>
      <c r="E167" s="71"/>
      <c r="F167" s="71"/>
    </row>
    <row r="168">
      <c r="A168" s="68"/>
      <c r="B168" s="69"/>
      <c r="C168" s="73"/>
      <c r="D168" s="71"/>
      <c r="E168" s="71"/>
      <c r="F168" s="71"/>
    </row>
    <row r="169">
      <c r="A169" s="68"/>
      <c r="B169" s="69"/>
      <c r="C169" s="73"/>
      <c r="D169" s="71"/>
      <c r="E169" s="71"/>
      <c r="F169" s="71"/>
    </row>
    <row r="170">
      <c r="A170" s="68"/>
      <c r="B170" s="69"/>
      <c r="C170" s="73"/>
      <c r="D170" s="71"/>
      <c r="E170" s="71"/>
      <c r="F170" s="71"/>
    </row>
    <row r="171">
      <c r="A171" s="68"/>
      <c r="B171" s="69"/>
      <c r="C171" s="73"/>
      <c r="D171" s="71"/>
      <c r="E171" s="71"/>
      <c r="F171" s="71"/>
    </row>
    <row r="172">
      <c r="A172" s="68"/>
      <c r="B172" s="69"/>
      <c r="C172" s="73"/>
      <c r="D172" s="71"/>
      <c r="E172" s="71"/>
      <c r="F172" s="71"/>
    </row>
    <row r="173">
      <c r="A173" s="68"/>
      <c r="B173" s="69"/>
      <c r="C173" s="73"/>
      <c r="D173" s="71"/>
      <c r="E173" s="71"/>
      <c r="F173" s="71"/>
    </row>
    <row r="174">
      <c r="A174" s="68"/>
      <c r="B174" s="69"/>
      <c r="C174" s="73"/>
      <c r="D174" s="71"/>
      <c r="E174" s="71"/>
      <c r="F174" s="71"/>
    </row>
    <row r="175">
      <c r="A175" s="68"/>
      <c r="B175" s="69"/>
      <c r="C175" s="73"/>
      <c r="D175" s="71"/>
      <c r="E175" s="71"/>
      <c r="F175" s="71"/>
    </row>
    <row r="176">
      <c r="A176" s="68"/>
      <c r="B176" s="69"/>
      <c r="C176" s="73"/>
      <c r="D176" s="71"/>
      <c r="E176" s="71"/>
      <c r="F176" s="71"/>
    </row>
    <row r="177">
      <c r="A177" s="68"/>
      <c r="B177" s="69"/>
      <c r="C177" s="73"/>
      <c r="D177" s="71"/>
      <c r="E177" s="71"/>
      <c r="F177" s="71"/>
    </row>
    <row r="178">
      <c r="A178" s="68"/>
      <c r="B178" s="69"/>
      <c r="C178" s="73"/>
      <c r="D178" s="71"/>
      <c r="E178" s="71"/>
      <c r="F178" s="71"/>
    </row>
    <row r="179">
      <c r="A179" s="68"/>
      <c r="B179" s="69"/>
      <c r="C179" s="73"/>
      <c r="D179" s="71"/>
      <c r="E179" s="71"/>
      <c r="F179" s="71"/>
    </row>
    <row r="180">
      <c r="A180" s="68"/>
      <c r="B180" s="69"/>
      <c r="C180" s="73"/>
      <c r="D180" s="71"/>
      <c r="E180" s="71"/>
      <c r="F180" s="71"/>
    </row>
    <row r="181">
      <c r="A181" s="68"/>
      <c r="B181" s="69"/>
      <c r="C181" s="73"/>
      <c r="D181" s="71"/>
      <c r="E181" s="71"/>
      <c r="F181" s="71"/>
    </row>
    <row r="182">
      <c r="A182" s="68"/>
      <c r="B182" s="69"/>
      <c r="C182" s="73"/>
      <c r="D182" s="71"/>
      <c r="E182" s="71"/>
      <c r="F182" s="71"/>
    </row>
    <row r="183">
      <c r="A183" s="68"/>
      <c r="B183" s="69"/>
      <c r="C183" s="73"/>
      <c r="D183" s="71"/>
      <c r="E183" s="71"/>
      <c r="F183" s="71"/>
    </row>
    <row r="184">
      <c r="A184" s="68"/>
      <c r="B184" s="69"/>
      <c r="C184" s="73"/>
      <c r="D184" s="71"/>
      <c r="E184" s="71"/>
      <c r="F184" s="71"/>
    </row>
    <row r="185">
      <c r="A185" s="68"/>
      <c r="B185" s="69"/>
      <c r="C185" s="73"/>
      <c r="D185" s="71"/>
      <c r="E185" s="71"/>
      <c r="F185" s="71"/>
    </row>
    <row r="186">
      <c r="A186" s="68"/>
      <c r="B186" s="69"/>
      <c r="C186" s="73"/>
      <c r="D186" s="71"/>
      <c r="E186" s="71"/>
      <c r="F186" s="71"/>
    </row>
    <row r="187">
      <c r="A187" s="68"/>
      <c r="B187" s="69"/>
      <c r="C187" s="73"/>
      <c r="D187" s="71"/>
      <c r="E187" s="71"/>
      <c r="F187" s="71"/>
    </row>
    <row r="188">
      <c r="A188" s="68"/>
      <c r="B188" s="69"/>
      <c r="C188" s="73"/>
      <c r="D188" s="71"/>
      <c r="E188" s="71"/>
      <c r="F188" s="71"/>
    </row>
    <row r="189">
      <c r="A189" s="68"/>
      <c r="B189" s="69"/>
      <c r="C189" s="73"/>
      <c r="D189" s="71"/>
      <c r="E189" s="71"/>
      <c r="F189" s="71"/>
    </row>
    <row r="190">
      <c r="A190" s="68"/>
      <c r="B190" s="69"/>
      <c r="C190" s="73"/>
      <c r="D190" s="71"/>
      <c r="E190" s="71"/>
      <c r="F190" s="71"/>
    </row>
    <row r="191">
      <c r="A191" s="68"/>
      <c r="B191" s="69"/>
      <c r="C191" s="73"/>
      <c r="D191" s="71"/>
      <c r="E191" s="71"/>
      <c r="F191" s="71"/>
    </row>
    <row r="192">
      <c r="A192" s="68"/>
      <c r="B192" s="69"/>
      <c r="C192" s="73"/>
      <c r="D192" s="71"/>
      <c r="E192" s="71"/>
      <c r="F192" s="71"/>
    </row>
    <row r="193">
      <c r="A193" s="68"/>
      <c r="B193" s="69"/>
      <c r="C193" s="73"/>
      <c r="D193" s="71"/>
      <c r="E193" s="71"/>
      <c r="F193" s="71"/>
    </row>
    <row r="194">
      <c r="A194" s="68"/>
      <c r="B194" s="69"/>
      <c r="C194" s="73"/>
      <c r="D194" s="71"/>
      <c r="E194" s="71"/>
      <c r="F194" s="71"/>
    </row>
    <row r="195">
      <c r="A195" s="68"/>
      <c r="B195" s="69"/>
      <c r="C195" s="73"/>
      <c r="D195" s="71"/>
      <c r="E195" s="71"/>
      <c r="F195" s="71"/>
    </row>
    <row r="196">
      <c r="A196" s="68"/>
      <c r="B196" s="69"/>
      <c r="C196" s="73"/>
      <c r="D196" s="71"/>
      <c r="E196" s="71"/>
      <c r="F196" s="71"/>
    </row>
    <row r="197">
      <c r="A197" s="68"/>
      <c r="B197" s="69"/>
      <c r="C197" s="73"/>
      <c r="D197" s="71"/>
      <c r="E197" s="71"/>
      <c r="F197" s="71"/>
    </row>
    <row r="198">
      <c r="A198" s="68"/>
      <c r="B198" s="69"/>
      <c r="C198" s="73"/>
      <c r="D198" s="71"/>
      <c r="E198" s="71"/>
      <c r="F198" s="71"/>
    </row>
    <row r="199">
      <c r="A199" s="68"/>
      <c r="B199" s="69"/>
      <c r="C199" s="73"/>
      <c r="D199" s="71"/>
      <c r="E199" s="71"/>
      <c r="F199" s="71"/>
    </row>
    <row r="200">
      <c r="A200" s="68"/>
      <c r="B200" s="69"/>
      <c r="C200" s="73"/>
      <c r="D200" s="71"/>
      <c r="E200" s="71"/>
      <c r="F200" s="71"/>
    </row>
    <row r="201">
      <c r="A201" s="68"/>
      <c r="B201" s="69"/>
      <c r="C201" s="73"/>
      <c r="D201" s="71"/>
      <c r="E201" s="71"/>
      <c r="F201" s="71"/>
    </row>
    <row r="202">
      <c r="A202" s="68"/>
      <c r="B202" s="69"/>
      <c r="C202" s="73"/>
      <c r="D202" s="71"/>
      <c r="E202" s="71"/>
      <c r="F202" s="71"/>
    </row>
    <row r="203">
      <c r="A203" s="68"/>
      <c r="B203" s="69"/>
      <c r="C203" s="73"/>
      <c r="D203" s="71"/>
      <c r="E203" s="71"/>
      <c r="F203" s="71"/>
    </row>
    <row r="204">
      <c r="A204" s="68"/>
      <c r="B204" s="69"/>
      <c r="C204" s="73"/>
      <c r="D204" s="71"/>
      <c r="E204" s="71"/>
      <c r="F204" s="71"/>
    </row>
    <row r="205">
      <c r="A205" s="68"/>
      <c r="B205" s="69"/>
      <c r="C205" s="73"/>
      <c r="D205" s="71"/>
      <c r="E205" s="71"/>
      <c r="F205" s="71"/>
    </row>
    <row r="206">
      <c r="A206" s="68"/>
      <c r="B206" s="69"/>
      <c r="C206" s="73"/>
      <c r="D206" s="71"/>
      <c r="E206" s="71"/>
      <c r="F206" s="71"/>
    </row>
    <row r="207">
      <c r="A207" s="68"/>
      <c r="B207" s="69"/>
      <c r="C207" s="73"/>
      <c r="D207" s="71"/>
      <c r="E207" s="71"/>
      <c r="F207" s="71"/>
    </row>
    <row r="208">
      <c r="A208" s="68"/>
      <c r="B208" s="69"/>
      <c r="C208" s="73"/>
      <c r="D208" s="71"/>
      <c r="E208" s="71"/>
      <c r="F208" s="71"/>
    </row>
    <row r="209">
      <c r="A209" s="68"/>
      <c r="B209" s="69"/>
      <c r="C209" s="73"/>
      <c r="D209" s="71"/>
      <c r="E209" s="71"/>
      <c r="F209" s="71"/>
    </row>
    <row r="210">
      <c r="A210" s="68"/>
      <c r="B210" s="69"/>
      <c r="C210" s="73"/>
      <c r="D210" s="71"/>
      <c r="E210" s="71"/>
      <c r="F210" s="71"/>
    </row>
    <row r="211">
      <c r="A211" s="68"/>
      <c r="B211" s="69"/>
      <c r="C211" s="73"/>
      <c r="D211" s="71"/>
      <c r="E211" s="71"/>
      <c r="F211" s="71"/>
    </row>
    <row r="212">
      <c r="A212" s="68"/>
      <c r="B212" s="69"/>
      <c r="C212" s="73"/>
      <c r="D212" s="71"/>
      <c r="E212" s="71"/>
      <c r="F212" s="71"/>
    </row>
    <row r="213">
      <c r="A213" s="68"/>
      <c r="B213" s="69"/>
      <c r="C213" s="73"/>
      <c r="D213" s="71"/>
      <c r="E213" s="71"/>
      <c r="F213" s="71"/>
    </row>
    <row r="214">
      <c r="A214" s="68"/>
      <c r="B214" s="69"/>
      <c r="C214" s="73"/>
      <c r="D214" s="71"/>
      <c r="E214" s="71"/>
      <c r="F214" s="71"/>
    </row>
    <row r="215">
      <c r="A215" s="68"/>
      <c r="B215" s="69"/>
      <c r="C215" s="73"/>
      <c r="D215" s="71"/>
      <c r="E215" s="71"/>
      <c r="F215" s="71"/>
    </row>
    <row r="216">
      <c r="A216" s="68"/>
      <c r="B216" s="69"/>
      <c r="C216" s="73"/>
      <c r="D216" s="71"/>
      <c r="E216" s="71"/>
      <c r="F216" s="71"/>
    </row>
    <row r="217">
      <c r="A217" s="68"/>
      <c r="B217" s="69"/>
      <c r="C217" s="73"/>
      <c r="D217" s="71"/>
      <c r="E217" s="71"/>
      <c r="F217" s="71"/>
    </row>
    <row r="218">
      <c r="A218" s="68"/>
      <c r="B218" s="69"/>
      <c r="C218" s="73"/>
      <c r="D218" s="71"/>
      <c r="E218" s="71"/>
      <c r="F218" s="71"/>
    </row>
    <row r="219">
      <c r="A219" s="68"/>
      <c r="B219" s="69"/>
      <c r="C219" s="73"/>
      <c r="D219" s="71"/>
      <c r="E219" s="71"/>
      <c r="F219" s="71"/>
    </row>
    <row r="220">
      <c r="A220" s="68"/>
      <c r="B220" s="69"/>
      <c r="C220" s="73"/>
      <c r="D220" s="71"/>
      <c r="E220" s="71"/>
      <c r="F220" s="71"/>
    </row>
    <row r="221">
      <c r="A221" s="68"/>
      <c r="B221" s="69"/>
      <c r="C221" s="73"/>
      <c r="D221" s="71"/>
      <c r="E221" s="71"/>
      <c r="F221" s="71"/>
    </row>
    <row r="222">
      <c r="A222" s="68"/>
      <c r="B222" s="69"/>
      <c r="C222" s="73"/>
      <c r="D222" s="71"/>
      <c r="E222" s="71"/>
      <c r="F222" s="71"/>
    </row>
    <row r="223">
      <c r="A223" s="68"/>
      <c r="B223" s="69"/>
      <c r="C223" s="73"/>
      <c r="D223" s="71"/>
      <c r="E223" s="71"/>
      <c r="F223" s="71"/>
    </row>
    <row r="224">
      <c r="A224" s="68"/>
      <c r="B224" s="69"/>
      <c r="C224" s="73"/>
      <c r="D224" s="71"/>
      <c r="E224" s="71"/>
      <c r="F224" s="71"/>
    </row>
    <row r="225">
      <c r="A225" s="68"/>
      <c r="B225" s="69"/>
      <c r="C225" s="73"/>
      <c r="D225" s="71"/>
      <c r="E225" s="71"/>
      <c r="F225" s="71"/>
    </row>
    <row r="226">
      <c r="A226" s="68"/>
      <c r="B226" s="69"/>
      <c r="C226" s="73"/>
      <c r="D226" s="71"/>
      <c r="E226" s="71"/>
      <c r="F226" s="71"/>
    </row>
    <row r="227">
      <c r="A227" s="68"/>
      <c r="B227" s="69"/>
      <c r="C227" s="73"/>
      <c r="D227" s="71"/>
      <c r="E227" s="71"/>
      <c r="F227" s="71"/>
    </row>
    <row r="228">
      <c r="A228" s="68"/>
      <c r="B228" s="69"/>
      <c r="C228" s="73"/>
      <c r="D228" s="71"/>
      <c r="E228" s="71"/>
      <c r="F228" s="71"/>
    </row>
    <row r="229">
      <c r="A229" s="68"/>
      <c r="B229" s="69"/>
      <c r="C229" s="73"/>
      <c r="D229" s="71"/>
      <c r="E229" s="71"/>
      <c r="F229" s="71"/>
    </row>
    <row r="230">
      <c r="A230" s="68"/>
      <c r="B230" s="69"/>
      <c r="C230" s="73"/>
      <c r="D230" s="71"/>
      <c r="E230" s="71"/>
      <c r="F230" s="71"/>
    </row>
    <row r="231">
      <c r="A231" s="68"/>
      <c r="B231" s="69"/>
      <c r="C231" s="73"/>
      <c r="D231" s="71"/>
      <c r="E231" s="71"/>
      <c r="F231" s="71"/>
    </row>
    <row r="232">
      <c r="A232" s="68"/>
      <c r="B232" s="69"/>
      <c r="C232" s="73"/>
      <c r="D232" s="71"/>
      <c r="E232" s="71"/>
      <c r="F232" s="71"/>
    </row>
    <row r="233">
      <c r="A233" s="68"/>
      <c r="B233" s="69"/>
      <c r="C233" s="73"/>
      <c r="D233" s="71"/>
      <c r="E233" s="71"/>
      <c r="F233" s="71"/>
    </row>
    <row r="234">
      <c r="A234" s="68"/>
      <c r="B234" s="69"/>
      <c r="C234" s="73"/>
      <c r="D234" s="71"/>
      <c r="E234" s="71"/>
      <c r="F234" s="71"/>
    </row>
    <row r="235">
      <c r="A235" s="68"/>
      <c r="B235" s="69"/>
      <c r="C235" s="73"/>
      <c r="D235" s="71"/>
      <c r="E235" s="71"/>
      <c r="F235" s="71"/>
    </row>
    <row r="236">
      <c r="A236" s="68"/>
      <c r="B236" s="69"/>
      <c r="C236" s="73"/>
      <c r="D236" s="71"/>
      <c r="E236" s="71"/>
      <c r="F236" s="71"/>
    </row>
    <row r="237">
      <c r="A237" s="68"/>
      <c r="B237" s="69"/>
      <c r="C237" s="73"/>
      <c r="D237" s="71"/>
      <c r="E237" s="71"/>
      <c r="F237" s="71"/>
    </row>
    <row r="238">
      <c r="A238" s="68"/>
      <c r="B238" s="69"/>
      <c r="C238" s="73"/>
      <c r="D238" s="71"/>
      <c r="E238" s="71"/>
      <c r="F238" s="71"/>
    </row>
    <row r="239">
      <c r="A239" s="68"/>
      <c r="B239" s="69"/>
      <c r="C239" s="73"/>
      <c r="D239" s="71"/>
      <c r="E239" s="71"/>
      <c r="F239" s="71"/>
    </row>
    <row r="240">
      <c r="A240" s="68"/>
      <c r="B240" s="69"/>
      <c r="C240" s="73"/>
      <c r="D240" s="71"/>
      <c r="E240" s="71"/>
      <c r="F240" s="71"/>
    </row>
    <row r="241">
      <c r="A241" s="68"/>
      <c r="B241" s="69"/>
      <c r="C241" s="73"/>
      <c r="D241" s="71"/>
      <c r="E241" s="71"/>
      <c r="F241" s="71"/>
    </row>
    <row r="242">
      <c r="A242" s="68"/>
      <c r="B242" s="69"/>
      <c r="C242" s="73"/>
      <c r="D242" s="71"/>
      <c r="E242" s="71"/>
      <c r="F242" s="71"/>
    </row>
    <row r="243">
      <c r="A243" s="68"/>
      <c r="B243" s="69"/>
      <c r="C243" s="73"/>
      <c r="D243" s="71"/>
      <c r="E243" s="71"/>
      <c r="F243" s="71"/>
    </row>
    <row r="244">
      <c r="A244" s="68"/>
      <c r="B244" s="69"/>
      <c r="C244" s="73"/>
      <c r="D244" s="71"/>
      <c r="E244" s="71"/>
      <c r="F244" s="71"/>
    </row>
    <row r="245">
      <c r="A245" s="68"/>
      <c r="B245" s="69"/>
      <c r="C245" s="73"/>
      <c r="D245" s="71"/>
      <c r="E245" s="71"/>
      <c r="F245" s="71"/>
    </row>
    <row r="246">
      <c r="A246" s="68"/>
      <c r="B246" s="69"/>
      <c r="C246" s="73"/>
      <c r="D246" s="71"/>
      <c r="E246" s="71"/>
      <c r="F246" s="71"/>
    </row>
    <row r="247">
      <c r="A247" s="68"/>
      <c r="B247" s="69"/>
      <c r="C247" s="73"/>
      <c r="D247" s="71"/>
      <c r="E247" s="71"/>
      <c r="F247" s="71"/>
    </row>
    <row r="248">
      <c r="A248" s="68"/>
      <c r="B248" s="69"/>
      <c r="C248" s="73"/>
      <c r="D248" s="71"/>
      <c r="E248" s="71"/>
      <c r="F248" s="71"/>
    </row>
    <row r="249">
      <c r="A249" s="68"/>
      <c r="B249" s="69"/>
      <c r="C249" s="73"/>
      <c r="D249" s="71"/>
      <c r="E249" s="71"/>
      <c r="F249" s="71"/>
    </row>
    <row r="250">
      <c r="A250" s="68"/>
      <c r="B250" s="69"/>
      <c r="C250" s="73"/>
      <c r="D250" s="71"/>
      <c r="E250" s="71"/>
      <c r="F250" s="71"/>
    </row>
    <row r="251">
      <c r="A251" s="68"/>
      <c r="B251" s="69"/>
      <c r="C251" s="73"/>
      <c r="D251" s="71"/>
      <c r="E251" s="71"/>
      <c r="F251" s="71"/>
    </row>
    <row r="252">
      <c r="A252" s="68"/>
      <c r="B252" s="69"/>
      <c r="C252" s="73"/>
      <c r="D252" s="71"/>
      <c r="E252" s="71"/>
      <c r="F252" s="71"/>
    </row>
    <row r="253">
      <c r="A253" s="68"/>
      <c r="B253" s="69"/>
      <c r="C253" s="73"/>
      <c r="D253" s="71"/>
      <c r="E253" s="71"/>
      <c r="F253" s="71"/>
    </row>
    <row r="254">
      <c r="A254" s="68"/>
      <c r="B254" s="69"/>
      <c r="C254" s="73"/>
      <c r="D254" s="71"/>
      <c r="E254" s="71"/>
      <c r="F254" s="71"/>
    </row>
    <row r="255">
      <c r="A255" s="68"/>
      <c r="B255" s="69"/>
      <c r="C255" s="73"/>
      <c r="D255" s="71"/>
      <c r="E255" s="71"/>
      <c r="F255" s="71"/>
    </row>
    <row r="256">
      <c r="A256" s="68"/>
      <c r="B256" s="69"/>
      <c r="C256" s="73"/>
      <c r="D256" s="71"/>
      <c r="E256" s="71"/>
      <c r="F256" s="71"/>
    </row>
    <row r="257">
      <c r="A257" s="68"/>
      <c r="B257" s="69"/>
      <c r="C257" s="73"/>
      <c r="D257" s="71"/>
      <c r="E257" s="71"/>
      <c r="F257" s="71"/>
    </row>
    <row r="258">
      <c r="A258" s="68"/>
      <c r="B258" s="69"/>
      <c r="C258" s="73"/>
      <c r="D258" s="71"/>
      <c r="E258" s="71"/>
      <c r="F258" s="71"/>
    </row>
    <row r="259">
      <c r="A259" s="68"/>
      <c r="B259" s="69"/>
      <c r="C259" s="73"/>
      <c r="D259" s="71"/>
      <c r="E259" s="71"/>
      <c r="F259" s="71"/>
    </row>
    <row r="260">
      <c r="A260" s="68"/>
      <c r="B260" s="69"/>
      <c r="C260" s="73"/>
      <c r="D260" s="71"/>
      <c r="E260" s="71"/>
      <c r="F260" s="71"/>
    </row>
    <row r="261">
      <c r="A261" s="68"/>
      <c r="B261" s="69"/>
      <c r="C261" s="73"/>
      <c r="D261" s="71"/>
      <c r="E261" s="71"/>
      <c r="F261" s="71"/>
    </row>
    <row r="262">
      <c r="A262" s="68"/>
      <c r="B262" s="69"/>
      <c r="C262" s="73"/>
      <c r="D262" s="71"/>
      <c r="E262" s="71"/>
      <c r="F262" s="71"/>
    </row>
    <row r="263">
      <c r="A263" s="68"/>
      <c r="B263" s="69"/>
      <c r="C263" s="73"/>
      <c r="D263" s="71"/>
      <c r="E263" s="71"/>
      <c r="F263" s="71"/>
    </row>
    <row r="264">
      <c r="A264" s="68"/>
      <c r="B264" s="69"/>
      <c r="C264" s="73"/>
      <c r="D264" s="71"/>
      <c r="E264" s="71"/>
      <c r="F264" s="71"/>
    </row>
    <row r="265">
      <c r="A265" s="68"/>
      <c r="B265" s="69"/>
      <c r="C265" s="73"/>
      <c r="D265" s="71"/>
      <c r="E265" s="71"/>
      <c r="F265" s="71"/>
    </row>
    <row r="266">
      <c r="A266" s="68"/>
      <c r="B266" s="69"/>
      <c r="C266" s="73"/>
      <c r="D266" s="71"/>
      <c r="E266" s="71"/>
      <c r="F266" s="71"/>
    </row>
    <row r="267">
      <c r="A267" s="68"/>
      <c r="B267" s="69"/>
      <c r="C267" s="73"/>
      <c r="D267" s="71"/>
      <c r="E267" s="71"/>
      <c r="F267" s="71"/>
    </row>
    <row r="268">
      <c r="A268" s="68"/>
      <c r="B268" s="69"/>
      <c r="C268" s="73"/>
      <c r="D268" s="71"/>
      <c r="E268" s="71"/>
      <c r="F268" s="71"/>
    </row>
    <row r="269">
      <c r="A269" s="68"/>
      <c r="B269" s="69"/>
      <c r="C269" s="73"/>
      <c r="D269" s="71"/>
      <c r="E269" s="71"/>
      <c r="F269" s="71"/>
    </row>
    <row r="270">
      <c r="A270" s="68"/>
      <c r="B270" s="69"/>
      <c r="C270" s="73"/>
      <c r="D270" s="71"/>
      <c r="E270" s="71"/>
      <c r="F270" s="71"/>
    </row>
    <row r="271">
      <c r="A271" s="68"/>
      <c r="B271" s="69"/>
      <c r="C271" s="73"/>
      <c r="D271" s="71"/>
      <c r="E271" s="71"/>
      <c r="F271" s="71"/>
    </row>
    <row r="272">
      <c r="A272" s="68"/>
      <c r="B272" s="69"/>
      <c r="C272" s="73"/>
      <c r="D272" s="71"/>
      <c r="E272" s="71"/>
      <c r="F272" s="71"/>
    </row>
    <row r="273">
      <c r="A273" s="68"/>
      <c r="B273" s="69"/>
      <c r="C273" s="73"/>
      <c r="D273" s="71"/>
      <c r="E273" s="71"/>
      <c r="F273" s="71"/>
    </row>
    <row r="274">
      <c r="A274" s="68"/>
      <c r="B274" s="69"/>
      <c r="C274" s="73"/>
      <c r="D274" s="71"/>
      <c r="E274" s="71"/>
      <c r="F274" s="71"/>
    </row>
    <row r="275">
      <c r="A275" s="68"/>
      <c r="B275" s="69"/>
      <c r="C275" s="73"/>
      <c r="D275" s="71"/>
      <c r="E275" s="71"/>
      <c r="F275" s="71"/>
    </row>
    <row r="276">
      <c r="A276" s="68"/>
      <c r="B276" s="69"/>
      <c r="C276" s="73"/>
      <c r="D276" s="71"/>
      <c r="E276" s="71"/>
      <c r="F276" s="71"/>
    </row>
    <row r="277">
      <c r="A277" s="68"/>
      <c r="B277" s="69"/>
      <c r="C277" s="73"/>
      <c r="D277" s="71"/>
      <c r="E277" s="71"/>
      <c r="F277" s="71"/>
    </row>
    <row r="278">
      <c r="A278" s="68"/>
      <c r="B278" s="69"/>
      <c r="C278" s="73"/>
      <c r="D278" s="71"/>
      <c r="E278" s="71"/>
      <c r="F278" s="71"/>
    </row>
    <row r="279">
      <c r="A279" s="68"/>
      <c r="B279" s="69"/>
      <c r="C279" s="73"/>
      <c r="D279" s="71"/>
      <c r="E279" s="71"/>
      <c r="F279" s="71"/>
    </row>
    <row r="280">
      <c r="A280" s="68"/>
      <c r="B280" s="69"/>
      <c r="C280" s="73"/>
      <c r="D280" s="71"/>
      <c r="E280" s="71"/>
      <c r="F280" s="71"/>
    </row>
    <row r="281">
      <c r="A281" s="68"/>
      <c r="B281" s="69"/>
      <c r="C281" s="73"/>
      <c r="D281" s="71"/>
      <c r="E281" s="71"/>
      <c r="F281" s="71"/>
    </row>
    <row r="282">
      <c r="A282" s="68"/>
      <c r="B282" s="69"/>
      <c r="C282" s="73"/>
      <c r="D282" s="71"/>
      <c r="E282" s="71"/>
      <c r="F282" s="71"/>
    </row>
    <row r="283">
      <c r="A283" s="68"/>
      <c r="B283" s="69"/>
      <c r="C283" s="73"/>
      <c r="D283" s="71"/>
      <c r="E283" s="71"/>
      <c r="F283" s="71"/>
    </row>
    <row r="284">
      <c r="A284" s="68"/>
      <c r="B284" s="69"/>
      <c r="C284" s="73"/>
      <c r="D284" s="71"/>
      <c r="E284" s="71"/>
      <c r="F284" s="71"/>
    </row>
    <row r="285">
      <c r="A285" s="68"/>
      <c r="B285" s="69"/>
      <c r="C285" s="73"/>
      <c r="D285" s="71"/>
      <c r="E285" s="71"/>
      <c r="F285" s="71"/>
    </row>
    <row r="286">
      <c r="A286" s="68"/>
      <c r="B286" s="69"/>
      <c r="C286" s="73"/>
      <c r="D286" s="71"/>
      <c r="E286" s="71"/>
      <c r="F286" s="71"/>
    </row>
    <row r="287">
      <c r="A287" s="68"/>
      <c r="B287" s="69"/>
      <c r="C287" s="73"/>
      <c r="D287" s="71"/>
      <c r="E287" s="71"/>
      <c r="F287" s="71"/>
    </row>
    <row r="288">
      <c r="A288" s="68"/>
      <c r="B288" s="69"/>
      <c r="C288" s="73"/>
      <c r="D288" s="71"/>
      <c r="E288" s="71"/>
      <c r="F288" s="71"/>
    </row>
    <row r="289">
      <c r="A289" s="68"/>
      <c r="B289" s="69"/>
      <c r="C289" s="73"/>
      <c r="D289" s="71"/>
      <c r="E289" s="71"/>
      <c r="F289" s="71"/>
    </row>
    <row r="290">
      <c r="A290" s="68"/>
      <c r="B290" s="69"/>
      <c r="C290" s="73"/>
      <c r="D290" s="71"/>
      <c r="E290" s="71"/>
      <c r="F290" s="71"/>
    </row>
    <row r="291">
      <c r="A291" s="68"/>
      <c r="B291" s="69"/>
      <c r="C291" s="73"/>
      <c r="D291" s="71"/>
      <c r="E291" s="71"/>
      <c r="F291" s="71"/>
    </row>
    <row r="292">
      <c r="A292" s="68"/>
      <c r="B292" s="69"/>
      <c r="C292" s="73"/>
      <c r="D292" s="71"/>
      <c r="E292" s="71"/>
      <c r="F292" s="71"/>
    </row>
    <row r="293">
      <c r="A293" s="68"/>
      <c r="B293" s="69"/>
      <c r="C293" s="73"/>
      <c r="D293" s="71"/>
      <c r="E293" s="71"/>
      <c r="F293" s="71"/>
    </row>
    <row r="294">
      <c r="A294" s="68"/>
      <c r="B294" s="69"/>
      <c r="C294" s="73"/>
      <c r="D294" s="71"/>
      <c r="E294" s="71"/>
      <c r="F294" s="71"/>
    </row>
    <row r="295">
      <c r="A295" s="68"/>
      <c r="B295" s="69"/>
      <c r="C295" s="73"/>
      <c r="D295" s="71"/>
      <c r="E295" s="71"/>
      <c r="F295" s="71"/>
    </row>
    <row r="296">
      <c r="A296" s="68"/>
      <c r="B296" s="69"/>
      <c r="C296" s="73"/>
      <c r="D296" s="71"/>
      <c r="E296" s="71"/>
      <c r="F296" s="71"/>
    </row>
    <row r="297">
      <c r="A297" s="68"/>
      <c r="B297" s="69"/>
      <c r="C297" s="73"/>
      <c r="D297" s="71"/>
      <c r="E297" s="71"/>
      <c r="F297" s="71"/>
    </row>
    <row r="298">
      <c r="A298" s="68"/>
      <c r="B298" s="69"/>
      <c r="C298" s="73"/>
      <c r="D298" s="71"/>
      <c r="E298" s="71"/>
      <c r="F298" s="71"/>
    </row>
    <row r="299">
      <c r="A299" s="68"/>
      <c r="B299" s="69"/>
      <c r="C299" s="73"/>
      <c r="D299" s="71"/>
      <c r="E299" s="71"/>
      <c r="F299" s="71"/>
    </row>
    <row r="300">
      <c r="A300" s="68"/>
      <c r="B300" s="69"/>
      <c r="C300" s="73"/>
      <c r="D300" s="71"/>
      <c r="E300" s="71"/>
      <c r="F300" s="71"/>
    </row>
    <row r="301">
      <c r="A301" s="68"/>
      <c r="B301" s="69"/>
      <c r="C301" s="73"/>
      <c r="D301" s="71"/>
      <c r="E301" s="71"/>
      <c r="F301" s="71"/>
    </row>
    <row r="302">
      <c r="A302" s="68"/>
      <c r="B302" s="69"/>
      <c r="C302" s="73"/>
      <c r="D302" s="71"/>
      <c r="E302" s="71"/>
      <c r="F302" s="71"/>
    </row>
    <row r="303">
      <c r="A303" s="68"/>
      <c r="B303" s="69"/>
      <c r="C303" s="73"/>
      <c r="D303" s="71"/>
      <c r="E303" s="71"/>
      <c r="F303" s="71"/>
    </row>
    <row r="304">
      <c r="A304" s="68"/>
      <c r="B304" s="69"/>
      <c r="C304" s="73"/>
      <c r="D304" s="71"/>
      <c r="E304" s="71"/>
      <c r="F304" s="71"/>
    </row>
    <row r="305">
      <c r="A305" s="68"/>
      <c r="B305" s="69"/>
      <c r="C305" s="73"/>
      <c r="D305" s="71"/>
      <c r="E305" s="71"/>
      <c r="F305" s="71"/>
    </row>
    <row r="306">
      <c r="A306" s="68"/>
      <c r="B306" s="69"/>
      <c r="C306" s="73"/>
      <c r="D306" s="71"/>
      <c r="E306" s="71"/>
      <c r="F306" s="71"/>
    </row>
    <row r="307">
      <c r="A307" s="68"/>
      <c r="B307" s="69"/>
      <c r="C307" s="73"/>
      <c r="D307" s="71"/>
      <c r="E307" s="71"/>
      <c r="F307" s="71"/>
    </row>
    <row r="308">
      <c r="A308" s="68"/>
      <c r="B308" s="69"/>
      <c r="C308" s="73"/>
      <c r="D308" s="71"/>
      <c r="E308" s="71"/>
      <c r="F308" s="71"/>
    </row>
    <row r="309">
      <c r="A309" s="68"/>
      <c r="B309" s="69"/>
      <c r="C309" s="73"/>
      <c r="D309" s="71"/>
      <c r="E309" s="71"/>
      <c r="F309" s="71"/>
    </row>
    <row r="310">
      <c r="A310" s="68"/>
      <c r="B310" s="69"/>
      <c r="C310" s="73"/>
      <c r="D310" s="71"/>
      <c r="E310" s="71"/>
      <c r="F310" s="71"/>
    </row>
    <row r="311">
      <c r="A311" s="68"/>
      <c r="B311" s="69"/>
      <c r="C311" s="73"/>
      <c r="D311" s="71"/>
      <c r="E311" s="71"/>
      <c r="F311" s="71"/>
    </row>
    <row r="312">
      <c r="A312" s="68"/>
      <c r="B312" s="69"/>
      <c r="C312" s="73"/>
      <c r="D312" s="71"/>
      <c r="E312" s="71"/>
      <c r="F312" s="71"/>
    </row>
    <row r="313">
      <c r="A313" s="68"/>
      <c r="B313" s="69"/>
      <c r="C313" s="73"/>
      <c r="D313" s="71"/>
      <c r="E313" s="71"/>
      <c r="F313" s="71"/>
    </row>
    <row r="314">
      <c r="A314" s="68"/>
      <c r="B314" s="69"/>
      <c r="C314" s="73"/>
      <c r="D314" s="71"/>
      <c r="E314" s="71"/>
      <c r="F314" s="71"/>
    </row>
    <row r="315">
      <c r="A315" s="68"/>
      <c r="B315" s="69"/>
      <c r="C315" s="73"/>
      <c r="D315" s="71"/>
      <c r="E315" s="71"/>
      <c r="F315" s="71"/>
    </row>
    <row r="316">
      <c r="A316" s="68"/>
      <c r="B316" s="69"/>
      <c r="C316" s="73"/>
      <c r="D316" s="71"/>
      <c r="E316" s="71"/>
      <c r="F316" s="71"/>
    </row>
    <row r="317">
      <c r="A317" s="68"/>
      <c r="B317" s="69"/>
      <c r="C317" s="73"/>
      <c r="D317" s="71"/>
      <c r="E317" s="71"/>
      <c r="F317" s="71"/>
    </row>
    <row r="318">
      <c r="A318" s="68"/>
      <c r="B318" s="69"/>
      <c r="C318" s="73"/>
      <c r="D318" s="71"/>
      <c r="E318" s="71"/>
      <c r="F318" s="71"/>
    </row>
    <row r="319">
      <c r="A319" s="68"/>
      <c r="B319" s="69"/>
      <c r="C319" s="73"/>
      <c r="D319" s="71"/>
      <c r="E319" s="71"/>
      <c r="F319" s="71"/>
    </row>
    <row r="320">
      <c r="A320" s="68"/>
      <c r="B320" s="69"/>
      <c r="C320" s="73"/>
      <c r="D320" s="71"/>
      <c r="E320" s="71"/>
      <c r="F320" s="71"/>
    </row>
    <row r="321">
      <c r="A321" s="68"/>
      <c r="B321" s="69"/>
      <c r="C321" s="73"/>
      <c r="D321" s="71"/>
      <c r="E321" s="71"/>
      <c r="F321" s="71"/>
    </row>
    <row r="322">
      <c r="A322" s="68"/>
      <c r="B322" s="69"/>
      <c r="C322" s="73"/>
      <c r="D322" s="71"/>
      <c r="E322" s="71"/>
      <c r="F322" s="71"/>
    </row>
    <row r="323">
      <c r="A323" s="68"/>
      <c r="B323" s="69"/>
      <c r="C323" s="73"/>
      <c r="D323" s="71"/>
      <c r="E323" s="71"/>
      <c r="F323" s="71"/>
    </row>
    <row r="324">
      <c r="A324" s="68"/>
      <c r="B324" s="69"/>
      <c r="C324" s="73"/>
      <c r="D324" s="71"/>
      <c r="E324" s="71"/>
      <c r="F324" s="71"/>
    </row>
    <row r="325">
      <c r="A325" s="68"/>
      <c r="B325" s="69"/>
      <c r="C325" s="73"/>
      <c r="D325" s="71"/>
      <c r="E325" s="71"/>
      <c r="F325" s="71"/>
    </row>
    <row r="326">
      <c r="A326" s="68"/>
      <c r="B326" s="69"/>
      <c r="C326" s="73"/>
      <c r="D326" s="71"/>
      <c r="E326" s="71"/>
      <c r="F326" s="71"/>
    </row>
    <row r="327">
      <c r="A327" s="68"/>
      <c r="B327" s="69"/>
      <c r="C327" s="73"/>
      <c r="D327" s="71"/>
      <c r="E327" s="71"/>
      <c r="F327" s="71"/>
    </row>
    <row r="328">
      <c r="A328" s="68"/>
      <c r="B328" s="69"/>
      <c r="C328" s="73"/>
      <c r="D328" s="71"/>
      <c r="E328" s="71"/>
      <c r="F328" s="71"/>
    </row>
    <row r="329">
      <c r="A329" s="68"/>
      <c r="B329" s="69"/>
      <c r="C329" s="73"/>
      <c r="D329" s="71"/>
      <c r="E329" s="71"/>
      <c r="F329" s="71"/>
    </row>
    <row r="330">
      <c r="A330" s="68"/>
      <c r="B330" s="69"/>
      <c r="C330" s="73"/>
      <c r="D330" s="71"/>
      <c r="E330" s="71"/>
      <c r="F330" s="71"/>
    </row>
    <row r="331">
      <c r="A331" s="68"/>
      <c r="B331" s="69"/>
      <c r="C331" s="73"/>
      <c r="D331" s="71"/>
      <c r="E331" s="71"/>
      <c r="F331" s="71"/>
    </row>
    <row r="332">
      <c r="A332" s="68"/>
      <c r="B332" s="69"/>
      <c r="C332" s="73"/>
      <c r="D332" s="71"/>
      <c r="E332" s="71"/>
      <c r="F332" s="71"/>
    </row>
    <row r="333">
      <c r="A333" s="68"/>
      <c r="B333" s="69"/>
      <c r="C333" s="73"/>
      <c r="D333" s="71"/>
      <c r="E333" s="71"/>
      <c r="F333" s="71"/>
    </row>
    <row r="334">
      <c r="A334" s="68"/>
      <c r="B334" s="69"/>
      <c r="C334" s="73"/>
      <c r="D334" s="71"/>
      <c r="E334" s="71"/>
      <c r="F334" s="71"/>
    </row>
    <row r="335">
      <c r="A335" s="68"/>
      <c r="B335" s="69"/>
      <c r="C335" s="73"/>
      <c r="D335" s="71"/>
      <c r="E335" s="71"/>
      <c r="F335" s="71"/>
    </row>
    <row r="336">
      <c r="A336" s="68"/>
      <c r="B336" s="69"/>
      <c r="C336" s="73"/>
      <c r="D336" s="71"/>
      <c r="E336" s="71"/>
      <c r="F336" s="71"/>
    </row>
    <row r="337">
      <c r="A337" s="68"/>
      <c r="B337" s="69"/>
      <c r="C337" s="73"/>
      <c r="D337" s="71"/>
      <c r="E337" s="71"/>
      <c r="F337" s="71"/>
    </row>
    <row r="338">
      <c r="A338" s="68"/>
      <c r="B338" s="69"/>
      <c r="C338" s="73"/>
      <c r="D338" s="71"/>
      <c r="E338" s="71"/>
      <c r="F338" s="71"/>
    </row>
    <row r="339">
      <c r="A339" s="68"/>
      <c r="B339" s="69"/>
      <c r="C339" s="73"/>
      <c r="D339" s="71"/>
      <c r="E339" s="71"/>
      <c r="F339" s="71"/>
    </row>
    <row r="340">
      <c r="A340" s="68"/>
      <c r="B340" s="69"/>
      <c r="C340" s="73"/>
      <c r="D340" s="71"/>
      <c r="E340" s="71"/>
      <c r="F340" s="71"/>
    </row>
    <row r="341">
      <c r="A341" s="68"/>
      <c r="B341" s="69"/>
      <c r="C341" s="73"/>
      <c r="D341" s="71"/>
      <c r="E341" s="71"/>
      <c r="F341" s="71"/>
    </row>
    <row r="342">
      <c r="A342" s="68"/>
      <c r="B342" s="69"/>
      <c r="C342" s="73"/>
      <c r="D342" s="71"/>
      <c r="E342" s="71"/>
      <c r="F342" s="71"/>
    </row>
    <row r="343">
      <c r="A343" s="68"/>
      <c r="B343" s="69"/>
      <c r="C343" s="73"/>
      <c r="D343" s="71"/>
      <c r="E343" s="71"/>
      <c r="F343" s="71"/>
    </row>
    <row r="344">
      <c r="A344" s="68"/>
      <c r="B344" s="69"/>
      <c r="C344" s="73"/>
      <c r="D344" s="71"/>
      <c r="E344" s="71"/>
      <c r="F344" s="71"/>
    </row>
    <row r="345">
      <c r="A345" s="68"/>
      <c r="B345" s="69"/>
      <c r="C345" s="73"/>
      <c r="D345" s="71"/>
      <c r="E345" s="71"/>
      <c r="F345" s="71"/>
    </row>
    <row r="346">
      <c r="A346" s="68"/>
      <c r="B346" s="69"/>
      <c r="C346" s="73"/>
      <c r="D346" s="71"/>
      <c r="E346" s="71"/>
      <c r="F346" s="71"/>
    </row>
    <row r="347">
      <c r="A347" s="68"/>
      <c r="B347" s="69"/>
      <c r="C347" s="73"/>
      <c r="D347" s="71"/>
      <c r="E347" s="71"/>
      <c r="F347" s="71"/>
    </row>
    <row r="348">
      <c r="A348" s="68"/>
      <c r="B348" s="69"/>
      <c r="C348" s="73"/>
      <c r="D348" s="71"/>
      <c r="E348" s="71"/>
      <c r="F348" s="71"/>
    </row>
    <row r="349">
      <c r="A349" s="68"/>
      <c r="B349" s="69"/>
      <c r="C349" s="73"/>
      <c r="D349" s="71"/>
      <c r="E349" s="71"/>
      <c r="F349" s="71"/>
    </row>
    <row r="350">
      <c r="A350" s="68"/>
      <c r="B350" s="69"/>
      <c r="C350" s="73"/>
      <c r="D350" s="71"/>
      <c r="E350" s="71"/>
      <c r="F350" s="71"/>
    </row>
    <row r="351">
      <c r="A351" s="68"/>
      <c r="B351" s="69"/>
      <c r="C351" s="73"/>
      <c r="D351" s="71"/>
      <c r="E351" s="71"/>
      <c r="F351" s="71"/>
    </row>
    <row r="352">
      <c r="A352" s="68"/>
      <c r="B352" s="69"/>
      <c r="C352" s="73"/>
      <c r="D352" s="71"/>
      <c r="E352" s="71"/>
      <c r="F352" s="71"/>
    </row>
    <row r="353">
      <c r="A353" s="68"/>
      <c r="B353" s="69"/>
      <c r="C353" s="73"/>
      <c r="D353" s="71"/>
      <c r="E353" s="71"/>
      <c r="F353" s="71"/>
    </row>
    <row r="354">
      <c r="A354" s="68"/>
      <c r="B354" s="69"/>
      <c r="C354" s="73"/>
      <c r="D354" s="71"/>
      <c r="E354" s="71"/>
      <c r="F354" s="71"/>
    </row>
    <row r="355">
      <c r="A355" s="68"/>
      <c r="B355" s="69"/>
      <c r="C355" s="73"/>
      <c r="D355" s="71"/>
      <c r="E355" s="71"/>
      <c r="F355" s="71"/>
    </row>
    <row r="356">
      <c r="A356" s="68"/>
      <c r="B356" s="69"/>
      <c r="C356" s="73"/>
      <c r="D356" s="71"/>
      <c r="E356" s="71"/>
      <c r="F356" s="71"/>
    </row>
    <row r="357">
      <c r="A357" s="68"/>
      <c r="B357" s="69"/>
      <c r="C357" s="73"/>
      <c r="D357" s="71"/>
      <c r="E357" s="71"/>
      <c r="F357" s="71"/>
    </row>
    <row r="358">
      <c r="A358" s="68"/>
      <c r="B358" s="69"/>
      <c r="C358" s="73"/>
      <c r="D358" s="71"/>
      <c r="E358" s="71"/>
      <c r="F358" s="71"/>
    </row>
    <row r="359">
      <c r="A359" s="68"/>
      <c r="B359" s="69"/>
      <c r="C359" s="73"/>
      <c r="D359" s="71"/>
      <c r="E359" s="71"/>
      <c r="F359" s="71"/>
    </row>
    <row r="360">
      <c r="A360" s="68"/>
      <c r="B360" s="69"/>
      <c r="C360" s="73"/>
      <c r="D360" s="71"/>
      <c r="E360" s="71"/>
      <c r="F360" s="71"/>
    </row>
    <row r="361">
      <c r="A361" s="68"/>
      <c r="B361" s="69"/>
      <c r="C361" s="73"/>
      <c r="D361" s="71"/>
      <c r="E361" s="71"/>
      <c r="F361" s="71"/>
    </row>
    <row r="362">
      <c r="A362" s="68"/>
      <c r="B362" s="69"/>
      <c r="C362" s="73"/>
      <c r="D362" s="71"/>
      <c r="E362" s="71"/>
      <c r="F362" s="71"/>
    </row>
    <row r="363">
      <c r="A363" s="68"/>
      <c r="B363" s="69"/>
      <c r="C363" s="73"/>
      <c r="D363" s="71"/>
      <c r="E363" s="71"/>
      <c r="F363" s="71"/>
    </row>
    <row r="364">
      <c r="A364" s="68"/>
      <c r="B364" s="69"/>
      <c r="C364" s="73"/>
      <c r="D364" s="71"/>
      <c r="E364" s="71"/>
      <c r="F364" s="71"/>
    </row>
    <row r="365">
      <c r="A365" s="68"/>
      <c r="B365" s="69"/>
      <c r="C365" s="73"/>
      <c r="D365" s="71"/>
      <c r="E365" s="71"/>
      <c r="F365" s="71"/>
    </row>
    <row r="366">
      <c r="A366" s="68"/>
      <c r="B366" s="69"/>
      <c r="C366" s="73"/>
      <c r="D366" s="71"/>
      <c r="E366" s="71"/>
      <c r="F366" s="71"/>
    </row>
    <row r="367">
      <c r="A367" s="68"/>
      <c r="B367" s="69"/>
      <c r="C367" s="73"/>
      <c r="D367" s="71"/>
      <c r="E367" s="71"/>
      <c r="F367" s="71"/>
    </row>
    <row r="368">
      <c r="A368" s="68"/>
      <c r="B368" s="69"/>
      <c r="C368" s="73"/>
      <c r="D368" s="71"/>
      <c r="E368" s="71"/>
      <c r="F368" s="71"/>
    </row>
    <row r="369">
      <c r="A369" s="68"/>
      <c r="B369" s="69"/>
      <c r="C369" s="73"/>
      <c r="D369" s="71"/>
      <c r="E369" s="71"/>
      <c r="F369" s="71"/>
    </row>
    <row r="370">
      <c r="A370" s="68"/>
      <c r="B370" s="69"/>
      <c r="C370" s="73"/>
      <c r="D370" s="71"/>
      <c r="E370" s="71"/>
      <c r="F370" s="71"/>
    </row>
    <row r="371">
      <c r="A371" s="68"/>
      <c r="B371" s="69"/>
      <c r="C371" s="73"/>
      <c r="D371" s="71"/>
      <c r="E371" s="71"/>
      <c r="F371" s="71"/>
    </row>
    <row r="372">
      <c r="A372" s="68"/>
      <c r="B372" s="69"/>
      <c r="C372" s="73"/>
      <c r="D372" s="71"/>
      <c r="E372" s="71"/>
      <c r="F372" s="71"/>
    </row>
    <row r="373">
      <c r="A373" s="68"/>
      <c r="B373" s="69"/>
      <c r="C373" s="73"/>
      <c r="D373" s="71"/>
      <c r="E373" s="71"/>
      <c r="F373" s="71"/>
    </row>
    <row r="374">
      <c r="A374" s="68"/>
      <c r="B374" s="69"/>
      <c r="C374" s="73"/>
      <c r="D374" s="71"/>
      <c r="E374" s="71"/>
      <c r="F374" s="71"/>
    </row>
    <row r="375">
      <c r="A375" s="68"/>
      <c r="B375" s="69"/>
      <c r="C375" s="73"/>
      <c r="D375" s="71"/>
      <c r="E375" s="71"/>
      <c r="F375" s="71"/>
    </row>
    <row r="376">
      <c r="A376" s="68"/>
      <c r="B376" s="69"/>
      <c r="C376" s="73"/>
      <c r="D376" s="71"/>
      <c r="E376" s="71"/>
      <c r="F376" s="71"/>
    </row>
    <row r="377">
      <c r="A377" s="68"/>
      <c r="B377" s="69"/>
      <c r="C377" s="73"/>
      <c r="D377" s="71"/>
      <c r="E377" s="71"/>
      <c r="F377" s="71"/>
    </row>
    <row r="378">
      <c r="A378" s="68"/>
      <c r="B378" s="69"/>
      <c r="C378" s="73"/>
      <c r="D378" s="71"/>
      <c r="E378" s="71"/>
      <c r="F378" s="71"/>
    </row>
    <row r="379">
      <c r="A379" s="68"/>
      <c r="B379" s="69"/>
      <c r="C379" s="73"/>
      <c r="D379" s="71"/>
      <c r="E379" s="71"/>
      <c r="F379" s="71"/>
    </row>
    <row r="380">
      <c r="A380" s="68"/>
      <c r="B380" s="69"/>
      <c r="C380" s="73"/>
      <c r="D380" s="71"/>
      <c r="E380" s="71"/>
      <c r="F380" s="71"/>
    </row>
    <row r="381">
      <c r="A381" s="68"/>
      <c r="B381" s="69"/>
      <c r="C381" s="73"/>
      <c r="D381" s="71"/>
      <c r="E381" s="71"/>
      <c r="F381" s="71"/>
    </row>
    <row r="382">
      <c r="A382" s="68"/>
      <c r="B382" s="69"/>
      <c r="C382" s="73"/>
      <c r="D382" s="71"/>
      <c r="E382" s="71"/>
      <c r="F382" s="71"/>
    </row>
    <row r="383">
      <c r="A383" s="68"/>
      <c r="B383" s="69"/>
      <c r="C383" s="73"/>
      <c r="D383" s="71"/>
      <c r="E383" s="71"/>
      <c r="F383" s="71"/>
    </row>
    <row r="384">
      <c r="A384" s="68"/>
      <c r="B384" s="69"/>
      <c r="C384" s="73"/>
      <c r="D384" s="71"/>
      <c r="E384" s="71"/>
      <c r="F384" s="71"/>
    </row>
    <row r="385">
      <c r="A385" s="68"/>
      <c r="B385" s="69"/>
      <c r="C385" s="73"/>
      <c r="D385" s="71"/>
      <c r="E385" s="71"/>
      <c r="F385" s="71"/>
    </row>
    <row r="386">
      <c r="A386" s="68"/>
      <c r="B386" s="69"/>
      <c r="C386" s="73"/>
      <c r="D386" s="71"/>
      <c r="E386" s="71"/>
      <c r="F386" s="71"/>
    </row>
    <row r="387">
      <c r="A387" s="68"/>
      <c r="B387" s="69"/>
      <c r="C387" s="73"/>
      <c r="D387" s="71"/>
      <c r="E387" s="71"/>
      <c r="F387" s="71"/>
    </row>
    <row r="388">
      <c r="A388" s="68"/>
      <c r="B388" s="69"/>
      <c r="C388" s="73"/>
      <c r="D388" s="71"/>
      <c r="E388" s="71"/>
      <c r="F388" s="71"/>
    </row>
    <row r="389">
      <c r="A389" s="68"/>
      <c r="B389" s="69"/>
      <c r="C389" s="73"/>
      <c r="D389" s="71"/>
      <c r="E389" s="71"/>
      <c r="F389" s="71"/>
    </row>
    <row r="390">
      <c r="A390" s="68"/>
      <c r="B390" s="69"/>
      <c r="C390" s="73"/>
      <c r="D390" s="71"/>
      <c r="E390" s="71"/>
      <c r="F390" s="71"/>
    </row>
    <row r="391">
      <c r="A391" s="68"/>
      <c r="B391" s="69"/>
      <c r="C391" s="73"/>
      <c r="D391" s="71"/>
      <c r="E391" s="71"/>
      <c r="F391" s="71"/>
    </row>
    <row r="392">
      <c r="A392" s="68"/>
      <c r="B392" s="69"/>
      <c r="C392" s="73"/>
      <c r="D392" s="71"/>
      <c r="E392" s="71"/>
      <c r="F392" s="71"/>
    </row>
    <row r="393">
      <c r="A393" s="68"/>
      <c r="B393" s="69"/>
      <c r="C393" s="73"/>
      <c r="D393" s="71"/>
      <c r="E393" s="71"/>
      <c r="F393" s="71"/>
    </row>
    <row r="394">
      <c r="A394" s="68"/>
      <c r="B394" s="69"/>
      <c r="C394" s="73"/>
      <c r="D394" s="71"/>
      <c r="E394" s="71"/>
      <c r="F394" s="71"/>
    </row>
    <row r="395">
      <c r="A395" s="68"/>
      <c r="B395" s="69"/>
      <c r="C395" s="73"/>
      <c r="D395" s="71"/>
      <c r="E395" s="71"/>
      <c r="F395" s="71"/>
    </row>
    <row r="396">
      <c r="A396" s="68"/>
      <c r="B396" s="69"/>
      <c r="C396" s="73"/>
      <c r="D396" s="71"/>
      <c r="E396" s="71"/>
      <c r="F396" s="71"/>
    </row>
    <row r="397">
      <c r="A397" s="68"/>
      <c r="B397" s="69"/>
      <c r="C397" s="73"/>
      <c r="D397" s="71"/>
      <c r="E397" s="71"/>
      <c r="F397" s="71"/>
    </row>
    <row r="398">
      <c r="A398" s="68"/>
      <c r="B398" s="69"/>
      <c r="C398" s="73"/>
      <c r="D398" s="71"/>
      <c r="E398" s="71"/>
      <c r="F398" s="71"/>
    </row>
    <row r="399">
      <c r="A399" s="68"/>
      <c r="B399" s="69"/>
      <c r="C399" s="73"/>
      <c r="D399" s="71"/>
      <c r="E399" s="71"/>
      <c r="F399" s="71"/>
    </row>
    <row r="400">
      <c r="A400" s="68"/>
      <c r="B400" s="69"/>
      <c r="C400" s="73"/>
      <c r="D400" s="71"/>
      <c r="E400" s="71"/>
      <c r="F400" s="71"/>
    </row>
    <row r="401">
      <c r="A401" s="68"/>
      <c r="B401" s="69"/>
      <c r="C401" s="73"/>
      <c r="D401" s="71"/>
      <c r="E401" s="71"/>
      <c r="F401" s="71"/>
    </row>
    <row r="402">
      <c r="A402" s="68"/>
      <c r="B402" s="69"/>
      <c r="C402" s="73"/>
      <c r="D402" s="71"/>
      <c r="E402" s="71"/>
      <c r="F402" s="71"/>
    </row>
    <row r="403">
      <c r="A403" s="68"/>
      <c r="B403" s="69"/>
      <c r="C403" s="73"/>
      <c r="D403" s="71"/>
      <c r="E403" s="71"/>
      <c r="F403" s="71"/>
    </row>
    <row r="404">
      <c r="A404" s="68"/>
      <c r="B404" s="69"/>
      <c r="C404" s="73"/>
      <c r="D404" s="71"/>
      <c r="E404" s="71"/>
      <c r="F404" s="71"/>
    </row>
    <row r="405">
      <c r="A405" s="68"/>
      <c r="B405" s="69"/>
      <c r="C405" s="73"/>
      <c r="D405" s="71"/>
      <c r="E405" s="71"/>
      <c r="F405" s="71"/>
    </row>
    <row r="406">
      <c r="A406" s="68"/>
      <c r="B406" s="69"/>
      <c r="C406" s="73"/>
      <c r="D406" s="71"/>
      <c r="E406" s="71"/>
      <c r="F406" s="71"/>
    </row>
    <row r="407">
      <c r="A407" s="68"/>
      <c r="B407" s="69"/>
      <c r="C407" s="73"/>
      <c r="D407" s="71"/>
      <c r="E407" s="71"/>
      <c r="F407" s="71"/>
    </row>
    <row r="408">
      <c r="A408" s="68"/>
      <c r="B408" s="69"/>
      <c r="C408" s="73"/>
      <c r="D408" s="71"/>
      <c r="E408" s="71"/>
      <c r="F408" s="71"/>
    </row>
    <row r="409">
      <c r="A409" s="68"/>
      <c r="B409" s="69"/>
      <c r="C409" s="73"/>
      <c r="D409" s="71"/>
      <c r="E409" s="71"/>
      <c r="F409" s="71"/>
    </row>
    <row r="410">
      <c r="A410" s="68"/>
      <c r="B410" s="69"/>
      <c r="C410" s="73"/>
      <c r="D410" s="71"/>
      <c r="E410" s="71"/>
      <c r="F410" s="71"/>
    </row>
    <row r="411">
      <c r="A411" s="68"/>
      <c r="B411" s="69"/>
      <c r="C411" s="73"/>
      <c r="D411" s="71"/>
      <c r="E411" s="71"/>
      <c r="F411" s="71"/>
    </row>
    <row r="412">
      <c r="A412" s="68"/>
      <c r="B412" s="69"/>
      <c r="C412" s="73"/>
      <c r="D412" s="71"/>
      <c r="E412" s="71"/>
      <c r="F412" s="71"/>
    </row>
    <row r="413">
      <c r="A413" s="68"/>
      <c r="B413" s="69"/>
      <c r="C413" s="73"/>
      <c r="D413" s="71"/>
      <c r="E413" s="71"/>
      <c r="F413" s="71"/>
    </row>
    <row r="414">
      <c r="A414" s="68"/>
      <c r="B414" s="69"/>
      <c r="C414" s="73"/>
      <c r="D414" s="71"/>
      <c r="E414" s="71"/>
      <c r="F414" s="71"/>
    </row>
    <row r="415">
      <c r="A415" s="68"/>
      <c r="B415" s="69"/>
      <c r="C415" s="73"/>
      <c r="D415" s="71"/>
      <c r="E415" s="71"/>
      <c r="F415" s="71"/>
    </row>
    <row r="416">
      <c r="A416" s="68"/>
      <c r="B416" s="69"/>
      <c r="C416" s="73"/>
      <c r="D416" s="71"/>
      <c r="E416" s="71"/>
      <c r="F416" s="71"/>
    </row>
    <row r="417">
      <c r="A417" s="68"/>
      <c r="B417" s="69"/>
      <c r="C417" s="73"/>
      <c r="D417" s="71"/>
      <c r="E417" s="71"/>
      <c r="F417" s="71"/>
    </row>
    <row r="418">
      <c r="A418" s="68"/>
      <c r="B418" s="69"/>
      <c r="C418" s="73"/>
      <c r="D418" s="71"/>
      <c r="E418" s="71"/>
      <c r="F418" s="71"/>
    </row>
    <row r="419">
      <c r="A419" s="68"/>
      <c r="B419" s="69"/>
      <c r="C419" s="73"/>
      <c r="D419" s="71"/>
      <c r="E419" s="71"/>
      <c r="F419" s="71"/>
    </row>
    <row r="420">
      <c r="A420" s="68"/>
      <c r="B420" s="69"/>
      <c r="C420" s="73"/>
      <c r="D420" s="71"/>
      <c r="E420" s="71"/>
      <c r="F420" s="71"/>
    </row>
    <row r="421">
      <c r="A421" s="68"/>
      <c r="B421" s="69"/>
      <c r="C421" s="73"/>
      <c r="D421" s="71"/>
      <c r="E421" s="71"/>
      <c r="F421" s="71"/>
    </row>
    <row r="422">
      <c r="A422" s="68"/>
      <c r="B422" s="69"/>
      <c r="C422" s="73"/>
      <c r="D422" s="71"/>
      <c r="E422" s="71"/>
      <c r="F422" s="71"/>
    </row>
    <row r="423">
      <c r="A423" s="68"/>
      <c r="B423" s="69"/>
      <c r="C423" s="73"/>
      <c r="D423" s="71"/>
      <c r="E423" s="71"/>
      <c r="F423" s="71"/>
    </row>
    <row r="424">
      <c r="A424" s="68"/>
      <c r="B424" s="69"/>
      <c r="C424" s="73"/>
      <c r="D424" s="71"/>
      <c r="E424" s="71"/>
      <c r="F424" s="71"/>
    </row>
    <row r="425">
      <c r="A425" s="68"/>
      <c r="B425" s="69"/>
      <c r="C425" s="73"/>
      <c r="D425" s="71"/>
      <c r="E425" s="71"/>
      <c r="F425" s="71"/>
    </row>
    <row r="426">
      <c r="A426" s="68"/>
      <c r="B426" s="69"/>
      <c r="C426" s="73"/>
      <c r="D426" s="71"/>
      <c r="E426" s="71"/>
      <c r="F426" s="71"/>
    </row>
    <row r="427">
      <c r="A427" s="68"/>
      <c r="B427" s="69"/>
      <c r="C427" s="73"/>
      <c r="D427" s="71"/>
      <c r="E427" s="71"/>
      <c r="F427" s="71"/>
    </row>
    <row r="428">
      <c r="A428" s="68"/>
      <c r="B428" s="69"/>
      <c r="C428" s="73"/>
      <c r="D428" s="71"/>
      <c r="E428" s="71"/>
      <c r="F428" s="71"/>
    </row>
    <row r="429">
      <c r="A429" s="68"/>
      <c r="B429" s="69"/>
      <c r="C429" s="73"/>
      <c r="D429" s="71"/>
      <c r="E429" s="71"/>
      <c r="F429" s="71"/>
    </row>
    <row r="430">
      <c r="A430" s="68"/>
      <c r="B430" s="69"/>
      <c r="C430" s="73"/>
      <c r="D430" s="71"/>
      <c r="E430" s="71"/>
      <c r="F430" s="71"/>
    </row>
    <row r="431">
      <c r="A431" s="68"/>
      <c r="B431" s="69"/>
      <c r="C431" s="73"/>
      <c r="D431" s="71"/>
      <c r="E431" s="71"/>
      <c r="F431" s="71"/>
    </row>
    <row r="432">
      <c r="A432" s="68"/>
      <c r="B432" s="69"/>
      <c r="C432" s="73"/>
      <c r="D432" s="71"/>
      <c r="E432" s="71"/>
      <c r="F432" s="71"/>
    </row>
    <row r="433">
      <c r="A433" s="68"/>
      <c r="B433" s="69"/>
      <c r="C433" s="73"/>
      <c r="D433" s="71"/>
      <c r="E433" s="71"/>
      <c r="F433" s="71"/>
    </row>
    <row r="434">
      <c r="A434" s="68"/>
      <c r="B434" s="69"/>
      <c r="C434" s="73"/>
      <c r="D434" s="71"/>
      <c r="E434" s="71"/>
      <c r="F434" s="71"/>
    </row>
    <row r="435">
      <c r="A435" s="68"/>
      <c r="B435" s="69"/>
      <c r="C435" s="73"/>
      <c r="D435" s="71"/>
      <c r="E435" s="71"/>
      <c r="F435" s="71"/>
    </row>
    <row r="436">
      <c r="A436" s="68"/>
      <c r="B436" s="69"/>
      <c r="C436" s="73"/>
      <c r="D436" s="71"/>
      <c r="E436" s="71"/>
      <c r="F436" s="71"/>
    </row>
    <row r="437">
      <c r="A437" s="68"/>
      <c r="B437" s="69"/>
      <c r="C437" s="73"/>
      <c r="D437" s="71"/>
      <c r="E437" s="71"/>
      <c r="F437" s="71"/>
    </row>
    <row r="438">
      <c r="A438" s="68"/>
      <c r="B438" s="69"/>
      <c r="C438" s="73"/>
      <c r="D438" s="71"/>
      <c r="E438" s="71"/>
      <c r="F438" s="71"/>
    </row>
    <row r="439">
      <c r="A439" s="68"/>
      <c r="B439" s="69"/>
      <c r="C439" s="73"/>
      <c r="D439" s="71"/>
      <c r="E439" s="71"/>
      <c r="F439" s="71"/>
    </row>
    <row r="440">
      <c r="A440" s="68"/>
      <c r="B440" s="69"/>
      <c r="C440" s="73"/>
      <c r="D440" s="71"/>
      <c r="E440" s="71"/>
      <c r="F440" s="71"/>
    </row>
    <row r="441">
      <c r="A441" s="68"/>
      <c r="B441" s="69"/>
      <c r="C441" s="73"/>
      <c r="D441" s="71"/>
      <c r="E441" s="71"/>
      <c r="F441" s="71"/>
    </row>
    <row r="442">
      <c r="A442" s="68"/>
      <c r="B442" s="69"/>
      <c r="C442" s="73"/>
      <c r="D442" s="71"/>
      <c r="E442" s="71"/>
      <c r="F442" s="71"/>
    </row>
    <row r="443">
      <c r="A443" s="68"/>
      <c r="B443" s="69"/>
      <c r="C443" s="73"/>
      <c r="D443" s="71"/>
      <c r="E443" s="71"/>
      <c r="F443" s="71"/>
    </row>
    <row r="444">
      <c r="A444" s="68"/>
      <c r="B444" s="69"/>
      <c r="C444" s="73"/>
      <c r="D444" s="71"/>
      <c r="E444" s="71"/>
      <c r="F444" s="71"/>
    </row>
    <row r="445">
      <c r="A445" s="68"/>
      <c r="B445" s="69"/>
      <c r="C445" s="73"/>
      <c r="D445" s="71"/>
      <c r="E445" s="71"/>
      <c r="F445" s="71"/>
    </row>
    <row r="446">
      <c r="A446" s="68"/>
      <c r="B446" s="69"/>
      <c r="C446" s="73"/>
      <c r="D446" s="71"/>
      <c r="E446" s="71"/>
      <c r="F446" s="71"/>
    </row>
    <row r="447">
      <c r="A447" s="68"/>
      <c r="B447" s="69"/>
      <c r="C447" s="73"/>
      <c r="D447" s="71"/>
      <c r="E447" s="71"/>
      <c r="F447" s="71"/>
    </row>
    <row r="448">
      <c r="A448" s="68"/>
      <c r="B448" s="69"/>
      <c r="C448" s="73"/>
      <c r="D448" s="71"/>
      <c r="E448" s="71"/>
      <c r="F448" s="71"/>
    </row>
    <row r="449">
      <c r="A449" s="68"/>
      <c r="B449" s="69"/>
      <c r="C449" s="73"/>
      <c r="D449" s="71"/>
      <c r="E449" s="71"/>
      <c r="F449" s="71"/>
    </row>
    <row r="450">
      <c r="A450" s="68"/>
      <c r="B450" s="69"/>
      <c r="C450" s="73"/>
      <c r="D450" s="71"/>
      <c r="E450" s="71"/>
      <c r="F450" s="71"/>
    </row>
    <row r="451">
      <c r="A451" s="68"/>
      <c r="B451" s="69"/>
      <c r="C451" s="73"/>
      <c r="D451" s="71"/>
      <c r="E451" s="71"/>
      <c r="F451" s="71"/>
    </row>
    <row r="452">
      <c r="A452" s="68"/>
      <c r="B452" s="69"/>
      <c r="C452" s="73"/>
      <c r="D452" s="71"/>
      <c r="E452" s="71"/>
      <c r="F452" s="71"/>
    </row>
    <row r="453">
      <c r="A453" s="68"/>
      <c r="B453" s="69"/>
      <c r="C453" s="73"/>
      <c r="D453" s="71"/>
      <c r="E453" s="71"/>
      <c r="F453" s="71"/>
    </row>
    <row r="454">
      <c r="A454" s="68"/>
      <c r="B454" s="69"/>
      <c r="C454" s="73"/>
      <c r="D454" s="71"/>
      <c r="E454" s="71"/>
      <c r="F454" s="71"/>
    </row>
    <row r="455">
      <c r="A455" s="68"/>
      <c r="B455" s="69"/>
      <c r="C455" s="73"/>
      <c r="D455" s="71"/>
      <c r="E455" s="71"/>
      <c r="F455" s="71"/>
    </row>
    <row r="456">
      <c r="A456" s="68"/>
      <c r="B456" s="69"/>
      <c r="C456" s="73"/>
      <c r="D456" s="71"/>
      <c r="E456" s="71"/>
      <c r="F456" s="71"/>
    </row>
    <row r="457">
      <c r="A457" s="68"/>
      <c r="B457" s="69"/>
      <c r="C457" s="73"/>
      <c r="D457" s="71"/>
      <c r="E457" s="71"/>
      <c r="F457" s="71"/>
    </row>
    <row r="458">
      <c r="A458" s="68"/>
      <c r="B458" s="69"/>
      <c r="C458" s="73"/>
      <c r="D458" s="71"/>
      <c r="E458" s="71"/>
      <c r="F458" s="71"/>
    </row>
    <row r="459">
      <c r="A459" s="68"/>
      <c r="B459" s="69"/>
      <c r="C459" s="73"/>
      <c r="D459" s="71"/>
      <c r="E459" s="71"/>
      <c r="F459" s="71"/>
    </row>
    <row r="460">
      <c r="A460" s="68"/>
      <c r="B460" s="69"/>
      <c r="C460" s="73"/>
      <c r="D460" s="71"/>
      <c r="E460" s="71"/>
      <c r="F460" s="71"/>
    </row>
    <row r="461">
      <c r="A461" s="68"/>
      <c r="B461" s="69"/>
      <c r="C461" s="73"/>
      <c r="D461" s="71"/>
      <c r="E461" s="71"/>
      <c r="F461" s="71"/>
    </row>
    <row r="462">
      <c r="A462" s="68"/>
      <c r="B462" s="69"/>
      <c r="C462" s="73"/>
      <c r="D462" s="71"/>
      <c r="E462" s="71"/>
      <c r="F462" s="71"/>
    </row>
    <row r="463">
      <c r="A463" s="68"/>
      <c r="B463" s="69"/>
      <c r="C463" s="73"/>
      <c r="D463" s="71"/>
      <c r="E463" s="71"/>
      <c r="F463" s="71"/>
    </row>
    <row r="464">
      <c r="A464" s="68"/>
      <c r="B464" s="69"/>
      <c r="C464" s="73"/>
      <c r="D464" s="71"/>
      <c r="E464" s="71"/>
      <c r="F464" s="71"/>
    </row>
    <row r="465">
      <c r="A465" s="68"/>
      <c r="B465" s="69"/>
      <c r="C465" s="73"/>
      <c r="D465" s="71"/>
      <c r="E465" s="71"/>
      <c r="F465" s="71"/>
    </row>
    <row r="466">
      <c r="A466" s="68"/>
      <c r="B466" s="69"/>
      <c r="C466" s="73"/>
      <c r="D466" s="71"/>
      <c r="E466" s="71"/>
      <c r="F466" s="71"/>
    </row>
    <row r="467">
      <c r="A467" s="68"/>
      <c r="B467" s="69"/>
      <c r="C467" s="73"/>
      <c r="D467" s="71"/>
      <c r="E467" s="71"/>
      <c r="F467" s="71"/>
    </row>
    <row r="468">
      <c r="A468" s="68"/>
      <c r="B468" s="69"/>
      <c r="C468" s="73"/>
      <c r="D468" s="71"/>
      <c r="E468" s="71"/>
      <c r="F468" s="71"/>
    </row>
    <row r="469">
      <c r="A469" s="68"/>
      <c r="B469" s="69"/>
      <c r="C469" s="73"/>
      <c r="D469" s="71"/>
      <c r="E469" s="71"/>
      <c r="F469" s="71"/>
    </row>
    <row r="470">
      <c r="A470" s="68"/>
      <c r="B470" s="69"/>
      <c r="C470" s="73"/>
      <c r="D470" s="71"/>
      <c r="E470" s="71"/>
      <c r="F470" s="71"/>
    </row>
    <row r="471">
      <c r="A471" s="68"/>
      <c r="B471" s="69"/>
      <c r="C471" s="73"/>
      <c r="D471" s="71"/>
      <c r="E471" s="71"/>
      <c r="F471" s="71"/>
    </row>
    <row r="472">
      <c r="A472" s="68"/>
      <c r="B472" s="69"/>
      <c r="C472" s="73"/>
      <c r="D472" s="71"/>
      <c r="E472" s="71"/>
      <c r="F472" s="71"/>
    </row>
    <row r="473">
      <c r="A473" s="68"/>
      <c r="B473" s="69"/>
      <c r="C473" s="73"/>
      <c r="D473" s="71"/>
      <c r="E473" s="71"/>
      <c r="F473" s="71"/>
    </row>
    <row r="474">
      <c r="A474" s="68"/>
      <c r="B474" s="69"/>
      <c r="C474" s="73"/>
      <c r="D474" s="71"/>
      <c r="E474" s="71"/>
      <c r="F474" s="71"/>
    </row>
    <row r="475">
      <c r="A475" s="68"/>
      <c r="B475" s="69"/>
      <c r="C475" s="73"/>
      <c r="D475" s="71"/>
      <c r="E475" s="71"/>
      <c r="F475" s="71"/>
    </row>
    <row r="476">
      <c r="A476" s="68"/>
      <c r="B476" s="69"/>
      <c r="C476" s="73"/>
      <c r="D476" s="71"/>
      <c r="E476" s="71"/>
      <c r="F476" s="71"/>
    </row>
    <row r="477">
      <c r="A477" s="68"/>
      <c r="B477" s="69"/>
      <c r="C477" s="73"/>
      <c r="D477" s="71"/>
      <c r="E477" s="71"/>
      <c r="F477" s="71"/>
    </row>
    <row r="478">
      <c r="A478" s="68"/>
      <c r="B478" s="69"/>
      <c r="C478" s="73"/>
      <c r="D478" s="71"/>
      <c r="E478" s="71"/>
      <c r="F478" s="71"/>
    </row>
    <row r="479">
      <c r="A479" s="68"/>
      <c r="B479" s="69"/>
      <c r="C479" s="73"/>
      <c r="D479" s="71"/>
      <c r="E479" s="71"/>
      <c r="F479" s="71"/>
    </row>
    <row r="480">
      <c r="A480" s="68"/>
      <c r="B480" s="69"/>
      <c r="C480" s="73"/>
      <c r="D480" s="71"/>
      <c r="E480" s="71"/>
      <c r="F480" s="71"/>
    </row>
    <row r="481">
      <c r="A481" s="68"/>
      <c r="B481" s="69"/>
      <c r="C481" s="73"/>
      <c r="D481" s="71"/>
      <c r="E481" s="71"/>
      <c r="F481" s="71"/>
    </row>
    <row r="482">
      <c r="A482" s="68"/>
      <c r="B482" s="69"/>
      <c r="C482" s="73"/>
      <c r="D482" s="71"/>
      <c r="E482" s="71"/>
      <c r="F482" s="71"/>
    </row>
    <row r="483">
      <c r="A483" s="68"/>
      <c r="B483" s="69"/>
      <c r="C483" s="73"/>
      <c r="D483" s="71"/>
      <c r="E483" s="71"/>
      <c r="F483" s="71"/>
    </row>
    <row r="484">
      <c r="A484" s="68"/>
      <c r="B484" s="69"/>
      <c r="C484" s="73"/>
      <c r="D484" s="71"/>
      <c r="E484" s="71"/>
      <c r="F484" s="71"/>
    </row>
    <row r="485">
      <c r="A485" s="68"/>
      <c r="B485" s="69"/>
      <c r="C485" s="73"/>
      <c r="D485" s="71"/>
      <c r="E485" s="71"/>
      <c r="F485" s="71"/>
    </row>
    <row r="486">
      <c r="A486" s="68"/>
      <c r="B486" s="69"/>
      <c r="C486" s="73"/>
      <c r="D486" s="71"/>
      <c r="E486" s="71"/>
      <c r="F486" s="71"/>
    </row>
    <row r="487">
      <c r="A487" s="68"/>
      <c r="B487" s="69"/>
      <c r="C487" s="73"/>
      <c r="D487" s="71"/>
      <c r="E487" s="71"/>
      <c r="F487" s="71"/>
    </row>
    <row r="488">
      <c r="A488" s="68"/>
      <c r="B488" s="69"/>
      <c r="C488" s="73"/>
      <c r="D488" s="71"/>
      <c r="E488" s="71"/>
      <c r="F488" s="71"/>
    </row>
    <row r="489">
      <c r="A489" s="68"/>
      <c r="B489" s="69"/>
      <c r="C489" s="73"/>
      <c r="D489" s="71"/>
      <c r="E489" s="71"/>
      <c r="F489" s="71"/>
    </row>
    <row r="490">
      <c r="A490" s="68"/>
      <c r="B490" s="69"/>
      <c r="C490" s="73"/>
      <c r="D490" s="71"/>
      <c r="E490" s="71"/>
      <c r="F490" s="71"/>
    </row>
    <row r="491">
      <c r="A491" s="68"/>
      <c r="B491" s="69"/>
      <c r="C491" s="73"/>
      <c r="D491" s="71"/>
      <c r="E491" s="71"/>
      <c r="F491" s="71"/>
    </row>
    <row r="492">
      <c r="A492" s="68"/>
      <c r="B492" s="69"/>
      <c r="C492" s="73"/>
      <c r="D492" s="71"/>
      <c r="E492" s="71"/>
      <c r="F492" s="71"/>
    </row>
    <row r="493">
      <c r="A493" s="68"/>
      <c r="B493" s="69"/>
      <c r="C493" s="73"/>
      <c r="D493" s="71"/>
      <c r="E493" s="71"/>
      <c r="F493" s="71"/>
    </row>
    <row r="494">
      <c r="A494" s="68"/>
      <c r="B494" s="69"/>
      <c r="C494" s="73"/>
      <c r="D494" s="71"/>
      <c r="E494" s="71"/>
      <c r="F494" s="71"/>
    </row>
    <row r="495">
      <c r="A495" s="68"/>
      <c r="B495" s="69"/>
      <c r="C495" s="73"/>
      <c r="D495" s="71"/>
      <c r="E495" s="71"/>
      <c r="F495" s="71"/>
    </row>
    <row r="496">
      <c r="A496" s="68"/>
      <c r="B496" s="69"/>
      <c r="C496" s="73"/>
      <c r="D496" s="71"/>
      <c r="E496" s="71"/>
      <c r="F496" s="71"/>
    </row>
    <row r="497">
      <c r="A497" s="68"/>
      <c r="B497" s="69"/>
      <c r="C497" s="73"/>
      <c r="D497" s="71"/>
      <c r="E497" s="71"/>
      <c r="F497" s="71"/>
    </row>
    <row r="498">
      <c r="A498" s="68"/>
      <c r="B498" s="69"/>
      <c r="C498" s="73"/>
      <c r="D498" s="71"/>
      <c r="E498" s="71"/>
      <c r="F498" s="71"/>
    </row>
    <row r="499">
      <c r="A499" s="68"/>
      <c r="B499" s="69"/>
      <c r="C499" s="73"/>
      <c r="D499" s="71"/>
      <c r="E499" s="71"/>
      <c r="F499" s="71"/>
    </row>
    <row r="500">
      <c r="A500" s="68"/>
      <c r="B500" s="69"/>
      <c r="C500" s="73"/>
      <c r="D500" s="71"/>
      <c r="E500" s="71"/>
      <c r="F500" s="71"/>
    </row>
    <row r="501">
      <c r="A501" s="68"/>
      <c r="B501" s="69"/>
      <c r="C501" s="73"/>
      <c r="D501" s="71"/>
      <c r="E501" s="71"/>
      <c r="F501" s="71"/>
    </row>
    <row r="502">
      <c r="A502" s="68"/>
      <c r="B502" s="69"/>
      <c r="C502" s="73"/>
      <c r="D502" s="71"/>
      <c r="E502" s="71"/>
      <c r="F502" s="71"/>
    </row>
    <row r="503">
      <c r="A503" s="68"/>
      <c r="B503" s="69"/>
      <c r="C503" s="73"/>
      <c r="D503" s="71"/>
      <c r="E503" s="71"/>
      <c r="F503" s="71"/>
    </row>
    <row r="504">
      <c r="A504" s="68"/>
      <c r="B504" s="69"/>
      <c r="C504" s="73"/>
      <c r="D504" s="71"/>
      <c r="E504" s="71"/>
      <c r="F504" s="71"/>
    </row>
    <row r="505">
      <c r="A505" s="68"/>
      <c r="B505" s="69"/>
      <c r="C505" s="73"/>
      <c r="D505" s="71"/>
      <c r="E505" s="71"/>
      <c r="F505" s="71"/>
    </row>
    <row r="506">
      <c r="A506" s="68"/>
      <c r="B506" s="69"/>
      <c r="C506" s="73"/>
      <c r="D506" s="71"/>
      <c r="E506" s="71"/>
      <c r="F506" s="71"/>
    </row>
    <row r="507">
      <c r="A507" s="68"/>
      <c r="B507" s="69"/>
      <c r="C507" s="73"/>
      <c r="D507" s="71"/>
      <c r="E507" s="71"/>
      <c r="F507" s="71"/>
    </row>
    <row r="508">
      <c r="A508" s="68"/>
      <c r="B508" s="69"/>
      <c r="C508" s="73"/>
      <c r="D508" s="71"/>
      <c r="E508" s="71"/>
      <c r="F508" s="71"/>
    </row>
    <row r="509">
      <c r="A509" s="68"/>
      <c r="B509" s="69"/>
      <c r="C509" s="73"/>
      <c r="D509" s="71"/>
      <c r="E509" s="71"/>
      <c r="F509" s="71"/>
    </row>
    <row r="510">
      <c r="A510" s="68"/>
      <c r="B510" s="69"/>
      <c r="C510" s="73"/>
      <c r="D510" s="71"/>
      <c r="E510" s="71"/>
      <c r="F510" s="71"/>
    </row>
    <row r="511">
      <c r="A511" s="68"/>
      <c r="B511" s="69"/>
      <c r="C511" s="73"/>
      <c r="D511" s="71"/>
      <c r="E511" s="71"/>
      <c r="F511" s="71"/>
    </row>
    <row r="512">
      <c r="A512" s="68"/>
      <c r="B512" s="69"/>
      <c r="C512" s="73"/>
      <c r="D512" s="71"/>
      <c r="E512" s="71"/>
      <c r="F512" s="71"/>
    </row>
    <row r="513">
      <c r="A513" s="68"/>
      <c r="B513" s="69"/>
      <c r="C513" s="73"/>
      <c r="D513" s="71"/>
      <c r="E513" s="71"/>
      <c r="F513" s="71"/>
    </row>
    <row r="514">
      <c r="A514" s="68"/>
      <c r="B514" s="69"/>
      <c r="C514" s="73"/>
      <c r="D514" s="71"/>
      <c r="E514" s="71"/>
      <c r="F514" s="71"/>
    </row>
    <row r="515">
      <c r="A515" s="68"/>
      <c r="B515" s="69"/>
      <c r="C515" s="73"/>
      <c r="D515" s="71"/>
      <c r="E515" s="71"/>
      <c r="F515" s="71"/>
    </row>
    <row r="516">
      <c r="A516" s="68"/>
      <c r="B516" s="69"/>
      <c r="C516" s="73"/>
      <c r="D516" s="71"/>
      <c r="E516" s="71"/>
      <c r="F516" s="71"/>
    </row>
    <row r="517">
      <c r="A517" s="68"/>
      <c r="B517" s="69"/>
      <c r="C517" s="73"/>
      <c r="D517" s="71"/>
      <c r="E517" s="71"/>
      <c r="F517" s="71"/>
    </row>
    <row r="518">
      <c r="A518" s="68"/>
      <c r="B518" s="69"/>
      <c r="C518" s="73"/>
      <c r="D518" s="71"/>
      <c r="E518" s="71"/>
      <c r="F518" s="71"/>
    </row>
    <row r="519">
      <c r="A519" s="68"/>
      <c r="B519" s="69"/>
      <c r="C519" s="73"/>
      <c r="D519" s="71"/>
      <c r="E519" s="71"/>
      <c r="F519" s="71"/>
    </row>
    <row r="520">
      <c r="A520" s="68"/>
      <c r="B520" s="69"/>
      <c r="C520" s="73"/>
      <c r="D520" s="71"/>
      <c r="E520" s="71"/>
      <c r="F520" s="71"/>
    </row>
    <row r="521">
      <c r="A521" s="68"/>
      <c r="B521" s="69"/>
      <c r="C521" s="73"/>
      <c r="D521" s="71"/>
      <c r="E521" s="71"/>
      <c r="F521" s="71"/>
    </row>
    <row r="522">
      <c r="A522" s="68"/>
      <c r="B522" s="69"/>
      <c r="C522" s="73"/>
      <c r="D522" s="71"/>
      <c r="E522" s="71"/>
      <c r="F522" s="71"/>
    </row>
    <row r="523">
      <c r="A523" s="68"/>
      <c r="B523" s="69"/>
      <c r="C523" s="73"/>
      <c r="D523" s="71"/>
      <c r="E523" s="71"/>
      <c r="F523" s="71"/>
    </row>
    <row r="524">
      <c r="A524" s="68"/>
      <c r="B524" s="69"/>
      <c r="C524" s="73"/>
      <c r="D524" s="71"/>
      <c r="E524" s="71"/>
      <c r="F524" s="71"/>
    </row>
    <row r="525">
      <c r="A525" s="68"/>
      <c r="B525" s="69"/>
      <c r="C525" s="73"/>
      <c r="D525" s="71"/>
      <c r="E525" s="71"/>
      <c r="F525" s="71"/>
    </row>
    <row r="526">
      <c r="A526" s="68"/>
      <c r="B526" s="69"/>
      <c r="C526" s="73"/>
      <c r="D526" s="71"/>
      <c r="E526" s="71"/>
      <c r="F526" s="71"/>
    </row>
    <row r="527">
      <c r="A527" s="68"/>
      <c r="B527" s="69"/>
      <c r="C527" s="73"/>
      <c r="D527" s="71"/>
      <c r="E527" s="71"/>
      <c r="F527" s="71"/>
    </row>
    <row r="528">
      <c r="A528" s="68"/>
      <c r="B528" s="69"/>
      <c r="C528" s="73"/>
      <c r="D528" s="71"/>
      <c r="E528" s="71"/>
      <c r="F528" s="71"/>
    </row>
    <row r="529">
      <c r="A529" s="68"/>
      <c r="B529" s="69"/>
      <c r="C529" s="73"/>
      <c r="D529" s="71"/>
      <c r="E529" s="71"/>
      <c r="F529" s="71"/>
    </row>
    <row r="530">
      <c r="A530" s="68"/>
      <c r="B530" s="69"/>
      <c r="C530" s="73"/>
      <c r="D530" s="71"/>
      <c r="E530" s="71"/>
      <c r="F530" s="71"/>
    </row>
    <row r="531">
      <c r="A531" s="68"/>
      <c r="B531" s="69"/>
      <c r="C531" s="73"/>
      <c r="D531" s="71"/>
      <c r="E531" s="71"/>
      <c r="F531" s="71"/>
    </row>
    <row r="532">
      <c r="A532" s="68"/>
      <c r="B532" s="69"/>
      <c r="C532" s="73"/>
      <c r="D532" s="71"/>
      <c r="E532" s="71"/>
      <c r="F532" s="71"/>
    </row>
    <row r="533">
      <c r="A533" s="68"/>
      <c r="B533" s="69"/>
      <c r="C533" s="73"/>
      <c r="D533" s="71"/>
      <c r="E533" s="71"/>
      <c r="F533" s="71"/>
    </row>
    <row r="534">
      <c r="A534" s="68"/>
      <c r="B534" s="69"/>
      <c r="C534" s="73"/>
      <c r="D534" s="71"/>
      <c r="E534" s="71"/>
      <c r="F534" s="71"/>
    </row>
    <row r="535">
      <c r="A535" s="68"/>
      <c r="B535" s="69"/>
      <c r="C535" s="73"/>
      <c r="D535" s="71"/>
      <c r="E535" s="71"/>
      <c r="F535" s="71"/>
    </row>
    <row r="536">
      <c r="A536" s="68"/>
      <c r="B536" s="69"/>
      <c r="C536" s="73"/>
      <c r="D536" s="71"/>
      <c r="E536" s="71"/>
      <c r="F536" s="71"/>
    </row>
    <row r="537">
      <c r="A537" s="68"/>
      <c r="B537" s="69"/>
      <c r="C537" s="73"/>
      <c r="D537" s="71"/>
      <c r="E537" s="71"/>
      <c r="F537" s="71"/>
    </row>
    <row r="538">
      <c r="A538" s="68"/>
      <c r="B538" s="69"/>
      <c r="C538" s="73"/>
      <c r="D538" s="71"/>
      <c r="E538" s="71"/>
      <c r="F538" s="71"/>
    </row>
    <row r="539">
      <c r="A539" s="68"/>
      <c r="B539" s="69"/>
      <c r="C539" s="73"/>
      <c r="D539" s="71"/>
      <c r="E539" s="71"/>
      <c r="F539" s="71"/>
    </row>
    <row r="540">
      <c r="A540" s="68"/>
      <c r="B540" s="69"/>
      <c r="C540" s="73"/>
      <c r="D540" s="71"/>
      <c r="E540" s="71"/>
      <c r="F540" s="71"/>
    </row>
    <row r="541">
      <c r="A541" s="68"/>
      <c r="B541" s="69"/>
      <c r="C541" s="73"/>
      <c r="D541" s="71"/>
      <c r="E541" s="71"/>
      <c r="F541" s="71"/>
    </row>
    <row r="542">
      <c r="A542" s="68"/>
      <c r="B542" s="69"/>
      <c r="C542" s="73"/>
      <c r="D542" s="71"/>
      <c r="E542" s="71"/>
      <c r="F542" s="71"/>
    </row>
    <row r="543">
      <c r="A543" s="68"/>
      <c r="B543" s="69"/>
      <c r="C543" s="73"/>
      <c r="D543" s="71"/>
      <c r="E543" s="71"/>
      <c r="F543" s="71"/>
    </row>
    <row r="544">
      <c r="A544" s="68"/>
      <c r="B544" s="69"/>
      <c r="C544" s="73"/>
      <c r="D544" s="71"/>
      <c r="E544" s="71"/>
      <c r="F544" s="71"/>
    </row>
    <row r="545">
      <c r="A545" s="68"/>
      <c r="B545" s="69"/>
      <c r="C545" s="73"/>
      <c r="D545" s="71"/>
      <c r="E545" s="71"/>
      <c r="F545" s="71"/>
    </row>
    <row r="546">
      <c r="A546" s="68"/>
      <c r="B546" s="69"/>
      <c r="C546" s="73"/>
      <c r="D546" s="71"/>
      <c r="E546" s="71"/>
      <c r="F546" s="71"/>
    </row>
    <row r="547">
      <c r="A547" s="68"/>
      <c r="B547" s="69"/>
      <c r="C547" s="73"/>
      <c r="D547" s="71"/>
      <c r="E547" s="71"/>
      <c r="F547" s="71"/>
    </row>
    <row r="548">
      <c r="A548" s="68"/>
      <c r="B548" s="69"/>
      <c r="C548" s="73"/>
      <c r="D548" s="71"/>
      <c r="E548" s="71"/>
      <c r="F548" s="71"/>
    </row>
    <row r="549">
      <c r="A549" s="68"/>
      <c r="B549" s="69"/>
      <c r="C549" s="73"/>
      <c r="D549" s="71"/>
      <c r="E549" s="71"/>
      <c r="F549" s="71"/>
    </row>
    <row r="550">
      <c r="A550" s="68"/>
      <c r="B550" s="69"/>
      <c r="C550" s="73"/>
      <c r="D550" s="71"/>
      <c r="E550" s="71"/>
      <c r="F550" s="71"/>
    </row>
    <row r="551">
      <c r="A551" s="68"/>
      <c r="B551" s="69"/>
      <c r="C551" s="73"/>
      <c r="D551" s="71"/>
      <c r="E551" s="71"/>
      <c r="F551" s="71"/>
    </row>
    <row r="552">
      <c r="A552" s="68"/>
      <c r="B552" s="69"/>
      <c r="C552" s="73"/>
      <c r="D552" s="71"/>
      <c r="E552" s="71"/>
      <c r="F552" s="71"/>
    </row>
    <row r="553">
      <c r="A553" s="68"/>
      <c r="B553" s="69"/>
      <c r="C553" s="73"/>
      <c r="D553" s="71"/>
      <c r="E553" s="71"/>
      <c r="F553" s="71"/>
    </row>
    <row r="554">
      <c r="A554" s="68"/>
      <c r="B554" s="69"/>
      <c r="C554" s="73"/>
      <c r="D554" s="71"/>
      <c r="E554" s="71"/>
      <c r="F554" s="71"/>
    </row>
    <row r="555">
      <c r="A555" s="68"/>
      <c r="B555" s="69"/>
      <c r="C555" s="73"/>
      <c r="D555" s="71"/>
      <c r="E555" s="71"/>
      <c r="F555" s="71"/>
    </row>
    <row r="556">
      <c r="A556" s="68"/>
      <c r="B556" s="69"/>
      <c r="C556" s="73"/>
      <c r="D556" s="71"/>
      <c r="E556" s="71"/>
      <c r="F556" s="71"/>
    </row>
    <row r="557">
      <c r="A557" s="68"/>
      <c r="B557" s="69"/>
      <c r="C557" s="73"/>
      <c r="D557" s="71"/>
      <c r="E557" s="71"/>
      <c r="F557" s="71"/>
    </row>
    <row r="558">
      <c r="A558" s="68"/>
      <c r="B558" s="69"/>
      <c r="C558" s="73"/>
      <c r="D558" s="71"/>
      <c r="E558" s="71"/>
      <c r="F558" s="71"/>
    </row>
    <row r="559">
      <c r="A559" s="68"/>
      <c r="B559" s="69"/>
      <c r="C559" s="73"/>
      <c r="D559" s="71"/>
      <c r="E559" s="71"/>
      <c r="F559" s="71"/>
    </row>
    <row r="560">
      <c r="A560" s="68"/>
      <c r="B560" s="69"/>
      <c r="C560" s="73"/>
      <c r="D560" s="71"/>
      <c r="E560" s="71"/>
      <c r="F560" s="71"/>
    </row>
    <row r="561">
      <c r="A561" s="68"/>
      <c r="B561" s="69"/>
      <c r="C561" s="73"/>
      <c r="D561" s="71"/>
      <c r="E561" s="71"/>
      <c r="F561" s="71"/>
    </row>
    <row r="562">
      <c r="A562" s="68"/>
      <c r="B562" s="69"/>
      <c r="C562" s="73"/>
      <c r="D562" s="71"/>
      <c r="E562" s="71"/>
      <c r="F562" s="71"/>
    </row>
    <row r="563">
      <c r="A563" s="68"/>
      <c r="B563" s="69"/>
      <c r="C563" s="73"/>
      <c r="D563" s="71"/>
      <c r="E563" s="71"/>
      <c r="F563" s="71"/>
    </row>
    <row r="564">
      <c r="A564" s="68"/>
      <c r="B564" s="69"/>
      <c r="C564" s="73"/>
      <c r="D564" s="71"/>
      <c r="E564" s="71"/>
      <c r="F564" s="71"/>
    </row>
    <row r="565">
      <c r="A565" s="68"/>
      <c r="B565" s="69"/>
      <c r="C565" s="73"/>
      <c r="D565" s="71"/>
      <c r="E565" s="71"/>
      <c r="F565" s="71"/>
    </row>
    <row r="566">
      <c r="A566" s="68"/>
      <c r="B566" s="69"/>
      <c r="C566" s="73"/>
      <c r="D566" s="71"/>
      <c r="E566" s="71"/>
      <c r="F566" s="71"/>
    </row>
    <row r="567">
      <c r="A567" s="68"/>
      <c r="B567" s="69"/>
      <c r="C567" s="73"/>
      <c r="D567" s="71"/>
      <c r="E567" s="71"/>
      <c r="F567" s="71"/>
    </row>
    <row r="568">
      <c r="A568" s="68"/>
      <c r="B568" s="69"/>
      <c r="C568" s="73"/>
      <c r="D568" s="71"/>
      <c r="E568" s="71"/>
      <c r="F568" s="71"/>
    </row>
    <row r="569">
      <c r="A569" s="68"/>
      <c r="B569" s="69"/>
      <c r="C569" s="73"/>
      <c r="D569" s="71"/>
      <c r="E569" s="71"/>
      <c r="F569" s="71"/>
    </row>
    <row r="570">
      <c r="A570" s="68"/>
      <c r="B570" s="69"/>
      <c r="C570" s="73"/>
      <c r="D570" s="71"/>
      <c r="E570" s="71"/>
      <c r="F570" s="71"/>
    </row>
    <row r="571">
      <c r="A571" s="68"/>
      <c r="B571" s="69"/>
      <c r="C571" s="73"/>
      <c r="D571" s="71"/>
      <c r="E571" s="71"/>
      <c r="F571" s="71"/>
    </row>
    <row r="572">
      <c r="A572" s="68"/>
      <c r="B572" s="69"/>
      <c r="C572" s="73"/>
      <c r="D572" s="71"/>
      <c r="E572" s="71"/>
      <c r="F572" s="71"/>
    </row>
    <row r="573">
      <c r="A573" s="68"/>
      <c r="B573" s="69"/>
      <c r="C573" s="73"/>
      <c r="D573" s="71"/>
      <c r="E573" s="71"/>
      <c r="F573" s="71"/>
    </row>
    <row r="574">
      <c r="A574" s="68"/>
      <c r="B574" s="69"/>
      <c r="C574" s="73"/>
      <c r="D574" s="71"/>
      <c r="E574" s="71"/>
      <c r="F574" s="71"/>
    </row>
    <row r="575">
      <c r="A575" s="68"/>
      <c r="B575" s="69"/>
      <c r="C575" s="73"/>
      <c r="D575" s="71"/>
      <c r="E575" s="71"/>
      <c r="F575" s="71"/>
    </row>
    <row r="576">
      <c r="A576" s="68"/>
      <c r="B576" s="69"/>
      <c r="C576" s="73"/>
      <c r="D576" s="71"/>
      <c r="E576" s="71"/>
      <c r="F576" s="71"/>
    </row>
    <row r="577">
      <c r="A577" s="68"/>
      <c r="B577" s="69"/>
      <c r="C577" s="73"/>
      <c r="D577" s="71"/>
      <c r="E577" s="71"/>
      <c r="F577" s="71"/>
    </row>
    <row r="578">
      <c r="A578" s="68"/>
      <c r="B578" s="69"/>
      <c r="C578" s="73"/>
      <c r="D578" s="71"/>
      <c r="E578" s="71"/>
      <c r="F578" s="71"/>
    </row>
    <row r="579">
      <c r="A579" s="68"/>
      <c r="B579" s="69"/>
      <c r="C579" s="73"/>
      <c r="D579" s="71"/>
      <c r="E579" s="71"/>
      <c r="F579" s="71"/>
    </row>
    <row r="580">
      <c r="A580" s="68"/>
      <c r="B580" s="69"/>
      <c r="C580" s="73"/>
      <c r="D580" s="71"/>
      <c r="E580" s="71"/>
      <c r="F580" s="71"/>
    </row>
    <row r="581">
      <c r="A581" s="68"/>
      <c r="B581" s="69"/>
      <c r="C581" s="73"/>
      <c r="D581" s="71"/>
      <c r="E581" s="71"/>
      <c r="F581" s="71"/>
    </row>
    <row r="582">
      <c r="A582" s="68"/>
      <c r="B582" s="69"/>
      <c r="C582" s="73"/>
      <c r="D582" s="71"/>
      <c r="E582" s="71"/>
      <c r="F582" s="71"/>
    </row>
    <row r="583">
      <c r="A583" s="68"/>
      <c r="B583" s="69"/>
      <c r="C583" s="73"/>
      <c r="D583" s="71"/>
      <c r="E583" s="71"/>
      <c r="F583" s="71"/>
    </row>
    <row r="584">
      <c r="A584" s="68"/>
      <c r="B584" s="69"/>
      <c r="C584" s="73"/>
      <c r="D584" s="71"/>
      <c r="E584" s="71"/>
      <c r="F584" s="71"/>
    </row>
    <row r="585">
      <c r="A585" s="68"/>
      <c r="B585" s="69"/>
      <c r="C585" s="73"/>
      <c r="D585" s="71"/>
      <c r="E585" s="71"/>
      <c r="F585" s="71"/>
    </row>
    <row r="586">
      <c r="A586" s="68"/>
      <c r="B586" s="69"/>
      <c r="C586" s="73"/>
      <c r="D586" s="71"/>
      <c r="E586" s="71"/>
      <c r="F586" s="71"/>
    </row>
    <row r="587">
      <c r="A587" s="68"/>
      <c r="B587" s="69"/>
      <c r="C587" s="73"/>
      <c r="D587" s="71"/>
      <c r="E587" s="71"/>
      <c r="F587" s="71"/>
    </row>
    <row r="588">
      <c r="A588" s="68"/>
      <c r="B588" s="69"/>
      <c r="C588" s="73"/>
      <c r="D588" s="71"/>
      <c r="E588" s="71"/>
      <c r="F588" s="71"/>
    </row>
    <row r="589">
      <c r="A589" s="68"/>
      <c r="B589" s="69"/>
      <c r="C589" s="73"/>
      <c r="D589" s="71"/>
      <c r="E589" s="71"/>
      <c r="F589" s="71"/>
    </row>
    <row r="590">
      <c r="A590" s="68"/>
      <c r="B590" s="69"/>
      <c r="C590" s="73"/>
      <c r="D590" s="71"/>
      <c r="E590" s="71"/>
      <c r="F590" s="71"/>
    </row>
    <row r="591">
      <c r="A591" s="68"/>
      <c r="B591" s="69"/>
      <c r="C591" s="73"/>
      <c r="D591" s="71"/>
      <c r="E591" s="71"/>
      <c r="F591" s="71"/>
    </row>
    <row r="592">
      <c r="A592" s="68"/>
      <c r="B592" s="69"/>
      <c r="C592" s="73"/>
      <c r="D592" s="71"/>
      <c r="E592" s="71"/>
      <c r="F592" s="71"/>
    </row>
    <row r="593">
      <c r="A593" s="68"/>
      <c r="B593" s="69"/>
      <c r="C593" s="73"/>
      <c r="D593" s="71"/>
      <c r="E593" s="71"/>
      <c r="F593" s="71"/>
    </row>
    <row r="594">
      <c r="A594" s="68"/>
      <c r="B594" s="69"/>
      <c r="C594" s="73"/>
      <c r="D594" s="71"/>
      <c r="E594" s="71"/>
      <c r="F594" s="71"/>
    </row>
    <row r="595">
      <c r="A595" s="68"/>
      <c r="B595" s="69"/>
      <c r="C595" s="73"/>
      <c r="D595" s="71"/>
      <c r="E595" s="71"/>
      <c r="F595" s="71"/>
    </row>
    <row r="596">
      <c r="A596" s="68"/>
      <c r="B596" s="69"/>
      <c r="C596" s="73"/>
      <c r="D596" s="71"/>
      <c r="E596" s="71"/>
      <c r="F596" s="71"/>
    </row>
    <row r="597">
      <c r="A597" s="68"/>
      <c r="B597" s="69"/>
      <c r="C597" s="73"/>
      <c r="D597" s="71"/>
      <c r="E597" s="71"/>
      <c r="F597" s="71"/>
    </row>
    <row r="598">
      <c r="A598" s="68"/>
      <c r="B598" s="69"/>
      <c r="C598" s="73"/>
      <c r="D598" s="71"/>
      <c r="E598" s="71"/>
      <c r="F598" s="71"/>
    </row>
    <row r="599">
      <c r="A599" s="68"/>
      <c r="B599" s="69"/>
      <c r="C599" s="73"/>
      <c r="D599" s="71"/>
      <c r="E599" s="71"/>
      <c r="F599" s="71"/>
    </row>
    <row r="600">
      <c r="A600" s="68"/>
      <c r="B600" s="69"/>
      <c r="C600" s="73"/>
      <c r="D600" s="71"/>
      <c r="E600" s="71"/>
      <c r="F600" s="71"/>
    </row>
    <row r="601">
      <c r="A601" s="68"/>
      <c r="B601" s="69"/>
      <c r="C601" s="73"/>
      <c r="D601" s="71"/>
      <c r="E601" s="71"/>
      <c r="F601" s="71"/>
    </row>
    <row r="602">
      <c r="A602" s="68"/>
      <c r="B602" s="69"/>
      <c r="C602" s="73"/>
      <c r="D602" s="71"/>
      <c r="E602" s="71"/>
      <c r="F602" s="71"/>
    </row>
    <row r="603">
      <c r="A603" s="68"/>
      <c r="B603" s="69"/>
      <c r="C603" s="73"/>
      <c r="D603" s="71"/>
      <c r="E603" s="71"/>
      <c r="F603" s="71"/>
    </row>
    <row r="604">
      <c r="A604" s="68"/>
      <c r="B604" s="69"/>
      <c r="C604" s="73"/>
      <c r="D604" s="71"/>
      <c r="E604" s="71"/>
      <c r="F604" s="71"/>
    </row>
    <row r="605">
      <c r="A605" s="68"/>
      <c r="B605" s="69"/>
      <c r="C605" s="73"/>
      <c r="D605" s="71"/>
      <c r="E605" s="71"/>
      <c r="F605" s="71"/>
    </row>
    <row r="606">
      <c r="A606" s="68"/>
      <c r="B606" s="69"/>
      <c r="C606" s="73"/>
      <c r="D606" s="71"/>
      <c r="E606" s="71"/>
      <c r="F606" s="71"/>
    </row>
    <row r="607">
      <c r="A607" s="68"/>
      <c r="B607" s="69"/>
      <c r="C607" s="73"/>
      <c r="D607" s="71"/>
      <c r="E607" s="71"/>
      <c r="F607" s="71"/>
    </row>
    <row r="608">
      <c r="A608" s="68"/>
      <c r="B608" s="69"/>
      <c r="C608" s="73"/>
      <c r="D608" s="71"/>
      <c r="E608" s="71"/>
      <c r="F608" s="71"/>
    </row>
    <row r="609">
      <c r="A609" s="68"/>
      <c r="B609" s="69"/>
      <c r="C609" s="73"/>
      <c r="D609" s="71"/>
      <c r="E609" s="71"/>
      <c r="F609" s="71"/>
    </row>
    <row r="610">
      <c r="A610" s="68"/>
      <c r="B610" s="69"/>
      <c r="C610" s="73"/>
      <c r="D610" s="71"/>
      <c r="E610" s="71"/>
      <c r="F610" s="71"/>
    </row>
    <row r="611">
      <c r="A611" s="68"/>
      <c r="B611" s="69"/>
      <c r="C611" s="73"/>
      <c r="D611" s="71"/>
      <c r="E611" s="71"/>
      <c r="F611" s="71"/>
    </row>
    <row r="612">
      <c r="A612" s="68"/>
      <c r="B612" s="69"/>
      <c r="C612" s="73"/>
      <c r="D612" s="71"/>
      <c r="E612" s="71"/>
      <c r="F612" s="71"/>
    </row>
    <row r="613">
      <c r="A613" s="68"/>
      <c r="B613" s="69"/>
      <c r="C613" s="73"/>
      <c r="D613" s="71"/>
      <c r="E613" s="71"/>
      <c r="F613" s="71"/>
    </row>
    <row r="614">
      <c r="A614" s="68"/>
      <c r="B614" s="69"/>
      <c r="C614" s="73"/>
      <c r="D614" s="71"/>
      <c r="E614" s="71"/>
      <c r="F614" s="71"/>
    </row>
    <row r="615">
      <c r="A615" s="68"/>
      <c r="B615" s="69"/>
      <c r="C615" s="73"/>
      <c r="D615" s="71"/>
      <c r="E615" s="71"/>
      <c r="F615" s="71"/>
    </row>
    <row r="616">
      <c r="A616" s="68"/>
      <c r="B616" s="69"/>
      <c r="C616" s="73"/>
      <c r="D616" s="71"/>
      <c r="E616" s="71"/>
      <c r="F616" s="71"/>
    </row>
    <row r="617">
      <c r="A617" s="68"/>
      <c r="B617" s="69"/>
      <c r="C617" s="73"/>
      <c r="D617" s="71"/>
      <c r="E617" s="71"/>
      <c r="F617" s="71"/>
    </row>
    <row r="618">
      <c r="A618" s="68"/>
      <c r="B618" s="69"/>
      <c r="C618" s="73"/>
      <c r="D618" s="71"/>
      <c r="E618" s="71"/>
      <c r="F618" s="71"/>
    </row>
    <row r="619">
      <c r="A619" s="68"/>
      <c r="B619" s="69"/>
      <c r="C619" s="73"/>
      <c r="D619" s="71"/>
      <c r="E619" s="71"/>
      <c r="F619" s="71"/>
    </row>
    <row r="620">
      <c r="A620" s="68"/>
      <c r="B620" s="69"/>
      <c r="C620" s="73"/>
      <c r="D620" s="71"/>
      <c r="E620" s="71"/>
      <c r="F620" s="71"/>
    </row>
    <row r="621">
      <c r="A621" s="68"/>
      <c r="B621" s="69"/>
      <c r="C621" s="73"/>
      <c r="D621" s="71"/>
      <c r="E621" s="71"/>
      <c r="F621" s="71"/>
    </row>
    <row r="622">
      <c r="A622" s="68"/>
      <c r="B622" s="69"/>
      <c r="C622" s="73"/>
      <c r="D622" s="71"/>
      <c r="E622" s="71"/>
      <c r="F622" s="71"/>
    </row>
    <row r="623">
      <c r="A623" s="68"/>
      <c r="B623" s="69"/>
      <c r="C623" s="73"/>
      <c r="D623" s="71"/>
      <c r="E623" s="71"/>
      <c r="F623" s="71"/>
    </row>
    <row r="624">
      <c r="A624" s="68"/>
      <c r="B624" s="69"/>
      <c r="C624" s="73"/>
      <c r="D624" s="71"/>
      <c r="E624" s="71"/>
      <c r="F624" s="71"/>
    </row>
    <row r="625">
      <c r="A625" s="68"/>
      <c r="B625" s="69"/>
      <c r="C625" s="73"/>
      <c r="D625" s="71"/>
      <c r="E625" s="71"/>
      <c r="F625" s="71"/>
    </row>
    <row r="626">
      <c r="A626" s="68"/>
      <c r="B626" s="69"/>
      <c r="C626" s="73"/>
      <c r="D626" s="71"/>
      <c r="E626" s="71"/>
      <c r="F626" s="71"/>
    </row>
    <row r="627">
      <c r="A627" s="68"/>
      <c r="B627" s="69"/>
      <c r="C627" s="73"/>
      <c r="D627" s="71"/>
      <c r="E627" s="71"/>
      <c r="F627" s="71"/>
    </row>
    <row r="628">
      <c r="A628" s="68"/>
      <c r="B628" s="69"/>
      <c r="C628" s="73"/>
      <c r="D628" s="71"/>
      <c r="E628" s="71"/>
      <c r="F628" s="71"/>
    </row>
    <row r="629">
      <c r="A629" s="68"/>
      <c r="B629" s="69"/>
      <c r="C629" s="73"/>
      <c r="D629" s="71"/>
      <c r="E629" s="71"/>
      <c r="F629" s="71"/>
    </row>
    <row r="630">
      <c r="A630" s="68"/>
      <c r="B630" s="69"/>
      <c r="C630" s="73"/>
      <c r="D630" s="71"/>
      <c r="E630" s="71"/>
      <c r="F630" s="71"/>
    </row>
    <row r="631">
      <c r="A631" s="68"/>
      <c r="B631" s="69"/>
      <c r="C631" s="73"/>
      <c r="D631" s="71"/>
      <c r="E631" s="71"/>
      <c r="F631" s="71"/>
    </row>
    <row r="632">
      <c r="A632" s="68"/>
      <c r="B632" s="69"/>
      <c r="C632" s="73"/>
      <c r="D632" s="71"/>
      <c r="E632" s="71"/>
      <c r="F632" s="71"/>
    </row>
    <row r="633">
      <c r="A633" s="68"/>
      <c r="B633" s="69"/>
      <c r="C633" s="73"/>
      <c r="D633" s="71"/>
      <c r="E633" s="71"/>
      <c r="F633" s="71"/>
    </row>
    <row r="634">
      <c r="A634" s="68"/>
      <c r="B634" s="69"/>
      <c r="C634" s="73"/>
      <c r="D634" s="71"/>
      <c r="E634" s="71"/>
      <c r="F634" s="71"/>
    </row>
    <row r="635">
      <c r="A635" s="68"/>
      <c r="B635" s="69"/>
      <c r="C635" s="73"/>
      <c r="D635" s="71"/>
      <c r="E635" s="71"/>
      <c r="F635" s="71"/>
    </row>
    <row r="636">
      <c r="A636" s="68"/>
      <c r="B636" s="69"/>
      <c r="C636" s="73"/>
      <c r="D636" s="71"/>
      <c r="E636" s="71"/>
      <c r="F636" s="71"/>
    </row>
    <row r="637">
      <c r="A637" s="68"/>
      <c r="B637" s="69"/>
      <c r="C637" s="73"/>
      <c r="D637" s="71"/>
      <c r="E637" s="71"/>
      <c r="F637" s="71"/>
    </row>
    <row r="638">
      <c r="A638" s="68"/>
      <c r="B638" s="69"/>
      <c r="C638" s="73"/>
      <c r="D638" s="71"/>
      <c r="E638" s="71"/>
      <c r="F638" s="71"/>
    </row>
    <row r="639">
      <c r="A639" s="68"/>
      <c r="B639" s="69"/>
      <c r="C639" s="73"/>
      <c r="D639" s="71"/>
      <c r="E639" s="71"/>
      <c r="F639" s="71"/>
    </row>
    <row r="640">
      <c r="A640" s="68"/>
      <c r="B640" s="69"/>
      <c r="C640" s="73"/>
      <c r="D640" s="71"/>
      <c r="E640" s="71"/>
      <c r="F640" s="71"/>
    </row>
    <row r="641">
      <c r="A641" s="68"/>
      <c r="B641" s="69"/>
      <c r="C641" s="73"/>
      <c r="D641" s="71"/>
      <c r="E641" s="71"/>
      <c r="F641" s="71"/>
    </row>
    <row r="642">
      <c r="A642" s="68"/>
      <c r="B642" s="69"/>
      <c r="C642" s="73"/>
      <c r="D642" s="71"/>
      <c r="E642" s="71"/>
      <c r="F642" s="71"/>
    </row>
    <row r="643">
      <c r="A643" s="68"/>
      <c r="B643" s="69"/>
      <c r="C643" s="73"/>
      <c r="D643" s="71"/>
      <c r="E643" s="71"/>
      <c r="F643" s="71"/>
    </row>
    <row r="644">
      <c r="A644" s="68"/>
      <c r="B644" s="69"/>
      <c r="C644" s="73"/>
      <c r="D644" s="71"/>
      <c r="E644" s="71"/>
      <c r="F644" s="71"/>
    </row>
    <row r="645">
      <c r="A645" s="68"/>
      <c r="B645" s="69"/>
      <c r="C645" s="73"/>
      <c r="D645" s="71"/>
      <c r="E645" s="71"/>
      <c r="F645" s="71"/>
    </row>
    <row r="646">
      <c r="A646" s="68"/>
      <c r="B646" s="69"/>
      <c r="C646" s="73"/>
      <c r="D646" s="71"/>
      <c r="E646" s="71"/>
      <c r="F646" s="71"/>
    </row>
    <row r="647">
      <c r="A647" s="68"/>
      <c r="B647" s="69"/>
      <c r="C647" s="73"/>
      <c r="D647" s="71"/>
      <c r="E647" s="71"/>
      <c r="F647" s="71"/>
    </row>
    <row r="648">
      <c r="A648" s="68"/>
      <c r="B648" s="69"/>
      <c r="C648" s="73"/>
      <c r="D648" s="71"/>
      <c r="E648" s="71"/>
      <c r="F648" s="71"/>
    </row>
    <row r="649">
      <c r="A649" s="68"/>
      <c r="B649" s="69"/>
      <c r="C649" s="73"/>
      <c r="D649" s="71"/>
      <c r="E649" s="71"/>
      <c r="F649" s="71"/>
    </row>
    <row r="650">
      <c r="A650" s="68"/>
      <c r="B650" s="69"/>
      <c r="C650" s="73"/>
      <c r="D650" s="71"/>
      <c r="E650" s="71"/>
      <c r="F650" s="71"/>
    </row>
    <row r="651">
      <c r="A651" s="68"/>
      <c r="B651" s="69"/>
      <c r="C651" s="73"/>
      <c r="D651" s="71"/>
      <c r="E651" s="71"/>
      <c r="F651" s="71"/>
    </row>
    <row r="652">
      <c r="A652" s="68"/>
      <c r="B652" s="69"/>
      <c r="C652" s="73"/>
      <c r="D652" s="71"/>
      <c r="E652" s="71"/>
      <c r="F652" s="71"/>
    </row>
    <row r="653">
      <c r="A653" s="68"/>
      <c r="B653" s="69"/>
      <c r="C653" s="73"/>
      <c r="D653" s="71"/>
      <c r="E653" s="71"/>
      <c r="F653" s="71"/>
    </row>
    <row r="654">
      <c r="A654" s="68"/>
      <c r="B654" s="69"/>
      <c r="C654" s="73"/>
      <c r="D654" s="71"/>
      <c r="E654" s="71"/>
      <c r="F654" s="71"/>
    </row>
    <row r="655">
      <c r="A655" s="68"/>
      <c r="B655" s="69"/>
      <c r="C655" s="73"/>
      <c r="D655" s="71"/>
      <c r="E655" s="71"/>
      <c r="F655" s="71"/>
    </row>
    <row r="656">
      <c r="A656" s="68"/>
      <c r="B656" s="69"/>
      <c r="C656" s="73"/>
      <c r="D656" s="71"/>
      <c r="E656" s="71"/>
      <c r="F656" s="71"/>
    </row>
    <row r="657">
      <c r="A657" s="68"/>
      <c r="B657" s="69"/>
      <c r="C657" s="73"/>
      <c r="D657" s="71"/>
      <c r="E657" s="71"/>
      <c r="F657" s="71"/>
    </row>
    <row r="658">
      <c r="A658" s="68"/>
      <c r="B658" s="69"/>
      <c r="C658" s="73"/>
      <c r="D658" s="71"/>
      <c r="E658" s="71"/>
      <c r="F658" s="71"/>
    </row>
    <row r="659">
      <c r="A659" s="68"/>
      <c r="B659" s="69"/>
      <c r="C659" s="73"/>
      <c r="D659" s="71"/>
      <c r="E659" s="71"/>
      <c r="F659" s="71"/>
    </row>
    <row r="660">
      <c r="A660" s="68"/>
      <c r="B660" s="69"/>
      <c r="C660" s="73"/>
      <c r="D660" s="71"/>
      <c r="E660" s="71"/>
      <c r="F660" s="71"/>
    </row>
    <row r="661">
      <c r="A661" s="68"/>
      <c r="B661" s="69"/>
      <c r="C661" s="73"/>
      <c r="D661" s="71"/>
      <c r="E661" s="71"/>
      <c r="F661" s="71"/>
    </row>
    <row r="662">
      <c r="A662" s="68"/>
      <c r="B662" s="69"/>
      <c r="C662" s="73"/>
      <c r="D662" s="71"/>
      <c r="E662" s="71"/>
      <c r="F662" s="71"/>
    </row>
    <row r="663">
      <c r="A663" s="68"/>
      <c r="B663" s="69"/>
      <c r="C663" s="73"/>
      <c r="D663" s="71"/>
      <c r="E663" s="71"/>
      <c r="F663" s="71"/>
    </row>
    <row r="664">
      <c r="A664" s="68"/>
      <c r="B664" s="69"/>
      <c r="C664" s="73"/>
      <c r="D664" s="71"/>
      <c r="E664" s="71"/>
      <c r="F664" s="71"/>
    </row>
    <row r="665">
      <c r="A665" s="68"/>
      <c r="B665" s="69"/>
      <c r="C665" s="73"/>
      <c r="D665" s="71"/>
      <c r="E665" s="71"/>
      <c r="F665" s="71"/>
    </row>
    <row r="666">
      <c r="A666" s="68"/>
      <c r="B666" s="69"/>
      <c r="C666" s="73"/>
      <c r="D666" s="71"/>
      <c r="E666" s="71"/>
      <c r="F666" s="71"/>
    </row>
    <row r="667">
      <c r="A667" s="68"/>
      <c r="B667" s="69"/>
      <c r="C667" s="73"/>
      <c r="D667" s="71"/>
      <c r="E667" s="71"/>
      <c r="F667" s="71"/>
    </row>
    <row r="668">
      <c r="A668" s="68"/>
      <c r="B668" s="69"/>
      <c r="C668" s="73"/>
      <c r="D668" s="71"/>
      <c r="E668" s="71"/>
      <c r="F668" s="71"/>
    </row>
    <row r="669">
      <c r="A669" s="68"/>
      <c r="B669" s="69"/>
      <c r="C669" s="73"/>
      <c r="D669" s="71"/>
      <c r="E669" s="71"/>
      <c r="F669" s="71"/>
    </row>
    <row r="670">
      <c r="A670" s="68"/>
      <c r="B670" s="69"/>
      <c r="C670" s="73"/>
      <c r="D670" s="71"/>
      <c r="E670" s="71"/>
      <c r="F670" s="71"/>
    </row>
    <row r="671">
      <c r="A671" s="68"/>
      <c r="B671" s="69"/>
      <c r="C671" s="73"/>
      <c r="D671" s="71"/>
      <c r="E671" s="71"/>
      <c r="F671" s="71"/>
    </row>
    <row r="672">
      <c r="A672" s="68"/>
      <c r="B672" s="69"/>
      <c r="C672" s="73"/>
      <c r="D672" s="71"/>
      <c r="E672" s="71"/>
      <c r="F672" s="71"/>
    </row>
    <row r="673">
      <c r="A673" s="68"/>
      <c r="B673" s="69"/>
      <c r="C673" s="73"/>
      <c r="D673" s="71"/>
      <c r="E673" s="71"/>
      <c r="F673" s="71"/>
    </row>
    <row r="674">
      <c r="A674" s="68"/>
      <c r="B674" s="69"/>
      <c r="C674" s="73"/>
      <c r="D674" s="71"/>
      <c r="E674" s="71"/>
      <c r="F674" s="71"/>
    </row>
    <row r="675">
      <c r="A675" s="68"/>
      <c r="B675" s="69"/>
      <c r="C675" s="73"/>
      <c r="D675" s="71"/>
      <c r="E675" s="71"/>
      <c r="F675" s="71"/>
    </row>
    <row r="676">
      <c r="A676" s="68"/>
      <c r="B676" s="69"/>
      <c r="C676" s="73"/>
      <c r="D676" s="71"/>
      <c r="E676" s="71"/>
      <c r="F676" s="71"/>
    </row>
    <row r="677">
      <c r="A677" s="68"/>
      <c r="B677" s="69"/>
      <c r="C677" s="73"/>
      <c r="D677" s="71"/>
      <c r="E677" s="71"/>
      <c r="F677" s="71"/>
    </row>
    <row r="678">
      <c r="A678" s="68"/>
      <c r="B678" s="69"/>
      <c r="C678" s="73"/>
      <c r="D678" s="71"/>
      <c r="E678" s="71"/>
      <c r="F678" s="71"/>
    </row>
    <row r="679">
      <c r="A679" s="68"/>
      <c r="B679" s="69"/>
      <c r="C679" s="73"/>
      <c r="D679" s="71"/>
      <c r="E679" s="71"/>
      <c r="F679" s="71"/>
    </row>
    <row r="680">
      <c r="A680" s="68"/>
      <c r="B680" s="69"/>
      <c r="C680" s="73"/>
      <c r="D680" s="71"/>
      <c r="E680" s="71"/>
      <c r="F680" s="71"/>
    </row>
    <row r="681">
      <c r="A681" s="68"/>
      <c r="B681" s="69"/>
      <c r="C681" s="73"/>
      <c r="D681" s="71"/>
      <c r="E681" s="71"/>
      <c r="F681" s="71"/>
    </row>
    <row r="682">
      <c r="A682" s="68"/>
      <c r="B682" s="69"/>
      <c r="C682" s="73"/>
      <c r="D682" s="71"/>
      <c r="E682" s="71"/>
      <c r="F682" s="71"/>
    </row>
    <row r="683">
      <c r="A683" s="68"/>
      <c r="B683" s="69"/>
      <c r="C683" s="73"/>
      <c r="D683" s="71"/>
      <c r="E683" s="71"/>
      <c r="F683" s="71"/>
    </row>
    <row r="684">
      <c r="A684" s="68"/>
      <c r="B684" s="69"/>
      <c r="C684" s="73"/>
      <c r="D684" s="71"/>
      <c r="E684" s="71"/>
      <c r="F684" s="71"/>
    </row>
    <row r="685">
      <c r="A685" s="68"/>
      <c r="B685" s="69"/>
      <c r="C685" s="73"/>
      <c r="D685" s="71"/>
      <c r="E685" s="71"/>
      <c r="F685" s="71"/>
    </row>
    <row r="686">
      <c r="A686" s="68"/>
      <c r="B686" s="69"/>
      <c r="C686" s="73"/>
      <c r="D686" s="71"/>
      <c r="E686" s="71"/>
      <c r="F686" s="71"/>
    </row>
    <row r="687">
      <c r="A687" s="68"/>
      <c r="B687" s="69"/>
      <c r="C687" s="73"/>
      <c r="D687" s="71"/>
      <c r="E687" s="71"/>
      <c r="F687" s="71"/>
    </row>
    <row r="688">
      <c r="A688" s="68"/>
      <c r="B688" s="69"/>
      <c r="C688" s="73"/>
      <c r="D688" s="71"/>
      <c r="E688" s="71"/>
      <c r="F688" s="71"/>
    </row>
    <row r="689">
      <c r="A689" s="68"/>
      <c r="B689" s="69"/>
      <c r="C689" s="73"/>
      <c r="D689" s="71"/>
      <c r="E689" s="71"/>
      <c r="F689" s="71"/>
    </row>
    <row r="690">
      <c r="A690" s="68"/>
      <c r="B690" s="69"/>
      <c r="C690" s="73"/>
      <c r="D690" s="71"/>
      <c r="E690" s="71"/>
      <c r="F690" s="71"/>
    </row>
    <row r="691">
      <c r="A691" s="68"/>
      <c r="B691" s="69"/>
      <c r="C691" s="73"/>
      <c r="D691" s="71"/>
      <c r="E691" s="71"/>
      <c r="F691" s="71"/>
    </row>
    <row r="692">
      <c r="A692" s="68"/>
      <c r="B692" s="69"/>
      <c r="C692" s="73"/>
      <c r="D692" s="71"/>
      <c r="E692" s="71"/>
      <c r="F692" s="71"/>
    </row>
    <row r="693">
      <c r="A693" s="68"/>
      <c r="B693" s="69"/>
      <c r="C693" s="73"/>
      <c r="D693" s="71"/>
      <c r="E693" s="71"/>
      <c r="F693" s="71"/>
    </row>
    <row r="694">
      <c r="A694" s="68"/>
      <c r="B694" s="69"/>
      <c r="C694" s="73"/>
      <c r="D694" s="71"/>
      <c r="E694" s="71"/>
      <c r="F694" s="71"/>
    </row>
    <row r="695">
      <c r="A695" s="68"/>
      <c r="B695" s="69"/>
      <c r="C695" s="73"/>
      <c r="D695" s="71"/>
      <c r="E695" s="71"/>
      <c r="F695" s="71"/>
    </row>
    <row r="696">
      <c r="A696" s="68"/>
      <c r="B696" s="69"/>
      <c r="C696" s="73"/>
      <c r="D696" s="71"/>
      <c r="E696" s="71"/>
      <c r="F696" s="71"/>
    </row>
    <row r="697">
      <c r="A697" s="68"/>
      <c r="B697" s="69"/>
      <c r="C697" s="73"/>
      <c r="D697" s="71"/>
      <c r="E697" s="71"/>
      <c r="F697" s="71"/>
    </row>
    <row r="698">
      <c r="A698" s="68"/>
      <c r="B698" s="69"/>
      <c r="C698" s="73"/>
      <c r="D698" s="71"/>
      <c r="E698" s="71"/>
      <c r="F698" s="71"/>
    </row>
    <row r="699">
      <c r="A699" s="68"/>
      <c r="B699" s="69"/>
      <c r="C699" s="73"/>
      <c r="D699" s="71"/>
      <c r="E699" s="71"/>
      <c r="F699" s="71"/>
    </row>
    <row r="700">
      <c r="A700" s="68"/>
      <c r="B700" s="69"/>
      <c r="C700" s="73"/>
      <c r="D700" s="71"/>
      <c r="E700" s="71"/>
      <c r="F700" s="71"/>
    </row>
    <row r="701">
      <c r="A701" s="68"/>
      <c r="B701" s="69"/>
      <c r="C701" s="73"/>
      <c r="D701" s="71"/>
      <c r="E701" s="71"/>
      <c r="F701" s="71"/>
    </row>
    <row r="702">
      <c r="A702" s="68"/>
      <c r="B702" s="69"/>
      <c r="C702" s="73"/>
      <c r="D702" s="71"/>
      <c r="E702" s="71"/>
      <c r="F702" s="71"/>
    </row>
    <row r="703">
      <c r="A703" s="68"/>
      <c r="B703" s="69"/>
      <c r="C703" s="73"/>
      <c r="D703" s="71"/>
      <c r="E703" s="71"/>
      <c r="F703" s="71"/>
    </row>
    <row r="704">
      <c r="A704" s="68"/>
      <c r="B704" s="69"/>
      <c r="C704" s="73"/>
      <c r="D704" s="71"/>
      <c r="E704" s="71"/>
      <c r="F704" s="71"/>
    </row>
    <row r="705">
      <c r="A705" s="68"/>
      <c r="B705" s="69"/>
      <c r="C705" s="73"/>
      <c r="D705" s="71"/>
      <c r="E705" s="71"/>
      <c r="F705" s="71"/>
    </row>
    <row r="706">
      <c r="A706" s="68"/>
      <c r="B706" s="69"/>
      <c r="C706" s="73"/>
      <c r="D706" s="71"/>
      <c r="E706" s="71"/>
      <c r="F706" s="71"/>
    </row>
    <row r="707">
      <c r="A707" s="68"/>
      <c r="B707" s="69"/>
      <c r="C707" s="73"/>
      <c r="D707" s="71"/>
      <c r="E707" s="71"/>
      <c r="F707" s="71"/>
    </row>
    <row r="708">
      <c r="A708" s="68"/>
      <c r="B708" s="69"/>
      <c r="C708" s="73"/>
      <c r="D708" s="71"/>
      <c r="E708" s="71"/>
      <c r="F708" s="71"/>
    </row>
    <row r="709">
      <c r="A709" s="68"/>
      <c r="B709" s="69"/>
      <c r="C709" s="73"/>
      <c r="D709" s="71"/>
      <c r="E709" s="71"/>
      <c r="F709" s="71"/>
    </row>
    <row r="710">
      <c r="A710" s="68"/>
      <c r="B710" s="69"/>
      <c r="C710" s="73"/>
      <c r="D710" s="71"/>
      <c r="E710" s="71"/>
      <c r="F710" s="71"/>
    </row>
    <row r="711">
      <c r="A711" s="68"/>
      <c r="B711" s="69"/>
      <c r="C711" s="73"/>
      <c r="D711" s="71"/>
      <c r="E711" s="71"/>
      <c r="F711" s="71"/>
    </row>
    <row r="712">
      <c r="A712" s="68"/>
      <c r="B712" s="69"/>
      <c r="C712" s="73"/>
      <c r="D712" s="71"/>
      <c r="E712" s="71"/>
      <c r="F712" s="71"/>
    </row>
    <row r="713">
      <c r="A713" s="68"/>
      <c r="B713" s="69"/>
      <c r="C713" s="73"/>
      <c r="D713" s="71"/>
      <c r="E713" s="71"/>
      <c r="F713" s="71"/>
    </row>
    <row r="714">
      <c r="A714" s="68"/>
      <c r="B714" s="69"/>
      <c r="C714" s="73"/>
      <c r="D714" s="71"/>
      <c r="E714" s="71"/>
      <c r="F714" s="71"/>
    </row>
    <row r="715">
      <c r="A715" s="68"/>
      <c r="B715" s="69"/>
      <c r="C715" s="73"/>
      <c r="D715" s="71"/>
      <c r="E715" s="71"/>
      <c r="F715" s="71"/>
    </row>
    <row r="716">
      <c r="A716" s="68"/>
      <c r="B716" s="69"/>
      <c r="C716" s="73"/>
      <c r="D716" s="71"/>
      <c r="E716" s="71"/>
      <c r="F716" s="71"/>
    </row>
    <row r="717">
      <c r="A717" s="68"/>
      <c r="B717" s="69"/>
      <c r="C717" s="73"/>
      <c r="D717" s="71"/>
      <c r="E717" s="71"/>
      <c r="F717" s="71"/>
    </row>
    <row r="718">
      <c r="A718" s="68"/>
      <c r="B718" s="69"/>
      <c r="C718" s="73"/>
      <c r="D718" s="71"/>
      <c r="E718" s="71"/>
      <c r="F718" s="71"/>
    </row>
    <row r="719">
      <c r="A719" s="68"/>
      <c r="B719" s="69"/>
      <c r="C719" s="73"/>
      <c r="D719" s="71"/>
      <c r="E719" s="71"/>
      <c r="F719" s="71"/>
    </row>
    <row r="720">
      <c r="A720" s="68"/>
      <c r="B720" s="69"/>
      <c r="C720" s="73"/>
      <c r="D720" s="71"/>
      <c r="E720" s="71"/>
      <c r="F720" s="71"/>
    </row>
    <row r="721">
      <c r="A721" s="68"/>
      <c r="B721" s="69"/>
      <c r="C721" s="73"/>
      <c r="D721" s="71"/>
      <c r="E721" s="71"/>
      <c r="F721" s="71"/>
    </row>
    <row r="722">
      <c r="A722" s="68"/>
      <c r="B722" s="69"/>
      <c r="C722" s="73"/>
      <c r="D722" s="71"/>
      <c r="E722" s="71"/>
      <c r="F722" s="71"/>
    </row>
    <row r="723">
      <c r="A723" s="68"/>
      <c r="B723" s="69"/>
      <c r="C723" s="73"/>
      <c r="D723" s="71"/>
      <c r="E723" s="71"/>
      <c r="F723" s="71"/>
    </row>
    <row r="724">
      <c r="A724" s="68"/>
      <c r="B724" s="69"/>
      <c r="C724" s="73"/>
      <c r="D724" s="71"/>
      <c r="E724" s="71"/>
      <c r="F724" s="71"/>
    </row>
    <row r="725">
      <c r="A725" s="68"/>
      <c r="B725" s="69"/>
      <c r="C725" s="73"/>
      <c r="D725" s="71"/>
      <c r="E725" s="71"/>
      <c r="F725" s="71"/>
    </row>
    <row r="726">
      <c r="A726" s="68"/>
      <c r="B726" s="69"/>
      <c r="C726" s="73"/>
      <c r="D726" s="71"/>
      <c r="E726" s="71"/>
      <c r="F726" s="71"/>
    </row>
    <row r="727">
      <c r="A727" s="68"/>
      <c r="B727" s="69"/>
      <c r="C727" s="73"/>
      <c r="D727" s="71"/>
      <c r="E727" s="71"/>
      <c r="F727" s="71"/>
    </row>
    <row r="728">
      <c r="A728" s="68"/>
      <c r="B728" s="69"/>
      <c r="C728" s="73"/>
      <c r="D728" s="71"/>
      <c r="E728" s="71"/>
      <c r="F728" s="71"/>
    </row>
    <row r="729">
      <c r="A729" s="68"/>
      <c r="B729" s="69"/>
      <c r="C729" s="73"/>
      <c r="D729" s="71"/>
      <c r="E729" s="71"/>
      <c r="F729" s="71"/>
    </row>
    <row r="730">
      <c r="A730" s="68"/>
      <c r="B730" s="69"/>
      <c r="C730" s="73"/>
      <c r="D730" s="71"/>
      <c r="E730" s="71"/>
      <c r="F730" s="71"/>
    </row>
    <row r="731">
      <c r="A731" s="68"/>
      <c r="B731" s="69"/>
      <c r="C731" s="73"/>
      <c r="D731" s="71"/>
      <c r="E731" s="71"/>
      <c r="F731" s="71"/>
    </row>
    <row r="732">
      <c r="A732" s="68"/>
      <c r="B732" s="69"/>
      <c r="C732" s="73"/>
      <c r="D732" s="71"/>
      <c r="E732" s="71"/>
      <c r="F732" s="71"/>
    </row>
    <row r="733">
      <c r="A733" s="68"/>
      <c r="B733" s="69"/>
      <c r="C733" s="73"/>
      <c r="D733" s="71"/>
      <c r="E733" s="71"/>
      <c r="F733" s="71"/>
    </row>
    <row r="734">
      <c r="A734" s="68"/>
      <c r="B734" s="69"/>
      <c r="C734" s="73"/>
      <c r="D734" s="71"/>
      <c r="E734" s="71"/>
      <c r="F734" s="71"/>
    </row>
    <row r="735">
      <c r="A735" s="68"/>
      <c r="B735" s="69"/>
      <c r="C735" s="73"/>
      <c r="D735" s="71"/>
      <c r="E735" s="71"/>
      <c r="F735" s="71"/>
    </row>
    <row r="736">
      <c r="A736" s="68"/>
      <c r="B736" s="69"/>
      <c r="C736" s="73"/>
      <c r="D736" s="71"/>
      <c r="E736" s="71"/>
      <c r="F736" s="71"/>
    </row>
    <row r="737">
      <c r="A737" s="68"/>
      <c r="B737" s="69"/>
      <c r="C737" s="73"/>
      <c r="D737" s="71"/>
      <c r="E737" s="71"/>
      <c r="F737" s="71"/>
    </row>
    <row r="738">
      <c r="A738" s="68"/>
      <c r="B738" s="69"/>
      <c r="C738" s="73"/>
      <c r="D738" s="71"/>
      <c r="E738" s="71"/>
      <c r="F738" s="71"/>
    </row>
    <row r="739">
      <c r="A739" s="68"/>
      <c r="B739" s="69"/>
      <c r="C739" s="73"/>
      <c r="D739" s="71"/>
      <c r="E739" s="71"/>
      <c r="F739" s="71"/>
    </row>
    <row r="740">
      <c r="A740" s="68"/>
      <c r="B740" s="69"/>
      <c r="C740" s="73"/>
      <c r="D740" s="71"/>
      <c r="E740" s="71"/>
      <c r="F740" s="71"/>
    </row>
    <row r="741">
      <c r="A741" s="68"/>
      <c r="B741" s="69"/>
      <c r="C741" s="73"/>
      <c r="D741" s="71"/>
      <c r="E741" s="71"/>
      <c r="F741" s="71"/>
    </row>
    <row r="742">
      <c r="A742" s="68"/>
      <c r="B742" s="69"/>
      <c r="C742" s="73"/>
      <c r="D742" s="71"/>
      <c r="E742" s="71"/>
      <c r="F742" s="71"/>
    </row>
    <row r="743">
      <c r="A743" s="68"/>
      <c r="B743" s="69"/>
      <c r="C743" s="73"/>
      <c r="D743" s="71"/>
      <c r="E743" s="71"/>
      <c r="F743" s="71"/>
    </row>
    <row r="744">
      <c r="A744" s="68"/>
      <c r="B744" s="69"/>
      <c r="C744" s="73"/>
      <c r="D744" s="71"/>
      <c r="E744" s="71"/>
      <c r="F744" s="71"/>
    </row>
    <row r="745">
      <c r="A745" s="68"/>
      <c r="B745" s="69"/>
      <c r="C745" s="73"/>
      <c r="D745" s="71"/>
      <c r="E745" s="71"/>
      <c r="F745" s="71"/>
    </row>
    <row r="746">
      <c r="A746" s="68"/>
      <c r="B746" s="69"/>
      <c r="C746" s="73"/>
      <c r="D746" s="71"/>
      <c r="E746" s="71"/>
      <c r="F746" s="71"/>
    </row>
    <row r="747">
      <c r="A747" s="68"/>
      <c r="B747" s="69"/>
      <c r="C747" s="73"/>
      <c r="D747" s="71"/>
      <c r="E747" s="71"/>
      <c r="F747" s="71"/>
    </row>
    <row r="748">
      <c r="A748" s="68"/>
      <c r="B748" s="69"/>
      <c r="C748" s="73"/>
      <c r="D748" s="71"/>
      <c r="E748" s="71"/>
      <c r="F748" s="71"/>
    </row>
    <row r="749">
      <c r="A749" s="68"/>
      <c r="B749" s="69"/>
      <c r="C749" s="73"/>
      <c r="D749" s="71"/>
      <c r="E749" s="71"/>
      <c r="F749" s="71"/>
    </row>
    <row r="750">
      <c r="A750" s="68"/>
      <c r="B750" s="69"/>
      <c r="C750" s="73"/>
      <c r="D750" s="71"/>
      <c r="E750" s="71"/>
      <c r="F750" s="71"/>
    </row>
    <row r="751">
      <c r="A751" s="68"/>
      <c r="B751" s="69"/>
      <c r="C751" s="73"/>
      <c r="D751" s="71"/>
      <c r="E751" s="71"/>
      <c r="F751" s="71"/>
    </row>
    <row r="752">
      <c r="A752" s="68"/>
      <c r="B752" s="69"/>
      <c r="C752" s="73"/>
      <c r="D752" s="71"/>
      <c r="E752" s="71"/>
      <c r="F752" s="71"/>
    </row>
    <row r="753">
      <c r="A753" s="68"/>
      <c r="B753" s="69"/>
      <c r="C753" s="73"/>
      <c r="D753" s="71"/>
      <c r="E753" s="71"/>
      <c r="F753" s="71"/>
    </row>
    <row r="754">
      <c r="A754" s="68"/>
      <c r="B754" s="69"/>
      <c r="C754" s="73"/>
      <c r="D754" s="71"/>
      <c r="E754" s="71"/>
      <c r="F754" s="71"/>
    </row>
    <row r="755">
      <c r="A755" s="68"/>
      <c r="B755" s="69"/>
      <c r="C755" s="73"/>
      <c r="D755" s="71"/>
      <c r="E755" s="71"/>
      <c r="F755" s="71"/>
    </row>
    <row r="756">
      <c r="A756" s="68"/>
      <c r="B756" s="69"/>
      <c r="C756" s="73"/>
      <c r="D756" s="71"/>
      <c r="E756" s="71"/>
      <c r="F756" s="71"/>
    </row>
    <row r="757">
      <c r="A757" s="68"/>
      <c r="B757" s="69"/>
      <c r="C757" s="73"/>
      <c r="D757" s="71"/>
      <c r="E757" s="71"/>
      <c r="F757" s="71"/>
    </row>
    <row r="758">
      <c r="A758" s="68"/>
      <c r="B758" s="69"/>
      <c r="C758" s="73"/>
      <c r="D758" s="71"/>
      <c r="E758" s="71"/>
      <c r="F758" s="71"/>
    </row>
    <row r="759">
      <c r="A759" s="68"/>
      <c r="B759" s="69"/>
      <c r="C759" s="73"/>
      <c r="D759" s="71"/>
      <c r="E759" s="71"/>
      <c r="F759" s="71"/>
    </row>
    <row r="760">
      <c r="A760" s="68"/>
      <c r="B760" s="69"/>
      <c r="C760" s="73"/>
      <c r="D760" s="71"/>
      <c r="E760" s="71"/>
      <c r="F760" s="71"/>
    </row>
    <row r="761">
      <c r="A761" s="68"/>
      <c r="B761" s="69"/>
      <c r="C761" s="73"/>
      <c r="D761" s="71"/>
      <c r="E761" s="71"/>
      <c r="F761" s="71"/>
    </row>
    <row r="762">
      <c r="A762" s="68"/>
      <c r="B762" s="69"/>
      <c r="C762" s="73"/>
      <c r="D762" s="71"/>
      <c r="E762" s="71"/>
      <c r="F762" s="71"/>
    </row>
    <row r="763">
      <c r="A763" s="68"/>
      <c r="B763" s="69"/>
      <c r="C763" s="73"/>
      <c r="D763" s="71"/>
      <c r="E763" s="71"/>
      <c r="F763" s="71"/>
    </row>
    <row r="764">
      <c r="A764" s="68"/>
      <c r="B764" s="69"/>
      <c r="C764" s="73"/>
      <c r="D764" s="71"/>
      <c r="E764" s="71"/>
      <c r="F764" s="71"/>
    </row>
    <row r="765">
      <c r="A765" s="68"/>
      <c r="B765" s="69"/>
      <c r="C765" s="73"/>
      <c r="D765" s="71"/>
      <c r="E765" s="71"/>
      <c r="F765" s="71"/>
    </row>
    <row r="766">
      <c r="A766" s="68"/>
      <c r="B766" s="69"/>
      <c r="C766" s="73"/>
      <c r="D766" s="71"/>
      <c r="E766" s="71"/>
      <c r="F766" s="71"/>
    </row>
    <row r="767">
      <c r="A767" s="68"/>
      <c r="B767" s="69"/>
      <c r="C767" s="73"/>
      <c r="D767" s="71"/>
      <c r="E767" s="71"/>
      <c r="F767" s="71"/>
    </row>
    <row r="768">
      <c r="A768" s="68"/>
      <c r="B768" s="69"/>
      <c r="C768" s="73"/>
      <c r="D768" s="71"/>
      <c r="E768" s="71"/>
      <c r="F768" s="71"/>
    </row>
    <row r="769">
      <c r="A769" s="68"/>
      <c r="B769" s="69"/>
      <c r="C769" s="73"/>
      <c r="D769" s="71"/>
      <c r="E769" s="71"/>
      <c r="F769" s="71"/>
    </row>
    <row r="770">
      <c r="A770" s="68"/>
      <c r="B770" s="69"/>
      <c r="C770" s="73"/>
      <c r="D770" s="71"/>
      <c r="E770" s="71"/>
      <c r="F770" s="71"/>
    </row>
    <row r="771">
      <c r="A771" s="68"/>
      <c r="B771" s="69"/>
      <c r="C771" s="73"/>
      <c r="D771" s="71"/>
      <c r="E771" s="71"/>
      <c r="F771" s="71"/>
    </row>
    <row r="772">
      <c r="A772" s="68"/>
      <c r="B772" s="69"/>
      <c r="C772" s="73"/>
      <c r="D772" s="71"/>
      <c r="E772" s="71"/>
      <c r="F772" s="71"/>
    </row>
    <row r="773">
      <c r="A773" s="68"/>
      <c r="B773" s="69"/>
      <c r="C773" s="73"/>
      <c r="D773" s="71"/>
      <c r="E773" s="71"/>
      <c r="F773" s="71"/>
    </row>
    <row r="774">
      <c r="A774" s="68"/>
      <c r="B774" s="69"/>
      <c r="C774" s="73"/>
      <c r="D774" s="71"/>
      <c r="E774" s="71"/>
      <c r="F774" s="71"/>
    </row>
    <row r="775">
      <c r="A775" s="68"/>
      <c r="B775" s="69"/>
      <c r="C775" s="73"/>
      <c r="D775" s="71"/>
      <c r="E775" s="71"/>
      <c r="F775" s="71"/>
    </row>
    <row r="776">
      <c r="A776" s="68"/>
      <c r="B776" s="69"/>
      <c r="C776" s="73"/>
      <c r="D776" s="71"/>
      <c r="E776" s="71"/>
      <c r="F776" s="71"/>
    </row>
    <row r="777">
      <c r="A777" s="68"/>
      <c r="B777" s="69"/>
      <c r="C777" s="73"/>
      <c r="D777" s="71"/>
      <c r="E777" s="71"/>
      <c r="F777" s="71"/>
    </row>
    <row r="778">
      <c r="A778" s="68"/>
      <c r="B778" s="69"/>
      <c r="C778" s="73"/>
      <c r="D778" s="71"/>
      <c r="E778" s="71"/>
      <c r="F778" s="71"/>
    </row>
    <row r="779">
      <c r="A779" s="68"/>
      <c r="B779" s="69"/>
      <c r="C779" s="73"/>
      <c r="D779" s="71"/>
      <c r="E779" s="71"/>
      <c r="F779" s="71"/>
    </row>
    <row r="780">
      <c r="A780" s="68"/>
      <c r="B780" s="69"/>
      <c r="C780" s="73"/>
      <c r="D780" s="71"/>
      <c r="E780" s="71"/>
      <c r="F780" s="71"/>
    </row>
    <row r="781">
      <c r="A781" s="68"/>
      <c r="B781" s="69"/>
      <c r="C781" s="73"/>
      <c r="D781" s="71"/>
      <c r="E781" s="71"/>
      <c r="F781" s="71"/>
    </row>
    <row r="782">
      <c r="A782" s="68"/>
      <c r="B782" s="69"/>
      <c r="C782" s="73"/>
      <c r="D782" s="71"/>
      <c r="E782" s="71"/>
      <c r="F782" s="71"/>
    </row>
    <row r="783">
      <c r="A783" s="68"/>
      <c r="B783" s="69"/>
      <c r="C783" s="73"/>
      <c r="D783" s="71"/>
      <c r="E783" s="71"/>
      <c r="F783" s="71"/>
    </row>
    <row r="784">
      <c r="A784" s="68"/>
      <c r="B784" s="69"/>
      <c r="C784" s="73"/>
      <c r="D784" s="71"/>
      <c r="E784" s="71"/>
      <c r="F784" s="71"/>
    </row>
    <row r="785">
      <c r="A785" s="68"/>
      <c r="B785" s="69"/>
      <c r="C785" s="73"/>
      <c r="D785" s="71"/>
      <c r="E785" s="71"/>
      <c r="F785" s="71"/>
    </row>
    <row r="786">
      <c r="A786" s="68"/>
      <c r="B786" s="69"/>
      <c r="C786" s="73"/>
      <c r="D786" s="71"/>
      <c r="E786" s="71"/>
      <c r="F786" s="71"/>
    </row>
    <row r="787">
      <c r="A787" s="68"/>
      <c r="B787" s="69"/>
      <c r="C787" s="73"/>
      <c r="D787" s="71"/>
      <c r="E787" s="71"/>
      <c r="F787" s="71"/>
    </row>
    <row r="788">
      <c r="A788" s="68"/>
      <c r="B788" s="69"/>
      <c r="C788" s="73"/>
      <c r="D788" s="71"/>
      <c r="E788" s="71"/>
      <c r="F788" s="71"/>
    </row>
    <row r="789">
      <c r="A789" s="68"/>
      <c r="B789" s="69"/>
      <c r="C789" s="73"/>
      <c r="D789" s="71"/>
      <c r="E789" s="71"/>
      <c r="F789" s="71"/>
    </row>
    <row r="790">
      <c r="A790" s="68"/>
      <c r="B790" s="69"/>
      <c r="C790" s="73"/>
      <c r="D790" s="71"/>
      <c r="E790" s="71"/>
      <c r="F790" s="71"/>
    </row>
    <row r="791">
      <c r="A791" s="68"/>
      <c r="B791" s="69"/>
      <c r="C791" s="73"/>
      <c r="D791" s="71"/>
      <c r="E791" s="71"/>
      <c r="F791" s="71"/>
    </row>
    <row r="792">
      <c r="A792" s="68"/>
      <c r="B792" s="69"/>
      <c r="C792" s="73"/>
      <c r="D792" s="71"/>
      <c r="E792" s="71"/>
      <c r="F792" s="71"/>
    </row>
    <row r="793">
      <c r="A793" s="68"/>
      <c r="B793" s="69"/>
      <c r="C793" s="73"/>
      <c r="D793" s="71"/>
      <c r="E793" s="71"/>
      <c r="F793" s="71"/>
    </row>
    <row r="794">
      <c r="A794" s="68"/>
      <c r="B794" s="69"/>
      <c r="C794" s="73"/>
      <c r="D794" s="71"/>
      <c r="E794" s="71"/>
      <c r="F794" s="71"/>
    </row>
    <row r="795">
      <c r="A795" s="68"/>
      <c r="B795" s="69"/>
      <c r="C795" s="73"/>
      <c r="D795" s="71"/>
      <c r="E795" s="71"/>
      <c r="F795" s="71"/>
    </row>
    <row r="796">
      <c r="A796" s="68"/>
      <c r="B796" s="69"/>
      <c r="C796" s="73"/>
      <c r="D796" s="71"/>
      <c r="E796" s="71"/>
      <c r="F796" s="71"/>
    </row>
    <row r="797">
      <c r="A797" s="68"/>
      <c r="B797" s="69"/>
      <c r="C797" s="73"/>
      <c r="D797" s="71"/>
      <c r="E797" s="71"/>
      <c r="F797" s="71"/>
    </row>
    <row r="798">
      <c r="A798" s="68"/>
      <c r="B798" s="69"/>
      <c r="C798" s="73"/>
      <c r="D798" s="71"/>
      <c r="E798" s="71"/>
      <c r="F798" s="71"/>
    </row>
    <row r="799">
      <c r="A799" s="68"/>
      <c r="B799" s="69"/>
      <c r="C799" s="73"/>
      <c r="D799" s="71"/>
      <c r="E799" s="71"/>
      <c r="F799" s="71"/>
    </row>
    <row r="800">
      <c r="A800" s="68"/>
      <c r="B800" s="69"/>
      <c r="C800" s="73"/>
      <c r="D800" s="71"/>
      <c r="E800" s="71"/>
      <c r="F800" s="71"/>
    </row>
    <row r="801">
      <c r="A801" s="68"/>
      <c r="B801" s="69"/>
      <c r="C801" s="73"/>
      <c r="D801" s="71"/>
      <c r="E801" s="71"/>
      <c r="F801" s="71"/>
    </row>
    <row r="802">
      <c r="A802" s="68"/>
      <c r="B802" s="69"/>
      <c r="C802" s="73"/>
      <c r="D802" s="71"/>
      <c r="E802" s="71"/>
      <c r="F802" s="71"/>
    </row>
    <row r="803">
      <c r="A803" s="68"/>
      <c r="B803" s="69"/>
      <c r="C803" s="73"/>
      <c r="D803" s="71"/>
      <c r="E803" s="71"/>
      <c r="F803" s="71"/>
    </row>
    <row r="804">
      <c r="A804" s="68"/>
      <c r="B804" s="69"/>
      <c r="C804" s="73"/>
      <c r="D804" s="71"/>
      <c r="E804" s="71"/>
      <c r="F804" s="71"/>
    </row>
    <row r="805">
      <c r="A805" s="68"/>
      <c r="B805" s="69"/>
      <c r="C805" s="73"/>
      <c r="D805" s="71"/>
      <c r="E805" s="71"/>
      <c r="F805" s="71"/>
    </row>
    <row r="806">
      <c r="A806" s="68"/>
      <c r="B806" s="69"/>
      <c r="C806" s="73"/>
      <c r="D806" s="71"/>
      <c r="E806" s="71"/>
      <c r="F806" s="71"/>
    </row>
    <row r="807">
      <c r="A807" s="68"/>
      <c r="B807" s="69"/>
      <c r="C807" s="73"/>
      <c r="D807" s="71"/>
      <c r="E807" s="71"/>
      <c r="F807" s="71"/>
    </row>
    <row r="808">
      <c r="A808" s="68"/>
      <c r="B808" s="69"/>
      <c r="C808" s="73"/>
      <c r="D808" s="71"/>
      <c r="E808" s="71"/>
      <c r="F808" s="71"/>
    </row>
    <row r="809">
      <c r="A809" s="68"/>
      <c r="B809" s="69"/>
      <c r="C809" s="73"/>
      <c r="D809" s="71"/>
      <c r="E809" s="71"/>
      <c r="F809" s="71"/>
    </row>
    <row r="810">
      <c r="A810" s="68"/>
      <c r="B810" s="69"/>
      <c r="C810" s="73"/>
      <c r="D810" s="71"/>
      <c r="E810" s="71"/>
      <c r="F810" s="71"/>
    </row>
    <row r="811">
      <c r="A811" s="68"/>
      <c r="B811" s="69"/>
      <c r="C811" s="73"/>
      <c r="D811" s="71"/>
      <c r="E811" s="71"/>
      <c r="F811" s="71"/>
    </row>
    <row r="812">
      <c r="A812" s="68"/>
      <c r="B812" s="69"/>
      <c r="C812" s="73"/>
      <c r="D812" s="71"/>
      <c r="E812" s="71"/>
      <c r="F812" s="71"/>
    </row>
    <row r="813">
      <c r="A813" s="68"/>
      <c r="B813" s="69"/>
      <c r="C813" s="73"/>
      <c r="D813" s="71"/>
      <c r="E813" s="71"/>
      <c r="F813" s="71"/>
    </row>
    <row r="814">
      <c r="A814" s="68"/>
      <c r="B814" s="69"/>
      <c r="C814" s="73"/>
      <c r="D814" s="71"/>
      <c r="E814" s="71"/>
      <c r="F814" s="71"/>
    </row>
    <row r="815">
      <c r="A815" s="68"/>
      <c r="B815" s="69"/>
      <c r="C815" s="73"/>
      <c r="D815" s="71"/>
      <c r="E815" s="71"/>
      <c r="F815" s="71"/>
    </row>
    <row r="816">
      <c r="A816" s="68"/>
      <c r="B816" s="69"/>
      <c r="C816" s="73"/>
      <c r="D816" s="71"/>
      <c r="E816" s="71"/>
      <c r="F816" s="71"/>
    </row>
    <row r="817">
      <c r="A817" s="68"/>
      <c r="B817" s="69"/>
      <c r="C817" s="73"/>
      <c r="D817" s="71"/>
      <c r="E817" s="71"/>
      <c r="F817" s="71"/>
    </row>
    <row r="818">
      <c r="A818" s="68"/>
      <c r="B818" s="69"/>
      <c r="C818" s="73"/>
      <c r="D818" s="71"/>
      <c r="E818" s="71"/>
      <c r="F818" s="71"/>
    </row>
    <row r="819">
      <c r="A819" s="68"/>
      <c r="B819" s="69"/>
      <c r="C819" s="73"/>
      <c r="D819" s="71"/>
      <c r="E819" s="71"/>
      <c r="F819" s="71"/>
    </row>
    <row r="820">
      <c r="A820" s="68"/>
      <c r="B820" s="69"/>
      <c r="C820" s="73"/>
      <c r="D820" s="71"/>
      <c r="E820" s="71"/>
      <c r="F820" s="71"/>
    </row>
    <row r="821">
      <c r="A821" s="68"/>
      <c r="B821" s="69"/>
      <c r="C821" s="73"/>
      <c r="D821" s="71"/>
      <c r="E821" s="71"/>
      <c r="F821" s="71"/>
    </row>
    <row r="822">
      <c r="A822" s="68"/>
      <c r="B822" s="69"/>
      <c r="C822" s="73"/>
      <c r="D822" s="71"/>
      <c r="E822" s="71"/>
      <c r="F822" s="71"/>
    </row>
    <row r="823">
      <c r="A823" s="68"/>
      <c r="B823" s="69"/>
      <c r="C823" s="73"/>
      <c r="D823" s="71"/>
      <c r="E823" s="71"/>
      <c r="F823" s="71"/>
    </row>
    <row r="824">
      <c r="A824" s="68"/>
      <c r="B824" s="69"/>
      <c r="C824" s="73"/>
      <c r="D824" s="71"/>
      <c r="E824" s="71"/>
      <c r="F824" s="71"/>
    </row>
    <row r="825">
      <c r="A825" s="68"/>
      <c r="B825" s="69"/>
      <c r="C825" s="73"/>
      <c r="D825" s="71"/>
      <c r="E825" s="71"/>
      <c r="F825" s="71"/>
    </row>
    <row r="826">
      <c r="A826" s="68"/>
      <c r="B826" s="69"/>
      <c r="C826" s="73"/>
      <c r="D826" s="71"/>
      <c r="E826" s="71"/>
      <c r="F826" s="71"/>
    </row>
    <row r="827">
      <c r="A827" s="68"/>
      <c r="B827" s="69"/>
      <c r="C827" s="73"/>
      <c r="D827" s="71"/>
      <c r="E827" s="71"/>
      <c r="F827" s="71"/>
    </row>
    <row r="828">
      <c r="A828" s="68"/>
      <c r="B828" s="69"/>
      <c r="C828" s="73"/>
      <c r="D828" s="71"/>
      <c r="E828" s="71"/>
      <c r="F828" s="71"/>
    </row>
    <row r="829">
      <c r="A829" s="68"/>
      <c r="B829" s="69"/>
      <c r="C829" s="73"/>
      <c r="D829" s="71"/>
      <c r="E829" s="71"/>
      <c r="F829" s="71"/>
    </row>
    <row r="830">
      <c r="A830" s="68"/>
      <c r="B830" s="69"/>
      <c r="C830" s="73"/>
      <c r="D830" s="71"/>
      <c r="E830" s="71"/>
      <c r="F830" s="71"/>
    </row>
    <row r="831">
      <c r="A831" s="68"/>
      <c r="B831" s="69"/>
      <c r="C831" s="73"/>
      <c r="D831" s="71"/>
      <c r="E831" s="71"/>
      <c r="F831" s="71"/>
    </row>
    <row r="832">
      <c r="A832" s="68"/>
      <c r="B832" s="69"/>
      <c r="C832" s="73"/>
      <c r="D832" s="71"/>
      <c r="E832" s="71"/>
      <c r="F832" s="71"/>
    </row>
    <row r="833">
      <c r="A833" s="68"/>
      <c r="B833" s="69"/>
      <c r="C833" s="73"/>
      <c r="D833" s="71"/>
      <c r="E833" s="71"/>
      <c r="F833" s="71"/>
    </row>
    <row r="834">
      <c r="A834" s="68"/>
      <c r="B834" s="69"/>
      <c r="C834" s="73"/>
      <c r="D834" s="71"/>
      <c r="E834" s="71"/>
      <c r="F834" s="71"/>
    </row>
    <row r="835">
      <c r="A835" s="68"/>
      <c r="B835" s="69"/>
      <c r="C835" s="73"/>
      <c r="D835" s="71"/>
      <c r="E835" s="71"/>
      <c r="F835" s="71"/>
    </row>
    <row r="836">
      <c r="A836" s="68"/>
      <c r="B836" s="69"/>
      <c r="C836" s="73"/>
      <c r="D836" s="71"/>
      <c r="E836" s="71"/>
      <c r="F836" s="71"/>
    </row>
    <row r="837">
      <c r="A837" s="68"/>
      <c r="B837" s="69"/>
      <c r="C837" s="73"/>
      <c r="D837" s="71"/>
      <c r="E837" s="71"/>
      <c r="F837" s="71"/>
    </row>
    <row r="838">
      <c r="A838" s="68"/>
      <c r="B838" s="69"/>
      <c r="C838" s="73"/>
      <c r="D838" s="71"/>
      <c r="E838" s="71"/>
      <c r="F838" s="71"/>
    </row>
    <row r="839">
      <c r="A839" s="68"/>
      <c r="B839" s="69"/>
      <c r="C839" s="73"/>
      <c r="D839" s="71"/>
      <c r="E839" s="71"/>
      <c r="F839" s="71"/>
    </row>
    <row r="840">
      <c r="A840" s="68"/>
      <c r="B840" s="69"/>
      <c r="C840" s="73"/>
      <c r="D840" s="71"/>
      <c r="E840" s="71"/>
      <c r="F840" s="71"/>
    </row>
    <row r="841">
      <c r="A841" s="68"/>
      <c r="B841" s="69"/>
      <c r="C841" s="73"/>
      <c r="D841" s="71"/>
      <c r="E841" s="71"/>
      <c r="F841" s="71"/>
    </row>
    <row r="842">
      <c r="A842" s="68"/>
      <c r="B842" s="69"/>
      <c r="C842" s="73"/>
      <c r="D842" s="71"/>
      <c r="E842" s="71"/>
      <c r="F842" s="71"/>
    </row>
    <row r="843">
      <c r="A843" s="68"/>
      <c r="B843" s="69"/>
      <c r="C843" s="73"/>
      <c r="D843" s="71"/>
      <c r="E843" s="71"/>
      <c r="F843" s="71"/>
    </row>
    <row r="844">
      <c r="A844" s="68"/>
      <c r="B844" s="69"/>
      <c r="C844" s="73"/>
      <c r="D844" s="71"/>
      <c r="E844" s="71"/>
      <c r="F844" s="71"/>
    </row>
    <row r="845">
      <c r="A845" s="68"/>
      <c r="B845" s="69"/>
      <c r="C845" s="73"/>
      <c r="D845" s="71"/>
      <c r="E845" s="71"/>
      <c r="F845" s="71"/>
    </row>
    <row r="846">
      <c r="A846" s="68"/>
      <c r="B846" s="69"/>
      <c r="C846" s="73"/>
      <c r="D846" s="71"/>
      <c r="E846" s="71"/>
      <c r="F846" s="71"/>
    </row>
    <row r="847">
      <c r="A847" s="68"/>
      <c r="B847" s="69"/>
      <c r="C847" s="73"/>
      <c r="D847" s="71"/>
      <c r="E847" s="71"/>
      <c r="F847" s="71"/>
    </row>
    <row r="848">
      <c r="A848" s="68"/>
      <c r="B848" s="69"/>
      <c r="C848" s="73"/>
      <c r="D848" s="71"/>
      <c r="E848" s="71"/>
      <c r="F848" s="71"/>
    </row>
    <row r="849">
      <c r="A849" s="68"/>
      <c r="B849" s="69"/>
      <c r="C849" s="73"/>
      <c r="D849" s="71"/>
      <c r="E849" s="71"/>
      <c r="F849" s="71"/>
    </row>
    <row r="850">
      <c r="A850" s="68"/>
      <c r="B850" s="69"/>
      <c r="C850" s="73"/>
      <c r="D850" s="71"/>
      <c r="E850" s="71"/>
      <c r="F850" s="71"/>
    </row>
    <row r="851">
      <c r="A851" s="68"/>
      <c r="B851" s="69"/>
      <c r="C851" s="73"/>
      <c r="D851" s="71"/>
      <c r="E851" s="71"/>
      <c r="F851" s="71"/>
    </row>
    <row r="852">
      <c r="A852" s="68"/>
      <c r="B852" s="69"/>
      <c r="C852" s="73"/>
      <c r="D852" s="71"/>
      <c r="E852" s="71"/>
      <c r="F852" s="71"/>
    </row>
    <row r="853">
      <c r="A853" s="68"/>
      <c r="B853" s="69"/>
      <c r="C853" s="73"/>
      <c r="D853" s="71"/>
      <c r="E853" s="71"/>
      <c r="F853" s="71"/>
    </row>
    <row r="854">
      <c r="A854" s="68"/>
      <c r="B854" s="69"/>
      <c r="C854" s="73"/>
      <c r="D854" s="71"/>
      <c r="E854" s="71"/>
      <c r="F854" s="71"/>
    </row>
    <row r="855">
      <c r="A855" s="68"/>
      <c r="B855" s="69"/>
      <c r="C855" s="73"/>
      <c r="D855" s="71"/>
      <c r="E855" s="71"/>
      <c r="F855" s="71"/>
    </row>
    <row r="856">
      <c r="A856" s="68"/>
      <c r="B856" s="69"/>
      <c r="C856" s="73"/>
      <c r="D856" s="71"/>
      <c r="E856" s="71"/>
      <c r="F856" s="71"/>
    </row>
    <row r="857">
      <c r="A857" s="68"/>
      <c r="B857" s="69"/>
      <c r="C857" s="73"/>
      <c r="D857" s="71"/>
      <c r="E857" s="71"/>
      <c r="F857" s="71"/>
    </row>
    <row r="858">
      <c r="A858" s="68"/>
      <c r="B858" s="69"/>
      <c r="C858" s="73"/>
      <c r="D858" s="71"/>
      <c r="E858" s="71"/>
      <c r="F858" s="71"/>
    </row>
    <row r="859">
      <c r="A859" s="68"/>
      <c r="B859" s="69"/>
      <c r="C859" s="73"/>
      <c r="D859" s="71"/>
      <c r="E859" s="71"/>
      <c r="F859" s="71"/>
    </row>
    <row r="860">
      <c r="A860" s="68"/>
      <c r="B860" s="69"/>
      <c r="C860" s="73"/>
      <c r="D860" s="71"/>
      <c r="E860" s="71"/>
      <c r="F860" s="71"/>
    </row>
    <row r="861">
      <c r="A861" s="68"/>
      <c r="B861" s="69"/>
      <c r="C861" s="73"/>
      <c r="D861" s="71"/>
      <c r="E861" s="71"/>
      <c r="F861" s="71"/>
    </row>
    <row r="862">
      <c r="A862" s="68"/>
      <c r="B862" s="69"/>
      <c r="C862" s="73"/>
      <c r="D862" s="71"/>
      <c r="E862" s="71"/>
      <c r="F862" s="71"/>
    </row>
    <row r="863">
      <c r="A863" s="68"/>
      <c r="B863" s="69"/>
      <c r="C863" s="73"/>
      <c r="D863" s="71"/>
      <c r="E863" s="71"/>
      <c r="F863" s="71"/>
    </row>
    <row r="864">
      <c r="A864" s="68"/>
      <c r="B864" s="69"/>
      <c r="C864" s="73"/>
      <c r="D864" s="71"/>
      <c r="E864" s="71"/>
      <c r="F864" s="71"/>
    </row>
    <row r="865">
      <c r="A865" s="68"/>
      <c r="B865" s="69"/>
      <c r="C865" s="73"/>
      <c r="D865" s="71"/>
      <c r="E865" s="71"/>
      <c r="F865" s="71"/>
    </row>
    <row r="866">
      <c r="A866" s="68"/>
      <c r="B866" s="69"/>
      <c r="C866" s="73"/>
      <c r="D866" s="71"/>
      <c r="E866" s="71"/>
      <c r="F866" s="71"/>
    </row>
    <row r="867">
      <c r="A867" s="68"/>
      <c r="B867" s="69"/>
      <c r="C867" s="73"/>
      <c r="D867" s="71"/>
      <c r="E867" s="71"/>
      <c r="F867" s="71"/>
    </row>
    <row r="868">
      <c r="A868" s="68"/>
      <c r="B868" s="69"/>
      <c r="C868" s="73"/>
      <c r="D868" s="71"/>
      <c r="E868" s="71"/>
      <c r="F868" s="71"/>
    </row>
    <row r="869">
      <c r="A869" s="68"/>
      <c r="B869" s="69"/>
      <c r="C869" s="73"/>
      <c r="D869" s="71"/>
      <c r="E869" s="71"/>
      <c r="F869" s="71"/>
    </row>
    <row r="870">
      <c r="A870" s="68"/>
      <c r="B870" s="69"/>
      <c r="C870" s="73"/>
      <c r="D870" s="71"/>
      <c r="E870" s="71"/>
      <c r="F870" s="71"/>
    </row>
    <row r="871">
      <c r="A871" s="68"/>
      <c r="B871" s="69"/>
      <c r="C871" s="73"/>
      <c r="D871" s="71"/>
      <c r="E871" s="71"/>
      <c r="F871" s="71"/>
    </row>
    <row r="872">
      <c r="A872" s="68"/>
      <c r="B872" s="69"/>
      <c r="C872" s="73"/>
      <c r="D872" s="71"/>
      <c r="E872" s="71"/>
      <c r="F872" s="71"/>
    </row>
    <row r="873">
      <c r="A873" s="68"/>
      <c r="B873" s="69"/>
      <c r="C873" s="73"/>
      <c r="D873" s="71"/>
      <c r="E873" s="71"/>
      <c r="F873" s="71"/>
    </row>
    <row r="874">
      <c r="A874" s="68"/>
      <c r="B874" s="69"/>
      <c r="C874" s="73"/>
      <c r="D874" s="71"/>
      <c r="E874" s="71"/>
      <c r="F874" s="71"/>
    </row>
    <row r="875">
      <c r="A875" s="68"/>
      <c r="B875" s="69"/>
      <c r="C875" s="73"/>
      <c r="D875" s="71"/>
      <c r="E875" s="71"/>
      <c r="F875" s="71"/>
    </row>
    <row r="876">
      <c r="A876" s="68"/>
      <c r="B876" s="69"/>
      <c r="C876" s="73"/>
      <c r="D876" s="71"/>
      <c r="E876" s="71"/>
      <c r="F876" s="71"/>
    </row>
    <row r="877">
      <c r="A877" s="68"/>
      <c r="B877" s="69"/>
      <c r="C877" s="73"/>
      <c r="D877" s="71"/>
      <c r="E877" s="71"/>
      <c r="F877" s="71"/>
    </row>
    <row r="878">
      <c r="A878" s="68"/>
      <c r="B878" s="69"/>
      <c r="C878" s="73"/>
      <c r="D878" s="71"/>
      <c r="E878" s="71"/>
      <c r="F878" s="71"/>
    </row>
    <row r="879">
      <c r="A879" s="68"/>
      <c r="B879" s="69"/>
      <c r="C879" s="73"/>
      <c r="D879" s="71"/>
      <c r="E879" s="71"/>
      <c r="F879" s="71"/>
    </row>
    <row r="880">
      <c r="A880" s="68"/>
      <c r="B880" s="69"/>
      <c r="C880" s="73"/>
      <c r="D880" s="71"/>
      <c r="E880" s="71"/>
      <c r="F880" s="71"/>
    </row>
    <row r="881">
      <c r="A881" s="68"/>
      <c r="B881" s="69"/>
      <c r="C881" s="73"/>
      <c r="D881" s="71"/>
      <c r="E881" s="71"/>
      <c r="F881" s="71"/>
    </row>
    <row r="882">
      <c r="A882" s="68"/>
      <c r="B882" s="69"/>
      <c r="C882" s="73"/>
      <c r="D882" s="71"/>
      <c r="E882" s="71"/>
      <c r="F882" s="71"/>
    </row>
    <row r="883">
      <c r="A883" s="68"/>
      <c r="B883" s="69"/>
      <c r="C883" s="73"/>
      <c r="D883" s="71"/>
      <c r="E883" s="71"/>
      <c r="F883" s="71"/>
    </row>
    <row r="884">
      <c r="A884" s="68"/>
      <c r="B884" s="69"/>
      <c r="C884" s="73"/>
      <c r="D884" s="71"/>
      <c r="E884" s="71"/>
      <c r="F884" s="71"/>
    </row>
    <row r="885">
      <c r="A885" s="68"/>
      <c r="B885" s="69"/>
      <c r="C885" s="73"/>
      <c r="D885" s="71"/>
      <c r="E885" s="71"/>
      <c r="F885" s="71"/>
    </row>
    <row r="886">
      <c r="A886" s="68"/>
      <c r="B886" s="69"/>
      <c r="C886" s="73"/>
      <c r="D886" s="71"/>
      <c r="E886" s="71"/>
      <c r="F886" s="71"/>
    </row>
    <row r="887">
      <c r="A887" s="68"/>
      <c r="B887" s="69"/>
      <c r="C887" s="73"/>
      <c r="D887" s="71"/>
      <c r="E887" s="71"/>
      <c r="F887" s="71"/>
    </row>
    <row r="888">
      <c r="A888" s="68"/>
      <c r="B888" s="69"/>
      <c r="C888" s="73"/>
      <c r="D888" s="71"/>
      <c r="E888" s="71"/>
      <c r="F888" s="71"/>
    </row>
    <row r="889">
      <c r="A889" s="68"/>
      <c r="B889" s="69"/>
      <c r="C889" s="73"/>
      <c r="D889" s="71"/>
      <c r="E889" s="71"/>
      <c r="F889" s="71"/>
    </row>
    <row r="890">
      <c r="A890" s="68"/>
      <c r="B890" s="69"/>
      <c r="C890" s="73"/>
      <c r="D890" s="71"/>
      <c r="E890" s="71"/>
      <c r="F890" s="71"/>
    </row>
    <row r="891">
      <c r="A891" s="68"/>
      <c r="B891" s="69"/>
      <c r="C891" s="73"/>
      <c r="D891" s="71"/>
      <c r="E891" s="71"/>
      <c r="F891" s="71"/>
    </row>
    <row r="892">
      <c r="A892" s="68"/>
      <c r="B892" s="69"/>
      <c r="C892" s="73"/>
      <c r="D892" s="71"/>
      <c r="E892" s="71"/>
      <c r="F892" s="71"/>
    </row>
    <row r="893">
      <c r="A893" s="68"/>
      <c r="B893" s="69"/>
      <c r="C893" s="73"/>
      <c r="D893" s="71"/>
      <c r="E893" s="71"/>
      <c r="F893" s="71"/>
    </row>
    <row r="894">
      <c r="A894" s="68"/>
      <c r="B894" s="69"/>
      <c r="C894" s="73"/>
      <c r="D894" s="71"/>
      <c r="E894" s="71"/>
      <c r="F894" s="71"/>
    </row>
    <row r="895">
      <c r="A895" s="68"/>
      <c r="B895" s="69"/>
      <c r="C895" s="73"/>
      <c r="D895" s="71"/>
      <c r="E895" s="71"/>
      <c r="F895" s="71"/>
    </row>
    <row r="896">
      <c r="A896" s="68"/>
      <c r="B896" s="69"/>
      <c r="C896" s="73"/>
      <c r="D896" s="71"/>
      <c r="E896" s="71"/>
      <c r="F896" s="71"/>
    </row>
    <row r="897">
      <c r="A897" s="68"/>
      <c r="B897" s="69"/>
      <c r="C897" s="73"/>
      <c r="D897" s="71"/>
      <c r="E897" s="71"/>
      <c r="F897" s="71"/>
    </row>
    <row r="898">
      <c r="A898" s="68"/>
      <c r="B898" s="69"/>
      <c r="C898" s="73"/>
      <c r="D898" s="71"/>
      <c r="E898" s="71"/>
      <c r="F898" s="71"/>
    </row>
    <row r="899">
      <c r="A899" s="68"/>
      <c r="B899" s="69"/>
      <c r="C899" s="73"/>
      <c r="D899" s="71"/>
      <c r="E899" s="71"/>
      <c r="F899" s="71"/>
    </row>
    <row r="900">
      <c r="A900" s="68"/>
      <c r="B900" s="69"/>
      <c r="C900" s="73"/>
      <c r="D900" s="71"/>
      <c r="E900" s="71"/>
      <c r="F900" s="71"/>
    </row>
    <row r="901">
      <c r="A901" s="68"/>
      <c r="B901" s="69"/>
      <c r="C901" s="73"/>
      <c r="D901" s="71"/>
      <c r="E901" s="71"/>
      <c r="F901" s="71"/>
    </row>
    <row r="902">
      <c r="A902" s="68"/>
      <c r="B902" s="69"/>
      <c r="C902" s="73"/>
      <c r="D902" s="71"/>
      <c r="E902" s="71"/>
      <c r="F902" s="71"/>
    </row>
    <row r="903">
      <c r="A903" s="68"/>
      <c r="B903" s="69"/>
      <c r="C903" s="73"/>
      <c r="D903" s="71"/>
      <c r="E903" s="71"/>
      <c r="F903" s="71"/>
    </row>
    <row r="904">
      <c r="A904" s="68"/>
      <c r="B904" s="69"/>
      <c r="C904" s="73"/>
      <c r="D904" s="71"/>
      <c r="E904" s="71"/>
      <c r="F904" s="71"/>
    </row>
    <row r="905">
      <c r="A905" s="68"/>
      <c r="B905" s="69"/>
      <c r="C905" s="73"/>
      <c r="D905" s="71"/>
      <c r="E905" s="71"/>
      <c r="F905" s="71"/>
    </row>
    <row r="906">
      <c r="A906" s="68"/>
      <c r="B906" s="69"/>
      <c r="C906" s="73"/>
      <c r="D906" s="71"/>
      <c r="E906" s="71"/>
      <c r="F906" s="71"/>
    </row>
    <row r="907">
      <c r="A907" s="68"/>
      <c r="B907" s="69"/>
      <c r="C907" s="73"/>
      <c r="D907" s="71"/>
      <c r="E907" s="71"/>
      <c r="F907" s="71"/>
    </row>
    <row r="908">
      <c r="A908" s="68"/>
      <c r="B908" s="69"/>
      <c r="C908" s="73"/>
      <c r="D908" s="71"/>
      <c r="E908" s="71"/>
      <c r="F908" s="71"/>
    </row>
    <row r="909">
      <c r="A909" s="68"/>
      <c r="B909" s="69"/>
      <c r="C909" s="73"/>
      <c r="D909" s="71"/>
      <c r="E909" s="71"/>
      <c r="F909" s="71"/>
    </row>
    <row r="910">
      <c r="A910" s="68"/>
      <c r="B910" s="69"/>
      <c r="C910" s="73"/>
      <c r="D910" s="71"/>
      <c r="E910" s="71"/>
      <c r="F910" s="71"/>
    </row>
    <row r="911">
      <c r="A911" s="68"/>
      <c r="B911" s="69"/>
      <c r="C911" s="73"/>
      <c r="D911" s="71"/>
      <c r="E911" s="71"/>
      <c r="F911" s="71"/>
    </row>
    <row r="912">
      <c r="A912" s="68"/>
      <c r="B912" s="69"/>
      <c r="C912" s="73"/>
      <c r="D912" s="71"/>
      <c r="E912" s="71"/>
      <c r="F912" s="71"/>
    </row>
    <row r="913">
      <c r="A913" s="68"/>
      <c r="B913" s="69"/>
      <c r="C913" s="73"/>
      <c r="D913" s="71"/>
      <c r="E913" s="71"/>
      <c r="F913" s="71"/>
    </row>
    <row r="914">
      <c r="A914" s="68"/>
      <c r="B914" s="69"/>
      <c r="C914" s="73"/>
      <c r="D914" s="71"/>
      <c r="E914" s="71"/>
      <c r="F914" s="71"/>
    </row>
    <row r="915">
      <c r="A915" s="68"/>
      <c r="B915" s="69"/>
      <c r="C915" s="73"/>
      <c r="D915" s="71"/>
      <c r="E915" s="71"/>
      <c r="F915" s="71"/>
    </row>
    <row r="916">
      <c r="A916" s="68"/>
      <c r="B916" s="69"/>
      <c r="C916" s="73"/>
      <c r="D916" s="71"/>
      <c r="E916" s="71"/>
      <c r="F916" s="71"/>
    </row>
    <row r="917">
      <c r="A917" s="68"/>
      <c r="B917" s="69"/>
      <c r="C917" s="73"/>
      <c r="D917" s="71"/>
      <c r="E917" s="71"/>
      <c r="F917" s="71"/>
    </row>
    <row r="918">
      <c r="A918" s="68"/>
      <c r="B918" s="69"/>
      <c r="C918" s="73"/>
      <c r="D918" s="71"/>
      <c r="E918" s="71"/>
      <c r="F918" s="71"/>
    </row>
    <row r="919">
      <c r="A919" s="68"/>
      <c r="B919" s="69"/>
      <c r="C919" s="73"/>
      <c r="D919" s="71"/>
      <c r="E919" s="71"/>
      <c r="F919" s="71"/>
    </row>
    <row r="920">
      <c r="A920" s="68"/>
      <c r="B920" s="69"/>
      <c r="C920" s="73"/>
      <c r="D920" s="71"/>
      <c r="E920" s="71"/>
      <c r="F920" s="71"/>
    </row>
    <row r="921">
      <c r="A921" s="68"/>
      <c r="B921" s="69"/>
      <c r="C921" s="73"/>
      <c r="D921" s="71"/>
      <c r="E921" s="71"/>
      <c r="F921" s="71"/>
    </row>
    <row r="922">
      <c r="A922" s="68"/>
      <c r="B922" s="69"/>
      <c r="C922" s="73"/>
      <c r="D922" s="71"/>
      <c r="E922" s="71"/>
      <c r="F922" s="71"/>
    </row>
    <row r="923">
      <c r="A923" s="68"/>
      <c r="B923" s="69"/>
      <c r="C923" s="73"/>
      <c r="D923" s="71"/>
      <c r="E923" s="71"/>
      <c r="F923" s="71"/>
    </row>
    <row r="924">
      <c r="A924" s="68"/>
      <c r="B924" s="69"/>
      <c r="C924" s="73"/>
      <c r="D924" s="71"/>
      <c r="E924" s="71"/>
      <c r="F924" s="71"/>
    </row>
    <row r="925">
      <c r="A925" s="68"/>
      <c r="B925" s="69"/>
      <c r="C925" s="73"/>
      <c r="D925" s="71"/>
      <c r="E925" s="71"/>
      <c r="F925" s="71"/>
    </row>
    <row r="926">
      <c r="A926" s="68"/>
      <c r="B926" s="69"/>
      <c r="C926" s="73"/>
      <c r="D926" s="71"/>
      <c r="E926" s="71"/>
      <c r="F926" s="71"/>
    </row>
    <row r="927">
      <c r="A927" s="68"/>
      <c r="B927" s="69"/>
      <c r="C927" s="73"/>
      <c r="D927" s="71"/>
      <c r="E927" s="71"/>
      <c r="F927" s="71"/>
    </row>
    <row r="928">
      <c r="A928" s="68"/>
      <c r="B928" s="69"/>
      <c r="C928" s="73"/>
      <c r="D928" s="71"/>
      <c r="E928" s="71"/>
      <c r="F928" s="71"/>
    </row>
    <row r="929">
      <c r="A929" s="68"/>
      <c r="B929" s="69"/>
      <c r="C929" s="73"/>
      <c r="D929" s="71"/>
      <c r="E929" s="71"/>
      <c r="F929" s="71"/>
    </row>
    <row r="930">
      <c r="A930" s="68"/>
      <c r="B930" s="69"/>
      <c r="C930" s="73"/>
      <c r="D930" s="71"/>
      <c r="E930" s="71"/>
      <c r="F930" s="71"/>
    </row>
    <row r="931">
      <c r="A931" s="68"/>
      <c r="B931" s="69"/>
      <c r="C931" s="73"/>
      <c r="D931" s="71"/>
      <c r="E931" s="71"/>
      <c r="F931" s="71"/>
    </row>
    <row r="932">
      <c r="A932" s="68"/>
      <c r="B932" s="69"/>
      <c r="C932" s="73"/>
      <c r="D932" s="71"/>
      <c r="E932" s="71"/>
      <c r="F932" s="71"/>
    </row>
    <row r="933">
      <c r="A933" s="68"/>
      <c r="B933" s="69"/>
      <c r="C933" s="73"/>
      <c r="D933" s="71"/>
      <c r="E933" s="71"/>
      <c r="F933" s="71"/>
    </row>
    <row r="934">
      <c r="A934" s="68"/>
      <c r="B934" s="69"/>
      <c r="C934" s="73"/>
      <c r="D934" s="71"/>
      <c r="E934" s="71"/>
      <c r="F934" s="71"/>
    </row>
    <row r="935">
      <c r="A935" s="68"/>
      <c r="B935" s="69"/>
      <c r="C935" s="73"/>
      <c r="D935" s="71"/>
      <c r="E935" s="71"/>
      <c r="F935" s="71"/>
    </row>
    <row r="936">
      <c r="A936" s="68"/>
      <c r="B936" s="69"/>
      <c r="C936" s="73"/>
      <c r="D936" s="71"/>
      <c r="E936" s="71"/>
      <c r="F936" s="71"/>
    </row>
    <row r="937">
      <c r="A937" s="68"/>
      <c r="B937" s="69"/>
      <c r="C937" s="73"/>
      <c r="D937" s="71"/>
      <c r="E937" s="71"/>
      <c r="F937" s="71"/>
    </row>
    <row r="938">
      <c r="A938" s="68"/>
      <c r="B938" s="69"/>
      <c r="C938" s="73"/>
      <c r="D938" s="71"/>
      <c r="E938" s="71"/>
      <c r="F938" s="71"/>
    </row>
    <row r="939">
      <c r="A939" s="68"/>
      <c r="B939" s="69"/>
      <c r="C939" s="73"/>
      <c r="D939" s="71"/>
      <c r="E939" s="71"/>
      <c r="F939" s="71"/>
    </row>
    <row r="940">
      <c r="A940" s="68"/>
      <c r="B940" s="69"/>
      <c r="C940" s="73"/>
      <c r="D940" s="71"/>
      <c r="E940" s="71"/>
      <c r="F940" s="71"/>
    </row>
    <row r="941">
      <c r="A941" s="68"/>
      <c r="B941" s="69"/>
      <c r="C941" s="73"/>
      <c r="D941" s="71"/>
      <c r="E941" s="71"/>
      <c r="F941" s="71"/>
    </row>
    <row r="942">
      <c r="A942" s="68"/>
      <c r="B942" s="69"/>
      <c r="C942" s="73"/>
      <c r="D942" s="71"/>
      <c r="E942" s="71"/>
      <c r="F942" s="71"/>
    </row>
    <row r="943">
      <c r="A943" s="68"/>
      <c r="B943" s="69"/>
      <c r="C943" s="73"/>
      <c r="D943" s="71"/>
      <c r="E943" s="71"/>
      <c r="F943" s="71"/>
    </row>
    <row r="944">
      <c r="A944" s="68"/>
      <c r="B944" s="69"/>
      <c r="C944" s="73"/>
      <c r="D944" s="71"/>
      <c r="E944" s="71"/>
      <c r="F944" s="71"/>
    </row>
    <row r="945">
      <c r="A945" s="68"/>
      <c r="B945" s="69"/>
      <c r="C945" s="73"/>
      <c r="D945" s="71"/>
      <c r="E945" s="71"/>
      <c r="F945" s="71"/>
    </row>
    <row r="946">
      <c r="A946" s="68"/>
      <c r="B946" s="69"/>
      <c r="C946" s="73"/>
      <c r="D946" s="71"/>
      <c r="E946" s="71"/>
      <c r="F946" s="71"/>
    </row>
    <row r="947">
      <c r="A947" s="68"/>
      <c r="B947" s="69"/>
      <c r="C947" s="73"/>
      <c r="D947" s="71"/>
      <c r="E947" s="71"/>
      <c r="F947" s="71"/>
    </row>
    <row r="948">
      <c r="A948" s="68"/>
      <c r="B948" s="69"/>
      <c r="C948" s="73"/>
      <c r="D948" s="71"/>
      <c r="E948" s="71"/>
      <c r="F948" s="71"/>
    </row>
    <row r="949">
      <c r="A949" s="68"/>
      <c r="B949" s="69"/>
      <c r="C949" s="73"/>
      <c r="D949" s="71"/>
      <c r="E949" s="71"/>
      <c r="F949" s="71"/>
    </row>
    <row r="950">
      <c r="A950" s="68"/>
      <c r="B950" s="69"/>
      <c r="C950" s="73"/>
      <c r="D950" s="71"/>
      <c r="E950" s="71"/>
      <c r="F950" s="71"/>
    </row>
    <row r="951">
      <c r="A951" s="68"/>
      <c r="B951" s="69"/>
      <c r="C951" s="73"/>
      <c r="D951" s="71"/>
      <c r="E951" s="71"/>
      <c r="F951" s="71"/>
    </row>
    <row r="952">
      <c r="A952" s="68"/>
      <c r="B952" s="69"/>
      <c r="C952" s="73"/>
      <c r="D952" s="71"/>
      <c r="E952" s="71"/>
      <c r="F952" s="71"/>
    </row>
    <row r="953">
      <c r="A953" s="68"/>
      <c r="B953" s="69"/>
      <c r="C953" s="73"/>
      <c r="D953" s="71"/>
      <c r="E953" s="71"/>
      <c r="F953" s="71"/>
    </row>
    <row r="954">
      <c r="A954" s="68"/>
      <c r="B954" s="69"/>
      <c r="C954" s="73"/>
      <c r="D954" s="71"/>
      <c r="E954" s="71"/>
      <c r="F954" s="71"/>
    </row>
    <row r="955">
      <c r="A955" s="68"/>
      <c r="B955" s="69"/>
      <c r="C955" s="73"/>
      <c r="D955" s="71"/>
      <c r="E955" s="71"/>
      <c r="F955" s="71"/>
    </row>
    <row r="956">
      <c r="A956" s="68"/>
      <c r="B956" s="69"/>
      <c r="C956" s="73"/>
      <c r="D956" s="71"/>
      <c r="E956" s="71"/>
      <c r="F956" s="71"/>
    </row>
    <row r="957">
      <c r="A957" s="68"/>
      <c r="B957" s="69"/>
      <c r="C957" s="73"/>
      <c r="D957" s="71"/>
      <c r="E957" s="71"/>
      <c r="F957" s="71"/>
    </row>
    <row r="958">
      <c r="A958" s="68"/>
      <c r="B958" s="69"/>
      <c r="C958" s="73"/>
      <c r="D958" s="71"/>
      <c r="E958" s="71"/>
      <c r="F958" s="71"/>
    </row>
    <row r="959">
      <c r="A959" s="68"/>
      <c r="B959" s="69"/>
      <c r="C959" s="73"/>
      <c r="D959" s="71"/>
      <c r="E959" s="71"/>
      <c r="F959" s="71"/>
    </row>
    <row r="960">
      <c r="A960" s="68"/>
      <c r="B960" s="69"/>
      <c r="C960" s="73"/>
      <c r="D960" s="71"/>
      <c r="E960" s="71"/>
      <c r="F960" s="71"/>
    </row>
    <row r="961">
      <c r="A961" s="68"/>
      <c r="B961" s="69"/>
      <c r="C961" s="73"/>
      <c r="D961" s="71"/>
      <c r="E961" s="71"/>
      <c r="F961" s="71"/>
    </row>
    <row r="962">
      <c r="A962" s="68"/>
      <c r="B962" s="69"/>
      <c r="C962" s="73"/>
      <c r="D962" s="71"/>
      <c r="E962" s="71"/>
      <c r="F962" s="71"/>
    </row>
    <row r="963">
      <c r="A963" s="68"/>
      <c r="B963" s="69"/>
      <c r="C963" s="73"/>
      <c r="D963" s="71"/>
      <c r="E963" s="71"/>
      <c r="F963" s="71"/>
    </row>
    <row r="964">
      <c r="A964" s="68"/>
      <c r="B964" s="69"/>
      <c r="C964" s="73"/>
      <c r="D964" s="71"/>
      <c r="E964" s="71"/>
      <c r="F964" s="71"/>
    </row>
    <row r="965">
      <c r="A965" s="68"/>
      <c r="B965" s="69"/>
      <c r="C965" s="73"/>
      <c r="D965" s="71"/>
      <c r="E965" s="71"/>
      <c r="F965" s="71"/>
    </row>
    <row r="966">
      <c r="A966" s="68"/>
      <c r="B966" s="69"/>
      <c r="C966" s="73"/>
      <c r="D966" s="71"/>
      <c r="E966" s="71"/>
      <c r="F966" s="71"/>
    </row>
    <row r="967">
      <c r="A967" s="68"/>
      <c r="B967" s="69"/>
      <c r="C967" s="73"/>
      <c r="D967" s="71"/>
      <c r="E967" s="71"/>
      <c r="F967" s="71"/>
    </row>
    <row r="968">
      <c r="A968" s="68"/>
      <c r="B968" s="69"/>
      <c r="C968" s="73"/>
      <c r="D968" s="71"/>
      <c r="E968" s="71"/>
      <c r="F968" s="71"/>
    </row>
    <row r="969">
      <c r="A969" s="68"/>
      <c r="B969" s="69"/>
      <c r="C969" s="73"/>
      <c r="D969" s="71"/>
      <c r="E969" s="71"/>
      <c r="F969" s="71"/>
    </row>
    <row r="970">
      <c r="A970" s="68"/>
      <c r="B970" s="69"/>
      <c r="C970" s="73"/>
      <c r="D970" s="71"/>
      <c r="E970" s="71"/>
      <c r="F970" s="71"/>
    </row>
    <row r="971">
      <c r="A971" s="68"/>
      <c r="B971" s="69"/>
      <c r="C971" s="73"/>
      <c r="D971" s="71"/>
      <c r="E971" s="71"/>
      <c r="F971" s="71"/>
    </row>
    <row r="972">
      <c r="A972" s="68"/>
      <c r="B972" s="69"/>
      <c r="C972" s="73"/>
      <c r="D972" s="71"/>
      <c r="E972" s="71"/>
      <c r="F972" s="71"/>
    </row>
    <row r="973">
      <c r="A973" s="68"/>
      <c r="B973" s="69"/>
      <c r="C973" s="73"/>
      <c r="D973" s="71"/>
      <c r="E973" s="71"/>
      <c r="F973" s="71"/>
    </row>
    <row r="974">
      <c r="A974" s="68"/>
      <c r="B974" s="69"/>
      <c r="C974" s="73"/>
      <c r="D974" s="71"/>
      <c r="E974" s="71"/>
      <c r="F974" s="71"/>
    </row>
    <row r="975">
      <c r="A975" s="68"/>
      <c r="B975" s="69"/>
      <c r="C975" s="73"/>
      <c r="D975" s="71"/>
      <c r="E975" s="71"/>
      <c r="F975" s="71"/>
    </row>
    <row r="976">
      <c r="A976" s="68"/>
      <c r="B976" s="69"/>
      <c r="C976" s="73"/>
      <c r="D976" s="71"/>
      <c r="E976" s="71"/>
      <c r="F976" s="71"/>
    </row>
    <row r="977">
      <c r="A977" s="68"/>
      <c r="B977" s="69"/>
      <c r="C977" s="73"/>
      <c r="D977" s="71"/>
      <c r="E977" s="71"/>
      <c r="F977" s="71"/>
    </row>
    <row r="978">
      <c r="A978" s="68"/>
      <c r="B978" s="69"/>
      <c r="C978" s="73"/>
      <c r="D978" s="71"/>
      <c r="E978" s="71"/>
      <c r="F978" s="71"/>
    </row>
    <row r="979">
      <c r="A979" s="68"/>
      <c r="B979" s="69"/>
      <c r="C979" s="73"/>
      <c r="D979" s="71"/>
      <c r="E979" s="71"/>
      <c r="F979" s="71"/>
    </row>
    <row r="980">
      <c r="A980" s="68"/>
      <c r="B980" s="69"/>
      <c r="C980" s="73"/>
      <c r="D980" s="71"/>
      <c r="E980" s="71"/>
      <c r="F980" s="71"/>
    </row>
    <row r="981">
      <c r="A981" s="68"/>
      <c r="B981" s="69"/>
      <c r="C981" s="73"/>
      <c r="D981" s="71"/>
      <c r="E981" s="71"/>
      <c r="F981" s="71"/>
    </row>
    <row r="982">
      <c r="A982" s="68"/>
      <c r="B982" s="69"/>
      <c r="C982" s="73"/>
      <c r="D982" s="71"/>
      <c r="E982" s="71"/>
      <c r="F982" s="71"/>
    </row>
    <row r="983">
      <c r="A983" s="68"/>
      <c r="B983" s="69"/>
      <c r="C983" s="73"/>
      <c r="D983" s="71"/>
      <c r="E983" s="71"/>
      <c r="F983" s="71"/>
    </row>
    <row r="984">
      <c r="A984" s="68"/>
      <c r="B984" s="69"/>
      <c r="C984" s="73"/>
      <c r="D984" s="71"/>
      <c r="E984" s="71"/>
      <c r="F984" s="71"/>
    </row>
    <row r="985">
      <c r="A985" s="68"/>
      <c r="B985" s="69"/>
      <c r="C985" s="73"/>
      <c r="D985" s="71"/>
      <c r="E985" s="71"/>
      <c r="F985" s="71"/>
    </row>
    <row r="986">
      <c r="A986" s="68"/>
      <c r="B986" s="69"/>
      <c r="C986" s="73"/>
      <c r="D986" s="71"/>
      <c r="E986" s="71"/>
      <c r="F986" s="71"/>
    </row>
    <row r="987">
      <c r="A987" s="68"/>
      <c r="B987" s="69"/>
      <c r="C987" s="73"/>
      <c r="D987" s="71"/>
      <c r="E987" s="71"/>
      <c r="F987" s="71"/>
    </row>
    <row r="988">
      <c r="A988" s="68"/>
      <c r="B988" s="69"/>
      <c r="C988" s="73"/>
      <c r="D988" s="71"/>
      <c r="E988" s="71"/>
      <c r="F988" s="71"/>
    </row>
    <row r="989">
      <c r="A989" s="68"/>
      <c r="B989" s="69"/>
      <c r="C989" s="73"/>
      <c r="D989" s="71"/>
      <c r="E989" s="71"/>
      <c r="F989" s="71"/>
    </row>
    <row r="990">
      <c r="A990" s="68"/>
      <c r="B990" s="69"/>
      <c r="C990" s="73"/>
      <c r="D990" s="71"/>
      <c r="E990" s="71"/>
      <c r="F990" s="71"/>
    </row>
    <row r="991">
      <c r="A991" s="68"/>
      <c r="B991" s="69"/>
      <c r="C991" s="73"/>
      <c r="D991" s="71"/>
      <c r="E991" s="71"/>
      <c r="F991" s="71"/>
    </row>
    <row r="992">
      <c r="A992" s="68"/>
      <c r="B992" s="69"/>
      <c r="C992" s="73"/>
      <c r="D992" s="71"/>
      <c r="E992" s="71"/>
      <c r="F992" s="71"/>
    </row>
    <row r="993">
      <c r="A993" s="68"/>
      <c r="B993" s="69"/>
      <c r="C993" s="73"/>
      <c r="D993" s="71"/>
      <c r="E993" s="71"/>
      <c r="F993" s="71"/>
    </row>
    <row r="994">
      <c r="A994" s="68"/>
      <c r="B994" s="69"/>
      <c r="C994" s="73"/>
      <c r="D994" s="71"/>
      <c r="E994" s="71"/>
      <c r="F994" s="71"/>
    </row>
    <row r="995">
      <c r="A995" s="68"/>
      <c r="B995" s="69"/>
      <c r="C995" s="73"/>
      <c r="D995" s="71"/>
      <c r="E995" s="71"/>
      <c r="F995" s="71"/>
    </row>
    <row r="996">
      <c r="A996" s="68"/>
      <c r="B996" s="69"/>
      <c r="C996" s="73"/>
      <c r="D996" s="71"/>
      <c r="E996" s="71"/>
      <c r="F996" s="71"/>
    </row>
    <row r="997">
      <c r="A997" s="68"/>
      <c r="B997" s="69"/>
      <c r="C997" s="73"/>
      <c r="D997" s="71"/>
      <c r="E997" s="71"/>
      <c r="F997" s="71"/>
    </row>
    <row r="998">
      <c r="A998" s="68"/>
      <c r="B998" s="69"/>
      <c r="C998" s="73"/>
      <c r="D998" s="71"/>
      <c r="E998" s="71"/>
      <c r="F998" s="71"/>
    </row>
    <row r="999">
      <c r="A999" s="68"/>
      <c r="B999" s="69"/>
      <c r="C999" s="73"/>
      <c r="D999" s="71"/>
      <c r="E999" s="71"/>
      <c r="F999" s="71"/>
    </row>
    <row r="1000">
      <c r="A1000" s="68"/>
      <c r="B1000" s="69"/>
      <c r="C1000" s="73"/>
      <c r="D1000" s="71"/>
      <c r="E1000" s="71"/>
      <c r="F1000" s="71"/>
    </row>
    <row r="1001">
      <c r="A1001" s="68"/>
      <c r="B1001" s="69"/>
      <c r="C1001" s="73"/>
      <c r="D1001" s="71"/>
      <c r="E1001" s="71"/>
      <c r="F1001" s="71"/>
    </row>
  </sheetData>
  <conditionalFormatting sqref="E3:E4">
    <cfRule type="containsBlanks" dxfId="6" priority="1">
      <formula>LEN(TRIM(E3))=0</formula>
    </cfRule>
  </conditionalFormatting>
  <conditionalFormatting sqref="E3:E4">
    <cfRule type="notContainsBlanks" dxfId="5" priority="2">
      <formula>LEN(TRIM(E3))&gt;0</formula>
    </cfRule>
  </conditionalFormatting>
  <conditionalFormatting sqref="E3:E35">
    <cfRule type="containsText" dxfId="7" priority="3" operator="containsText" text="MENSALIDADE">
      <formula>NOT(ISERROR(SEARCH(("MENSALIDADE"),(E3))))</formula>
    </cfRule>
  </conditionalFormatting>
  <conditionalFormatting sqref="E3:E24">
    <cfRule type="containsText" dxfId="8" priority="4" operator="containsText" text="CAMISETA">
      <formula>NOT(ISERROR(SEARCH(("CAMISETA"),(E3))))</formula>
    </cfRule>
  </conditionalFormatting>
  <conditionalFormatting sqref="E3:E24">
    <cfRule type="containsText" dxfId="8" priority="5" operator="containsText" text="UNIFORME">
      <formula>NOT(ISERROR(SEARCH(("UNIFORME"),(E3))))</formula>
    </cfRule>
  </conditionalFormatting>
  <conditionalFormatting sqref="E3:E24">
    <cfRule type="containsText" dxfId="8" priority="6" operator="containsText" text="CAMISA">
      <formula>NOT(ISERROR(SEARCH(("CAMISA"),(E3))))</formula>
    </cfRule>
  </conditionalFormatting>
  <conditionalFormatting sqref="E3:E24">
    <cfRule type="containsText" dxfId="8" priority="7" operator="containsText" text="MEIÃO">
      <formula>NOT(ISERROR(SEARCH(("MEIÃO"),(E3))))</formula>
    </cfRule>
  </conditionalFormatting>
  <conditionalFormatting sqref="E3:E65">
    <cfRule type="containsText" dxfId="8" priority="8" operator="containsText" text="CALÇÃO">
      <formula>NOT(ISERROR(SEARCH(("CALÇÃO"),(E3))))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9.13"/>
    <col customWidth="1" min="3" max="3" width="7.75"/>
    <col customWidth="1" min="4" max="4" width="12.88"/>
    <col customWidth="1" min="5" max="5" width="62.25"/>
    <col customWidth="1" min="7" max="7" width="17.75"/>
    <col customWidth="1" min="8" max="8" width="14.88"/>
    <col customWidth="1" min="9" max="9" width="21.13"/>
  </cols>
  <sheetData>
    <row r="1">
      <c r="A1" s="349"/>
      <c r="B1" s="350"/>
      <c r="C1" s="351"/>
      <c r="D1" s="352"/>
      <c r="E1" s="352" t="s">
        <v>996</v>
      </c>
    </row>
    <row r="2">
      <c r="A2" s="353" t="s">
        <v>2</v>
      </c>
      <c r="B2" s="354" t="s">
        <v>3</v>
      </c>
      <c r="C2" s="355" t="s">
        <v>4</v>
      </c>
      <c r="D2" s="356" t="s">
        <v>5</v>
      </c>
      <c r="E2" s="357" t="s">
        <v>6</v>
      </c>
      <c r="G2" s="30" t="s">
        <v>17</v>
      </c>
      <c r="H2" s="31" t="s">
        <v>19</v>
      </c>
      <c r="I2" s="33" t="s">
        <v>21</v>
      </c>
    </row>
    <row r="3">
      <c r="A3" s="237">
        <v>46126.0</v>
      </c>
      <c r="B3" s="238">
        <v>350.0</v>
      </c>
      <c r="C3" s="358"/>
      <c r="D3" s="240" t="s">
        <v>11</v>
      </c>
      <c r="E3" s="12" t="s">
        <v>998</v>
      </c>
      <c r="G3" s="42">
        <f t="shared" ref="G3:H3" si="1">SUM(B2:B41)</f>
        <v>4206.5</v>
      </c>
      <c r="H3" s="49">
        <f t="shared" si="1"/>
        <v>0</v>
      </c>
      <c r="I3" s="53">
        <f>G3-H3</f>
        <v>4206.5</v>
      </c>
    </row>
    <row r="4">
      <c r="A4" s="237">
        <v>46135.0</v>
      </c>
      <c r="B4" s="238">
        <v>300.0</v>
      </c>
      <c r="C4" s="244"/>
      <c r="D4" s="240" t="s">
        <v>11</v>
      </c>
      <c r="E4" s="12" t="s">
        <v>1000</v>
      </c>
    </row>
    <row r="5">
      <c r="A5" s="237">
        <v>46135.0</v>
      </c>
      <c r="B5" s="238">
        <v>140.0</v>
      </c>
      <c r="C5" s="244"/>
      <c r="D5" s="240" t="s">
        <v>51</v>
      </c>
      <c r="E5" s="12" t="s">
        <v>1001</v>
      </c>
    </row>
    <row r="6">
      <c r="A6" s="237">
        <v>46122.0</v>
      </c>
      <c r="B6" s="359">
        <v>250.0</v>
      </c>
      <c r="C6" s="244"/>
      <c r="D6" s="240" t="s">
        <v>11</v>
      </c>
      <c r="E6" s="12" t="s">
        <v>1002</v>
      </c>
    </row>
    <row r="7">
      <c r="A7" s="237">
        <v>46136.0</v>
      </c>
      <c r="B7" s="238">
        <v>250.0</v>
      </c>
      <c r="C7" s="244"/>
      <c r="D7" s="240" t="s">
        <v>11</v>
      </c>
      <c r="E7" s="12" t="s">
        <v>1003</v>
      </c>
    </row>
    <row r="8">
      <c r="A8" s="237">
        <v>46139.0</v>
      </c>
      <c r="B8" s="238">
        <v>285.0</v>
      </c>
      <c r="C8" s="244"/>
      <c r="D8" s="240" t="s">
        <v>1004</v>
      </c>
      <c r="E8" s="360" t="s">
        <v>1005</v>
      </c>
    </row>
    <row r="9">
      <c r="A9" s="237">
        <v>46140.0</v>
      </c>
      <c r="B9" s="238">
        <v>140.0</v>
      </c>
      <c r="C9" s="244"/>
      <c r="D9" s="240" t="s">
        <v>51</v>
      </c>
      <c r="E9" s="12" t="s">
        <v>1007</v>
      </c>
    </row>
    <row r="10">
      <c r="A10" s="237">
        <v>46141.0</v>
      </c>
      <c r="B10" s="238">
        <v>1334.0</v>
      </c>
      <c r="C10" s="244"/>
      <c r="D10" s="240" t="s">
        <v>258</v>
      </c>
      <c r="E10" s="12" t="s">
        <v>1008</v>
      </c>
    </row>
    <row r="11">
      <c r="A11" s="237">
        <v>46128.0</v>
      </c>
      <c r="B11" s="238">
        <v>332.5</v>
      </c>
      <c r="C11" s="358"/>
      <c r="D11" s="240" t="s">
        <v>51</v>
      </c>
      <c r="E11" s="12" t="s">
        <v>1009</v>
      </c>
    </row>
    <row r="12">
      <c r="A12" s="237">
        <v>46142.0</v>
      </c>
      <c r="B12" s="238">
        <v>475.0</v>
      </c>
      <c r="C12" s="244"/>
      <c r="D12" s="240" t="s">
        <v>307</v>
      </c>
      <c r="E12" s="12" t="s">
        <v>1010</v>
      </c>
    </row>
    <row r="13">
      <c r="A13" s="237">
        <v>46119.0</v>
      </c>
      <c r="B13" s="359">
        <v>350.0</v>
      </c>
      <c r="C13" s="244"/>
      <c r="D13" s="240" t="s">
        <v>11</v>
      </c>
      <c r="E13" s="360" t="s">
        <v>1011</v>
      </c>
    </row>
    <row r="14">
      <c r="A14" s="237"/>
      <c r="B14" s="238"/>
      <c r="C14" s="244"/>
      <c r="D14" s="240"/>
      <c r="E14" s="12"/>
    </row>
    <row r="15">
      <c r="A15" s="237"/>
      <c r="B15" s="238"/>
      <c r="C15" s="244"/>
      <c r="D15" s="240"/>
      <c r="E15" s="12"/>
    </row>
    <row r="16">
      <c r="A16" s="237"/>
      <c r="B16" s="238"/>
      <c r="C16" s="358"/>
      <c r="D16" s="240"/>
      <c r="E16" s="12"/>
    </row>
    <row r="17">
      <c r="A17" s="237"/>
      <c r="B17" s="238"/>
      <c r="C17" s="244"/>
      <c r="D17" s="240"/>
      <c r="E17" s="12"/>
    </row>
    <row r="18">
      <c r="A18" s="237"/>
      <c r="B18" s="238"/>
      <c r="C18" s="244"/>
      <c r="D18" s="240"/>
      <c r="E18" s="12"/>
    </row>
    <row r="19">
      <c r="A19" s="237"/>
      <c r="B19" s="238"/>
      <c r="C19" s="244"/>
      <c r="D19" s="240"/>
      <c r="E19" s="12"/>
    </row>
    <row r="20">
      <c r="A20" s="237"/>
      <c r="B20" s="238"/>
      <c r="C20" s="358"/>
      <c r="D20" s="240"/>
      <c r="E20" s="12"/>
    </row>
    <row r="21">
      <c r="A21" s="237"/>
      <c r="B21" s="238"/>
      <c r="C21" s="244"/>
      <c r="D21" s="240"/>
      <c r="E21" s="12"/>
    </row>
    <row r="22" ht="18.0" customHeight="1">
      <c r="A22" s="237"/>
      <c r="B22" s="238"/>
      <c r="C22" s="244"/>
      <c r="D22" s="240"/>
      <c r="E22" s="12"/>
    </row>
    <row r="23">
      <c r="A23" s="237"/>
      <c r="B23" s="238"/>
      <c r="C23" s="244"/>
      <c r="D23" s="240"/>
      <c r="E23" s="12"/>
    </row>
    <row r="24">
      <c r="A24" s="237"/>
      <c r="B24" s="238"/>
      <c r="C24" s="358"/>
      <c r="D24" s="240"/>
      <c r="E24" s="12"/>
    </row>
    <row r="25">
      <c r="A25" s="237"/>
      <c r="B25" s="238"/>
      <c r="C25" s="244"/>
      <c r="D25" s="240"/>
      <c r="E25" s="12"/>
    </row>
    <row r="26">
      <c r="A26" s="237"/>
      <c r="B26" s="238"/>
      <c r="C26" s="358"/>
      <c r="D26" s="361"/>
      <c r="E26" s="12"/>
    </row>
    <row r="27">
      <c r="A27" s="237"/>
      <c r="B27" s="238"/>
      <c r="C27" s="244"/>
      <c r="D27" s="361"/>
      <c r="E27" s="12"/>
    </row>
    <row r="28">
      <c r="A28" s="237"/>
      <c r="B28" s="238"/>
      <c r="C28" s="358"/>
      <c r="D28" s="361"/>
      <c r="E28" s="12"/>
    </row>
    <row r="29">
      <c r="A29" s="237"/>
      <c r="B29" s="238"/>
      <c r="C29" s="244"/>
      <c r="D29" s="240"/>
      <c r="E29" s="12"/>
    </row>
    <row r="30">
      <c r="A30" s="237"/>
      <c r="B30" s="238"/>
      <c r="C30" s="244"/>
      <c r="D30" s="361"/>
      <c r="E30" s="12"/>
    </row>
    <row r="31">
      <c r="A31" s="237"/>
      <c r="B31" s="238"/>
      <c r="C31" s="244"/>
      <c r="D31" s="240"/>
      <c r="E31" s="12"/>
    </row>
    <row r="32">
      <c r="A32" s="237"/>
      <c r="B32" s="238"/>
      <c r="C32" s="362"/>
      <c r="D32" s="361"/>
      <c r="E32" s="12"/>
    </row>
    <row r="33">
      <c r="A33" s="237"/>
      <c r="B33" s="238"/>
      <c r="C33" s="363"/>
      <c r="D33" s="361"/>
      <c r="E33" s="12"/>
    </row>
    <row r="34">
      <c r="A34" s="237"/>
      <c r="B34" s="364"/>
      <c r="C34" s="358"/>
      <c r="D34" s="361"/>
      <c r="E34" s="12"/>
    </row>
    <row r="35">
      <c r="A35" s="237"/>
      <c r="B35" s="238"/>
      <c r="C35" s="358"/>
      <c r="D35" s="240"/>
      <c r="E35" s="12"/>
    </row>
    <row r="36">
      <c r="A36" s="237"/>
      <c r="B36" s="238"/>
      <c r="C36" s="244"/>
      <c r="D36" s="240"/>
      <c r="E36" s="12"/>
    </row>
    <row r="37">
      <c r="A37" s="237"/>
      <c r="B37" s="238"/>
      <c r="C37" s="244"/>
      <c r="D37" s="240"/>
      <c r="E37" s="12"/>
    </row>
    <row r="38">
      <c r="A38" s="237"/>
      <c r="B38" s="238"/>
      <c r="C38" s="244"/>
      <c r="D38" s="240"/>
      <c r="E38" s="12"/>
    </row>
    <row r="39">
      <c r="A39" s="237"/>
      <c r="B39" s="238"/>
      <c r="C39" s="244"/>
      <c r="D39" s="240"/>
      <c r="E39" s="12"/>
    </row>
    <row r="40">
      <c r="A40" s="237"/>
      <c r="B40" s="238"/>
      <c r="C40" s="244"/>
      <c r="D40" s="240"/>
      <c r="E40" s="12"/>
    </row>
    <row r="41">
      <c r="A41" s="237"/>
      <c r="B41" s="364"/>
      <c r="C41" s="358"/>
      <c r="D41" s="240"/>
      <c r="E41" s="12"/>
    </row>
    <row r="42">
      <c r="A42" s="237"/>
      <c r="B42" s="364"/>
      <c r="C42" s="244"/>
      <c r="D42" s="240"/>
      <c r="E42" s="12"/>
    </row>
    <row r="43">
      <c r="A43" s="237"/>
      <c r="B43" s="364"/>
      <c r="C43" s="358"/>
      <c r="D43" s="240"/>
      <c r="E43" s="12"/>
    </row>
    <row r="44">
      <c r="A44" s="237"/>
      <c r="B44" s="364"/>
      <c r="C44" s="244"/>
      <c r="D44" s="240"/>
      <c r="E44" s="12"/>
    </row>
    <row r="45">
      <c r="A45" s="237"/>
      <c r="B45" s="238"/>
      <c r="C45" s="244"/>
      <c r="D45" s="240"/>
      <c r="E45" s="12"/>
    </row>
    <row r="46">
      <c r="A46" s="237"/>
      <c r="B46" s="238"/>
      <c r="C46" s="358"/>
      <c r="D46" s="240"/>
      <c r="E46" s="12"/>
    </row>
    <row r="47">
      <c r="A47" s="365"/>
      <c r="B47" s="238"/>
      <c r="C47" s="362"/>
      <c r="D47" s="361"/>
      <c r="E47" s="12"/>
    </row>
    <row r="48">
      <c r="A48" s="237"/>
      <c r="B48" s="238"/>
      <c r="C48" s="358"/>
      <c r="D48" s="240"/>
      <c r="E48" s="12"/>
    </row>
    <row r="49">
      <c r="A49" s="237"/>
      <c r="B49" s="366"/>
      <c r="C49" s="362"/>
      <c r="D49" s="361"/>
      <c r="E49" s="12"/>
    </row>
    <row r="50">
      <c r="A50" s="237"/>
      <c r="B50" s="238"/>
      <c r="C50" s="358"/>
      <c r="D50" s="361"/>
      <c r="E50" s="12"/>
    </row>
    <row r="51">
      <c r="A51" s="237"/>
      <c r="B51" s="359"/>
      <c r="C51" s="358"/>
      <c r="D51" s="240"/>
      <c r="E51" s="12"/>
    </row>
    <row r="52">
      <c r="A52" s="237"/>
      <c r="B52" s="238"/>
      <c r="C52" s="358"/>
      <c r="D52" s="240"/>
      <c r="E52" s="12"/>
    </row>
    <row r="53">
      <c r="A53" s="237"/>
      <c r="B53" s="238"/>
      <c r="C53" s="358"/>
      <c r="D53" s="240"/>
      <c r="E53" s="12"/>
    </row>
    <row r="54">
      <c r="A54" s="237"/>
      <c r="B54" s="359"/>
      <c r="C54" s="358"/>
      <c r="D54" s="240"/>
      <c r="E54" s="12"/>
    </row>
    <row r="55">
      <c r="A55" s="237"/>
      <c r="B55" s="238"/>
      <c r="C55" s="358"/>
      <c r="D55" s="240"/>
      <c r="E55" s="12"/>
    </row>
    <row r="56">
      <c r="A56" s="237"/>
      <c r="B56" s="238"/>
      <c r="C56" s="362"/>
      <c r="D56" s="361"/>
      <c r="E56" s="12"/>
    </row>
    <row r="57">
      <c r="A57" s="367"/>
      <c r="B57" s="368"/>
      <c r="C57" s="369"/>
      <c r="D57" s="240"/>
      <c r="E57" s="12"/>
    </row>
    <row r="58">
      <c r="A58" s="240"/>
      <c r="B58" s="368"/>
      <c r="C58" s="368"/>
      <c r="D58" s="240"/>
      <c r="E58" s="12"/>
    </row>
    <row r="59">
      <c r="A59" s="367"/>
      <c r="B59" s="368"/>
      <c r="C59" s="369"/>
      <c r="D59" s="240"/>
      <c r="E59" s="12"/>
    </row>
    <row r="60">
      <c r="A60" s="240"/>
      <c r="B60" s="370"/>
      <c r="C60" s="369"/>
      <c r="D60" s="240"/>
      <c r="E60" s="240"/>
    </row>
    <row r="61">
      <c r="A61" s="367"/>
      <c r="B61" s="370"/>
      <c r="C61" s="369"/>
      <c r="D61" s="240"/>
      <c r="E61" s="240"/>
    </row>
    <row r="62">
      <c r="A62" s="367"/>
      <c r="B62" s="368"/>
      <c r="C62" s="369"/>
      <c r="D62" s="240"/>
      <c r="E62" s="240"/>
    </row>
    <row r="63">
      <c r="A63" s="371"/>
      <c r="B63" s="368"/>
      <c r="C63" s="369"/>
      <c r="D63" s="240"/>
      <c r="E63" s="240"/>
    </row>
    <row r="64">
      <c r="A64" s="371"/>
      <c r="B64" s="368"/>
      <c r="C64" s="369"/>
      <c r="D64" s="240"/>
      <c r="E64" s="240"/>
    </row>
    <row r="65">
      <c r="A65" s="367"/>
      <c r="B65" s="368"/>
      <c r="C65" s="369"/>
      <c r="D65" s="240"/>
      <c r="E65" s="240"/>
    </row>
    <row r="66">
      <c r="A66" s="371"/>
      <c r="B66" s="368"/>
      <c r="C66" s="369"/>
      <c r="D66" s="240"/>
      <c r="E66" s="240"/>
    </row>
    <row r="67">
      <c r="A67" s="371"/>
      <c r="B67" s="368"/>
      <c r="C67" s="369"/>
      <c r="D67" s="372"/>
      <c r="E67" s="372"/>
    </row>
    <row r="68">
      <c r="A68" s="367"/>
      <c r="B68" s="368"/>
      <c r="C68" s="369"/>
      <c r="D68" s="240"/>
      <c r="E68" s="240"/>
    </row>
    <row r="69">
      <c r="A69" s="371"/>
      <c r="B69" s="368"/>
      <c r="C69" s="369"/>
      <c r="D69" s="240"/>
      <c r="E69" s="240"/>
    </row>
    <row r="70">
      <c r="A70" s="367"/>
      <c r="B70" s="368"/>
      <c r="C70" s="369"/>
      <c r="D70" s="240"/>
      <c r="E70" s="240"/>
    </row>
    <row r="71">
      <c r="A71" s="367"/>
      <c r="B71" s="368"/>
      <c r="C71" s="369"/>
      <c r="D71" s="240"/>
      <c r="E71" s="240"/>
    </row>
    <row r="72">
      <c r="A72" s="367"/>
      <c r="B72" s="373"/>
      <c r="C72" s="369"/>
      <c r="D72" s="240"/>
      <c r="E72" s="240"/>
    </row>
    <row r="73">
      <c r="A73" s="367"/>
      <c r="B73" s="368"/>
      <c r="C73" s="369"/>
      <c r="D73" s="240"/>
      <c r="E73" s="240"/>
    </row>
    <row r="74">
      <c r="A74" s="367"/>
      <c r="B74" s="368"/>
      <c r="C74" s="369"/>
      <c r="D74" s="240"/>
      <c r="E74" s="240"/>
    </row>
    <row r="75">
      <c r="A75" s="367"/>
      <c r="B75" s="368"/>
      <c r="C75" s="369"/>
      <c r="D75" s="240"/>
      <c r="E75" s="240"/>
    </row>
    <row r="76">
      <c r="A76" s="245"/>
      <c r="B76" s="368"/>
      <c r="C76" s="369"/>
      <c r="D76" s="240"/>
      <c r="E76" s="240"/>
    </row>
    <row r="77">
      <c r="A77" s="245"/>
      <c r="B77" s="368"/>
      <c r="C77" s="369"/>
      <c r="D77" s="240"/>
      <c r="E77" s="240"/>
    </row>
    <row r="78">
      <c r="A78" s="245"/>
      <c r="B78" s="368"/>
      <c r="C78" s="369"/>
      <c r="D78" s="240"/>
      <c r="E78" s="240"/>
    </row>
    <row r="79">
      <c r="A79" s="245"/>
      <c r="B79" s="368"/>
      <c r="C79" s="369"/>
      <c r="D79" s="240"/>
      <c r="E79" s="240"/>
    </row>
    <row r="80">
      <c r="A80" s="245"/>
      <c r="B80" s="368"/>
      <c r="C80" s="369"/>
      <c r="D80" s="240"/>
      <c r="E80" s="240"/>
    </row>
    <row r="81">
      <c r="A81" s="371"/>
      <c r="B81" s="368"/>
      <c r="C81" s="369"/>
      <c r="D81" s="240"/>
      <c r="E81" s="240"/>
    </row>
    <row r="82">
      <c r="A82" s="371"/>
      <c r="B82" s="368"/>
      <c r="C82" s="369"/>
      <c r="D82" s="240"/>
      <c r="E82" s="240"/>
    </row>
    <row r="83">
      <c r="A83" s="240"/>
      <c r="B83" s="368"/>
      <c r="C83" s="369"/>
      <c r="D83" s="240"/>
      <c r="E83" s="240"/>
    </row>
    <row r="84">
      <c r="A84" s="371"/>
      <c r="B84" s="374"/>
      <c r="C84" s="369"/>
      <c r="D84" s="240"/>
      <c r="E84" s="240"/>
    </row>
    <row r="85">
      <c r="A85" s="371"/>
      <c r="B85" s="368"/>
      <c r="C85" s="369"/>
      <c r="D85" s="240"/>
      <c r="E85" s="240"/>
    </row>
    <row r="86">
      <c r="A86" s="371"/>
      <c r="B86" s="368"/>
      <c r="C86" s="369"/>
      <c r="D86" s="240"/>
      <c r="E86" s="240"/>
    </row>
    <row r="87">
      <c r="A87" s="371"/>
      <c r="B87" s="368"/>
      <c r="C87" s="369"/>
      <c r="D87" s="240"/>
      <c r="E87" s="240"/>
    </row>
    <row r="88">
      <c r="A88" s="245"/>
      <c r="B88" s="369"/>
      <c r="C88" s="369"/>
      <c r="D88" s="245"/>
      <c r="E88" s="245"/>
    </row>
    <row r="89">
      <c r="A89" s="245"/>
      <c r="B89" s="369"/>
      <c r="C89" s="369"/>
      <c r="D89" s="245"/>
      <c r="E89" s="245"/>
    </row>
    <row r="90">
      <c r="A90" s="245"/>
      <c r="B90" s="369"/>
      <c r="C90" s="369"/>
      <c r="D90" s="245"/>
      <c r="E90" s="245"/>
    </row>
    <row r="91">
      <c r="A91" s="245"/>
      <c r="B91" s="369"/>
      <c r="C91" s="369"/>
      <c r="D91" s="245"/>
      <c r="E91" s="245"/>
    </row>
    <row r="92">
      <c r="A92" s="245"/>
      <c r="B92" s="369"/>
      <c r="C92" s="369"/>
      <c r="D92" s="245"/>
      <c r="E92" s="245"/>
    </row>
    <row r="93">
      <c r="A93" s="245"/>
      <c r="B93" s="369"/>
      <c r="C93" s="369"/>
      <c r="D93" s="245"/>
      <c r="E93" s="245"/>
    </row>
    <row r="94">
      <c r="A94" s="245"/>
      <c r="B94" s="369"/>
      <c r="C94" s="369"/>
      <c r="D94" s="245"/>
      <c r="E94" s="245"/>
    </row>
    <row r="95">
      <c r="B95" s="375"/>
      <c r="C95" s="376"/>
    </row>
    <row r="96">
      <c r="B96" s="375"/>
      <c r="C96" s="376"/>
    </row>
    <row r="97">
      <c r="B97" s="375"/>
      <c r="C97" s="376"/>
    </row>
    <row r="98">
      <c r="B98" s="375"/>
      <c r="C98" s="376"/>
    </row>
    <row r="99">
      <c r="B99" s="375"/>
      <c r="C99" s="376"/>
    </row>
    <row r="100">
      <c r="C100" s="376"/>
    </row>
    <row r="101">
      <c r="C101" s="376"/>
    </row>
    <row r="102">
      <c r="C102" s="376"/>
    </row>
    <row r="103">
      <c r="C103" s="376"/>
    </row>
    <row r="104">
      <c r="C104" s="376"/>
    </row>
    <row r="105">
      <c r="C105" s="376"/>
    </row>
    <row r="106">
      <c r="C106" s="376"/>
    </row>
    <row r="107">
      <c r="C107" s="376"/>
    </row>
    <row r="108">
      <c r="C108" s="376"/>
    </row>
    <row r="109">
      <c r="C109" s="376"/>
    </row>
    <row r="110">
      <c r="C110" s="376"/>
    </row>
    <row r="111">
      <c r="C111" s="376"/>
    </row>
    <row r="112">
      <c r="C112" s="376"/>
    </row>
    <row r="113">
      <c r="C113" s="376"/>
    </row>
    <row r="114">
      <c r="C114" s="376"/>
    </row>
    <row r="115">
      <c r="C115" s="376"/>
    </row>
    <row r="116">
      <c r="C116" s="376"/>
    </row>
    <row r="117">
      <c r="C117" s="376"/>
    </row>
    <row r="118">
      <c r="C118" s="376"/>
    </row>
    <row r="119">
      <c r="C119" s="376"/>
    </row>
    <row r="120">
      <c r="C120" s="376"/>
    </row>
    <row r="121">
      <c r="C121" s="376"/>
    </row>
    <row r="122">
      <c r="C122" s="376"/>
    </row>
    <row r="123">
      <c r="C123" s="376"/>
    </row>
    <row r="124">
      <c r="C124" s="376"/>
    </row>
    <row r="125">
      <c r="C125" s="376"/>
    </row>
    <row r="126">
      <c r="C126" s="376"/>
    </row>
    <row r="127">
      <c r="C127" s="376"/>
    </row>
    <row r="128">
      <c r="C128" s="376"/>
    </row>
    <row r="129">
      <c r="C129" s="376"/>
    </row>
    <row r="130">
      <c r="C130" s="376"/>
    </row>
    <row r="131">
      <c r="C131" s="376"/>
    </row>
    <row r="132">
      <c r="C132" s="376"/>
    </row>
    <row r="133">
      <c r="C133" s="376"/>
    </row>
    <row r="134">
      <c r="C134" s="376"/>
    </row>
    <row r="135">
      <c r="C135" s="376"/>
    </row>
    <row r="136">
      <c r="C136" s="376"/>
    </row>
    <row r="137">
      <c r="C137" s="376"/>
    </row>
    <row r="138">
      <c r="C138" s="376"/>
    </row>
    <row r="139">
      <c r="C139" s="376"/>
    </row>
    <row r="140">
      <c r="C140" s="376"/>
    </row>
    <row r="141">
      <c r="C141" s="376"/>
    </row>
    <row r="142">
      <c r="C142" s="376"/>
    </row>
    <row r="143">
      <c r="C143" s="376"/>
    </row>
    <row r="144">
      <c r="C144" s="376"/>
    </row>
    <row r="145">
      <c r="C145" s="376"/>
    </row>
    <row r="146">
      <c r="C146" s="376"/>
    </row>
    <row r="147">
      <c r="C147" s="376"/>
    </row>
    <row r="148">
      <c r="C148" s="376"/>
    </row>
    <row r="149">
      <c r="C149" s="376"/>
    </row>
    <row r="150">
      <c r="C150" s="376"/>
    </row>
    <row r="151">
      <c r="C151" s="376"/>
    </row>
    <row r="152">
      <c r="C152" s="376"/>
    </row>
    <row r="153">
      <c r="C153" s="376"/>
    </row>
    <row r="154">
      <c r="C154" s="376"/>
    </row>
    <row r="155">
      <c r="C155" s="376"/>
    </row>
    <row r="156">
      <c r="C156" s="376"/>
    </row>
    <row r="157">
      <c r="C157" s="376"/>
    </row>
    <row r="158">
      <c r="C158" s="376"/>
    </row>
    <row r="159">
      <c r="C159" s="376"/>
    </row>
    <row r="160">
      <c r="C160" s="376"/>
    </row>
    <row r="161">
      <c r="C161" s="376"/>
    </row>
    <row r="162">
      <c r="C162" s="376"/>
    </row>
    <row r="163">
      <c r="C163" s="376"/>
    </row>
    <row r="164">
      <c r="C164" s="376"/>
    </row>
    <row r="165">
      <c r="C165" s="376"/>
    </row>
    <row r="166">
      <c r="C166" s="376"/>
    </row>
    <row r="167">
      <c r="C167" s="376"/>
    </row>
    <row r="168">
      <c r="C168" s="376"/>
    </row>
    <row r="169">
      <c r="C169" s="376"/>
    </row>
    <row r="170">
      <c r="C170" s="376"/>
    </row>
    <row r="171">
      <c r="C171" s="376"/>
    </row>
    <row r="172">
      <c r="C172" s="376"/>
    </row>
    <row r="173">
      <c r="C173" s="376"/>
    </row>
    <row r="174">
      <c r="C174" s="376"/>
    </row>
    <row r="175">
      <c r="C175" s="376"/>
    </row>
    <row r="176">
      <c r="C176" s="376"/>
    </row>
    <row r="177">
      <c r="C177" s="376"/>
    </row>
    <row r="178">
      <c r="C178" s="376"/>
    </row>
    <row r="179">
      <c r="C179" s="376"/>
    </row>
    <row r="180">
      <c r="C180" s="376"/>
    </row>
    <row r="181">
      <c r="C181" s="376"/>
    </row>
    <row r="182">
      <c r="C182" s="376"/>
    </row>
    <row r="183">
      <c r="C183" s="376"/>
    </row>
    <row r="184">
      <c r="C184" s="376"/>
    </row>
    <row r="185">
      <c r="C185" s="376"/>
    </row>
    <row r="186">
      <c r="C186" s="376"/>
    </row>
    <row r="187">
      <c r="C187" s="376"/>
    </row>
    <row r="188">
      <c r="C188" s="376"/>
    </row>
    <row r="189">
      <c r="C189" s="376"/>
    </row>
    <row r="190">
      <c r="C190" s="376"/>
    </row>
    <row r="191">
      <c r="C191" s="376"/>
    </row>
    <row r="192">
      <c r="C192" s="376"/>
    </row>
    <row r="193">
      <c r="C193" s="376"/>
    </row>
    <row r="194">
      <c r="C194" s="376"/>
    </row>
    <row r="195">
      <c r="C195" s="376"/>
    </row>
    <row r="196">
      <c r="C196" s="376"/>
    </row>
    <row r="197">
      <c r="C197" s="376"/>
    </row>
    <row r="198">
      <c r="C198" s="376"/>
    </row>
    <row r="199">
      <c r="C199" s="376"/>
    </row>
    <row r="200">
      <c r="C200" s="376"/>
    </row>
    <row r="201">
      <c r="C201" s="376"/>
    </row>
    <row r="202">
      <c r="C202" s="376"/>
    </row>
    <row r="203">
      <c r="C203" s="376"/>
    </row>
    <row r="204">
      <c r="C204" s="376"/>
    </row>
    <row r="205">
      <c r="C205" s="376"/>
    </row>
    <row r="206">
      <c r="C206" s="376"/>
    </row>
    <row r="207">
      <c r="C207" s="376"/>
    </row>
    <row r="208">
      <c r="C208" s="376"/>
    </row>
    <row r="209">
      <c r="C209" s="376"/>
    </row>
    <row r="210">
      <c r="C210" s="376"/>
    </row>
    <row r="211">
      <c r="C211" s="376"/>
    </row>
    <row r="212">
      <c r="C212" s="376"/>
    </row>
    <row r="213">
      <c r="C213" s="376"/>
    </row>
    <row r="214">
      <c r="C214" s="376"/>
    </row>
    <row r="215">
      <c r="C215" s="376"/>
    </row>
    <row r="216">
      <c r="C216" s="376"/>
    </row>
    <row r="217">
      <c r="C217" s="376"/>
    </row>
    <row r="218">
      <c r="C218" s="376"/>
    </row>
    <row r="219">
      <c r="C219" s="376"/>
    </row>
    <row r="220">
      <c r="C220" s="376"/>
    </row>
    <row r="221">
      <c r="C221" s="376"/>
    </row>
    <row r="222">
      <c r="C222" s="376"/>
    </row>
    <row r="223">
      <c r="C223" s="376"/>
    </row>
    <row r="224">
      <c r="C224" s="376"/>
    </row>
    <row r="225">
      <c r="C225" s="376"/>
    </row>
    <row r="226">
      <c r="C226" s="376"/>
    </row>
    <row r="227">
      <c r="C227" s="376"/>
    </row>
    <row r="228">
      <c r="C228" s="376"/>
    </row>
    <row r="229">
      <c r="C229" s="376"/>
    </row>
    <row r="230">
      <c r="C230" s="376"/>
    </row>
    <row r="231">
      <c r="C231" s="376"/>
    </row>
    <row r="232">
      <c r="C232" s="376"/>
    </row>
    <row r="233">
      <c r="C233" s="376"/>
    </row>
    <row r="234">
      <c r="C234" s="376"/>
    </row>
    <row r="235">
      <c r="C235" s="376"/>
    </row>
    <row r="236">
      <c r="C236" s="376"/>
    </row>
    <row r="237">
      <c r="C237" s="376"/>
    </row>
    <row r="238">
      <c r="C238" s="376"/>
    </row>
    <row r="239">
      <c r="C239" s="376"/>
    </row>
    <row r="240">
      <c r="C240" s="376"/>
    </row>
    <row r="241">
      <c r="C241" s="376"/>
    </row>
    <row r="242">
      <c r="C242" s="376"/>
    </row>
    <row r="243">
      <c r="C243" s="376"/>
    </row>
    <row r="244">
      <c r="C244" s="376"/>
    </row>
    <row r="245">
      <c r="C245" s="376"/>
    </row>
    <row r="246">
      <c r="C246" s="376"/>
    </row>
    <row r="247">
      <c r="C247" s="376"/>
    </row>
    <row r="248">
      <c r="C248" s="376"/>
    </row>
    <row r="249">
      <c r="C249" s="376"/>
    </row>
    <row r="250">
      <c r="C250" s="376"/>
    </row>
    <row r="251">
      <c r="C251" s="376"/>
    </row>
    <row r="252">
      <c r="C252" s="376"/>
    </row>
    <row r="253">
      <c r="C253" s="376"/>
    </row>
    <row r="254">
      <c r="C254" s="376"/>
    </row>
    <row r="255">
      <c r="C255" s="376"/>
    </row>
    <row r="256">
      <c r="C256" s="376"/>
    </row>
    <row r="257">
      <c r="C257" s="376"/>
    </row>
    <row r="258">
      <c r="C258" s="376"/>
    </row>
    <row r="259">
      <c r="C259" s="376"/>
    </row>
    <row r="260">
      <c r="C260" s="376"/>
    </row>
    <row r="261">
      <c r="C261" s="376"/>
    </row>
    <row r="262">
      <c r="C262" s="376"/>
    </row>
    <row r="263">
      <c r="C263" s="376"/>
    </row>
    <row r="264">
      <c r="C264" s="376"/>
    </row>
    <row r="265">
      <c r="C265" s="376"/>
    </row>
    <row r="266">
      <c r="C266" s="376"/>
    </row>
    <row r="267">
      <c r="C267" s="376"/>
    </row>
    <row r="268">
      <c r="C268" s="376"/>
    </row>
    <row r="269">
      <c r="C269" s="376"/>
    </row>
    <row r="270">
      <c r="C270" s="376"/>
    </row>
    <row r="271" ht="30.75" customHeight="1">
      <c r="C271" s="378"/>
    </row>
    <row r="272">
      <c r="C272" s="378"/>
    </row>
    <row r="273">
      <c r="C273" s="378"/>
    </row>
    <row r="274">
      <c r="C274" s="378"/>
    </row>
    <row r="275">
      <c r="C275" s="378"/>
    </row>
    <row r="276">
      <c r="C276" s="378"/>
    </row>
    <row r="277">
      <c r="C277" s="378"/>
    </row>
    <row r="278">
      <c r="C278" s="378"/>
    </row>
    <row r="279">
      <c r="C279" s="378"/>
    </row>
    <row r="280">
      <c r="C280" s="378"/>
    </row>
    <row r="281">
      <c r="C281" s="378"/>
    </row>
    <row r="282">
      <c r="C282" s="378"/>
    </row>
    <row r="283">
      <c r="C283" s="378"/>
    </row>
    <row r="284">
      <c r="C284" s="378"/>
    </row>
    <row r="285">
      <c r="C285" s="378"/>
    </row>
    <row r="286">
      <c r="C286" s="378"/>
    </row>
    <row r="287">
      <c r="C287" s="378"/>
    </row>
    <row r="288">
      <c r="C288" s="378"/>
    </row>
    <row r="289">
      <c r="C289" s="378"/>
    </row>
    <row r="290">
      <c r="C290" s="378"/>
    </row>
    <row r="291">
      <c r="C291" s="378"/>
    </row>
    <row r="292">
      <c r="C292" s="378"/>
    </row>
    <row r="293">
      <c r="C293" s="378"/>
    </row>
    <row r="294">
      <c r="C294" s="378"/>
    </row>
    <row r="295">
      <c r="C295" s="378"/>
    </row>
    <row r="296">
      <c r="C296" s="378"/>
    </row>
    <row r="297">
      <c r="C297" s="378"/>
    </row>
    <row r="298">
      <c r="C298" s="378"/>
    </row>
    <row r="299">
      <c r="C299" s="378"/>
    </row>
    <row r="300">
      <c r="C300" s="378"/>
    </row>
    <row r="301">
      <c r="C301" s="378"/>
    </row>
    <row r="302">
      <c r="C302" s="378"/>
    </row>
    <row r="303">
      <c r="C303" s="378"/>
    </row>
    <row r="304">
      <c r="C304" s="378"/>
    </row>
    <row r="305">
      <c r="C305" s="378"/>
    </row>
    <row r="306">
      <c r="C306" s="378"/>
    </row>
    <row r="307">
      <c r="C307" s="378"/>
    </row>
    <row r="308">
      <c r="C308" s="378"/>
    </row>
    <row r="309">
      <c r="C309" s="378"/>
    </row>
    <row r="310">
      <c r="C310" s="378"/>
    </row>
    <row r="311">
      <c r="C311" s="378"/>
    </row>
    <row r="312">
      <c r="C312" s="378"/>
    </row>
    <row r="313">
      <c r="C313" s="378"/>
    </row>
    <row r="314">
      <c r="C314" s="378"/>
    </row>
    <row r="315">
      <c r="C315" s="378"/>
    </row>
    <row r="316">
      <c r="C316" s="378"/>
    </row>
    <row r="317">
      <c r="C317" s="378"/>
    </row>
    <row r="318">
      <c r="C318" s="378"/>
    </row>
    <row r="319">
      <c r="C319" s="378"/>
    </row>
    <row r="320">
      <c r="C320" s="378"/>
    </row>
    <row r="321">
      <c r="C321" s="378"/>
    </row>
    <row r="322">
      <c r="C322" s="378"/>
    </row>
    <row r="323">
      <c r="C323" s="378"/>
    </row>
    <row r="324">
      <c r="C324" s="378"/>
    </row>
    <row r="325">
      <c r="C325" s="378"/>
    </row>
    <row r="326">
      <c r="C326" s="378"/>
    </row>
    <row r="327">
      <c r="C327" s="378"/>
    </row>
    <row r="328">
      <c r="C328" s="378"/>
    </row>
    <row r="329">
      <c r="C329" s="378"/>
    </row>
    <row r="330">
      <c r="C330" s="378"/>
    </row>
    <row r="331">
      <c r="C331" s="378"/>
    </row>
    <row r="332">
      <c r="C332" s="378"/>
    </row>
    <row r="333">
      <c r="C333" s="378"/>
    </row>
    <row r="334">
      <c r="C334" s="378"/>
    </row>
    <row r="335">
      <c r="C335" s="378"/>
    </row>
    <row r="336">
      <c r="C336" s="378"/>
    </row>
    <row r="337">
      <c r="C337" s="378"/>
    </row>
    <row r="338">
      <c r="C338" s="378"/>
    </row>
    <row r="339">
      <c r="C339" s="378"/>
    </row>
    <row r="340">
      <c r="C340" s="378"/>
    </row>
    <row r="341">
      <c r="C341" s="378"/>
    </row>
    <row r="342">
      <c r="C342" s="378"/>
    </row>
    <row r="343">
      <c r="C343" s="378"/>
    </row>
    <row r="344">
      <c r="C344" s="378"/>
    </row>
    <row r="345">
      <c r="C345" s="378"/>
    </row>
    <row r="346">
      <c r="C346" s="378"/>
    </row>
    <row r="347">
      <c r="C347" s="378"/>
    </row>
    <row r="348">
      <c r="C348" s="378"/>
    </row>
    <row r="349">
      <c r="C349" s="378"/>
    </row>
    <row r="350">
      <c r="C350" s="378"/>
    </row>
    <row r="351">
      <c r="C351" s="378"/>
    </row>
    <row r="352">
      <c r="C352" s="378"/>
    </row>
    <row r="353">
      <c r="C353" s="378"/>
    </row>
    <row r="354">
      <c r="C354" s="378"/>
    </row>
    <row r="355">
      <c r="C355" s="378"/>
    </row>
    <row r="356">
      <c r="C356" s="378"/>
    </row>
    <row r="357">
      <c r="C357" s="378"/>
    </row>
    <row r="358">
      <c r="C358" s="378"/>
    </row>
    <row r="359">
      <c r="C359" s="378"/>
    </row>
    <row r="360">
      <c r="C360" s="378"/>
    </row>
    <row r="361">
      <c r="C361" s="378"/>
    </row>
    <row r="362">
      <c r="C362" s="378"/>
    </row>
    <row r="363">
      <c r="C363" s="378"/>
    </row>
    <row r="364">
      <c r="C364" s="378"/>
    </row>
    <row r="365">
      <c r="C365" s="378"/>
    </row>
    <row r="366">
      <c r="C366" s="378"/>
    </row>
    <row r="367">
      <c r="C367" s="378"/>
    </row>
    <row r="368">
      <c r="C368" s="378"/>
    </row>
    <row r="369">
      <c r="C369" s="378"/>
    </row>
    <row r="370">
      <c r="C370" s="378"/>
    </row>
    <row r="371">
      <c r="C371" s="378"/>
    </row>
    <row r="372">
      <c r="C372" s="378"/>
    </row>
    <row r="373">
      <c r="C373" s="378"/>
    </row>
    <row r="374">
      <c r="C374" s="378"/>
    </row>
    <row r="375">
      <c r="C375" s="378"/>
    </row>
    <row r="376">
      <c r="C376" s="378"/>
    </row>
    <row r="377">
      <c r="C377" s="378"/>
    </row>
    <row r="378">
      <c r="C378" s="378"/>
    </row>
    <row r="379">
      <c r="C379" s="378"/>
    </row>
    <row r="380">
      <c r="C380" s="378"/>
    </row>
    <row r="381">
      <c r="C381" s="378"/>
    </row>
    <row r="382">
      <c r="C382" s="378"/>
    </row>
    <row r="383">
      <c r="C383" s="378"/>
    </row>
    <row r="384">
      <c r="C384" s="378"/>
    </row>
    <row r="385">
      <c r="C385" s="378"/>
    </row>
    <row r="386">
      <c r="C386" s="378"/>
    </row>
    <row r="387">
      <c r="C387" s="378"/>
    </row>
    <row r="388">
      <c r="C388" s="378"/>
    </row>
    <row r="389">
      <c r="C389" s="378"/>
    </row>
    <row r="390">
      <c r="C390" s="378"/>
    </row>
    <row r="391">
      <c r="C391" s="378"/>
    </row>
    <row r="392">
      <c r="C392" s="378"/>
    </row>
    <row r="393">
      <c r="C393" s="378"/>
    </row>
    <row r="394">
      <c r="C394" s="378"/>
    </row>
    <row r="395">
      <c r="C395" s="378"/>
    </row>
    <row r="396">
      <c r="C396" s="378"/>
    </row>
    <row r="397">
      <c r="C397" s="378"/>
    </row>
    <row r="398">
      <c r="C398" s="378"/>
    </row>
    <row r="399">
      <c r="C399" s="378"/>
    </row>
    <row r="400">
      <c r="C400" s="378"/>
    </row>
    <row r="401">
      <c r="C401" s="378"/>
    </row>
    <row r="402">
      <c r="C402" s="378"/>
    </row>
    <row r="403">
      <c r="C403" s="378"/>
    </row>
    <row r="404">
      <c r="C404" s="378"/>
    </row>
    <row r="405">
      <c r="C405" s="378"/>
    </row>
    <row r="406">
      <c r="C406" s="378"/>
    </row>
    <row r="407">
      <c r="C407" s="378"/>
    </row>
    <row r="408">
      <c r="C408" s="378"/>
    </row>
    <row r="409">
      <c r="C409" s="378"/>
    </row>
    <row r="410">
      <c r="C410" s="378"/>
    </row>
    <row r="411">
      <c r="C411" s="378"/>
    </row>
    <row r="412">
      <c r="C412" s="378"/>
    </row>
    <row r="413">
      <c r="C413" s="378"/>
    </row>
    <row r="414">
      <c r="C414" s="378"/>
    </row>
    <row r="415">
      <c r="C415" s="378"/>
    </row>
    <row r="416">
      <c r="C416" s="378"/>
    </row>
    <row r="417">
      <c r="C417" s="378"/>
    </row>
    <row r="418">
      <c r="C418" s="378"/>
    </row>
    <row r="419">
      <c r="C419" s="378"/>
    </row>
    <row r="420">
      <c r="C420" s="378"/>
    </row>
    <row r="421">
      <c r="C421" s="378"/>
    </row>
    <row r="422">
      <c r="C422" s="378"/>
    </row>
    <row r="423">
      <c r="C423" s="378"/>
    </row>
    <row r="424">
      <c r="C424" s="378"/>
    </row>
    <row r="425">
      <c r="C425" s="378"/>
    </row>
    <row r="426">
      <c r="C426" s="378"/>
    </row>
    <row r="427">
      <c r="C427" s="378"/>
    </row>
    <row r="428">
      <c r="C428" s="378"/>
    </row>
    <row r="429">
      <c r="C429" s="378"/>
    </row>
    <row r="430">
      <c r="C430" s="378"/>
    </row>
    <row r="431">
      <c r="C431" s="378"/>
    </row>
    <row r="432">
      <c r="C432" s="378"/>
    </row>
    <row r="433">
      <c r="C433" s="378"/>
    </row>
    <row r="434">
      <c r="C434" s="378"/>
    </row>
    <row r="435">
      <c r="C435" s="378"/>
    </row>
    <row r="436">
      <c r="C436" s="378"/>
    </row>
    <row r="437">
      <c r="C437" s="378"/>
    </row>
    <row r="438">
      <c r="C438" s="378"/>
    </row>
    <row r="439">
      <c r="C439" s="378"/>
    </row>
    <row r="440">
      <c r="C440" s="378"/>
    </row>
    <row r="441">
      <c r="C441" s="378"/>
    </row>
    <row r="442">
      <c r="C442" s="378"/>
    </row>
    <row r="443">
      <c r="C443" s="378"/>
    </row>
    <row r="444">
      <c r="C444" s="378"/>
    </row>
    <row r="445">
      <c r="C445" s="378"/>
    </row>
    <row r="446">
      <c r="C446" s="378"/>
    </row>
    <row r="447">
      <c r="C447" s="378"/>
    </row>
    <row r="448">
      <c r="C448" s="378"/>
    </row>
    <row r="449">
      <c r="C449" s="378"/>
    </row>
    <row r="450">
      <c r="C450" s="378"/>
    </row>
    <row r="451">
      <c r="C451" s="378"/>
    </row>
    <row r="452">
      <c r="C452" s="378"/>
    </row>
    <row r="453">
      <c r="C453" s="378"/>
    </row>
    <row r="454">
      <c r="C454" s="378"/>
    </row>
    <row r="455">
      <c r="C455" s="378"/>
    </row>
    <row r="456">
      <c r="C456" s="378"/>
    </row>
    <row r="457">
      <c r="C457" s="378"/>
    </row>
    <row r="458">
      <c r="C458" s="378"/>
    </row>
    <row r="459">
      <c r="C459" s="378"/>
    </row>
    <row r="460">
      <c r="C460" s="378"/>
    </row>
    <row r="461">
      <c r="C461" s="378"/>
    </row>
    <row r="462">
      <c r="C462" s="378"/>
    </row>
    <row r="463">
      <c r="C463" s="378"/>
    </row>
    <row r="464">
      <c r="C464" s="378"/>
    </row>
    <row r="465">
      <c r="C465" s="378"/>
    </row>
    <row r="466">
      <c r="C466" s="378"/>
    </row>
    <row r="467">
      <c r="C467" s="378"/>
    </row>
    <row r="468">
      <c r="C468" s="378"/>
    </row>
    <row r="469">
      <c r="C469" s="378"/>
    </row>
    <row r="470">
      <c r="C470" s="378"/>
    </row>
    <row r="471">
      <c r="C471" s="378"/>
    </row>
    <row r="472">
      <c r="C472" s="378"/>
    </row>
    <row r="473">
      <c r="C473" s="378"/>
    </row>
    <row r="474">
      <c r="C474" s="378"/>
    </row>
    <row r="475">
      <c r="C475" s="378"/>
    </row>
    <row r="476">
      <c r="C476" s="378"/>
    </row>
    <row r="477">
      <c r="C477" s="378"/>
    </row>
    <row r="478">
      <c r="C478" s="378"/>
    </row>
    <row r="479">
      <c r="C479" s="378"/>
    </row>
    <row r="480">
      <c r="C480" s="378"/>
    </row>
    <row r="481">
      <c r="C481" s="378"/>
    </row>
    <row r="482">
      <c r="C482" s="378"/>
    </row>
    <row r="483">
      <c r="C483" s="378"/>
    </row>
    <row r="484">
      <c r="C484" s="378"/>
    </row>
    <row r="485">
      <c r="C485" s="378"/>
    </row>
    <row r="486">
      <c r="C486" s="378"/>
    </row>
    <row r="487">
      <c r="C487" s="378"/>
    </row>
    <row r="488">
      <c r="C488" s="378"/>
    </row>
    <row r="489">
      <c r="C489" s="378"/>
    </row>
    <row r="490">
      <c r="C490" s="378"/>
    </row>
    <row r="491">
      <c r="C491" s="378"/>
    </row>
    <row r="492">
      <c r="C492" s="378"/>
    </row>
    <row r="493">
      <c r="C493" s="378"/>
    </row>
    <row r="494">
      <c r="C494" s="378"/>
    </row>
    <row r="495">
      <c r="C495" s="378"/>
    </row>
    <row r="496">
      <c r="C496" s="378"/>
    </row>
    <row r="497">
      <c r="C497" s="378"/>
    </row>
    <row r="498">
      <c r="C498" s="378"/>
    </row>
    <row r="499">
      <c r="C499" s="378"/>
    </row>
    <row r="500">
      <c r="C500" s="378"/>
    </row>
    <row r="501">
      <c r="C501" s="378"/>
    </row>
    <row r="502">
      <c r="C502" s="378"/>
    </row>
    <row r="503">
      <c r="C503" s="378"/>
    </row>
    <row r="504">
      <c r="C504" s="378"/>
    </row>
    <row r="505">
      <c r="C505" s="378"/>
    </row>
    <row r="506">
      <c r="C506" s="378"/>
    </row>
    <row r="507">
      <c r="C507" s="378"/>
    </row>
    <row r="508">
      <c r="C508" s="378"/>
    </row>
    <row r="509">
      <c r="C509" s="378"/>
    </row>
    <row r="510">
      <c r="C510" s="378"/>
    </row>
    <row r="511">
      <c r="C511" s="378"/>
    </row>
    <row r="512">
      <c r="C512" s="378"/>
    </row>
    <row r="513">
      <c r="C513" s="378"/>
    </row>
    <row r="514">
      <c r="C514" s="378"/>
    </row>
    <row r="515">
      <c r="C515" s="378"/>
    </row>
    <row r="516">
      <c r="C516" s="378"/>
    </row>
    <row r="517">
      <c r="C517" s="378"/>
    </row>
    <row r="518">
      <c r="C518" s="378"/>
    </row>
    <row r="519">
      <c r="C519" s="378"/>
    </row>
    <row r="520">
      <c r="C520" s="378"/>
    </row>
    <row r="521">
      <c r="C521" s="378"/>
    </row>
    <row r="522">
      <c r="C522" s="378"/>
    </row>
    <row r="523">
      <c r="C523" s="378"/>
    </row>
    <row r="524">
      <c r="C524" s="378"/>
    </row>
    <row r="525">
      <c r="C525" s="378"/>
    </row>
    <row r="526">
      <c r="C526" s="378"/>
    </row>
    <row r="527">
      <c r="C527" s="378"/>
    </row>
    <row r="528">
      <c r="C528" s="378"/>
    </row>
    <row r="529">
      <c r="C529" s="378"/>
    </row>
    <row r="530">
      <c r="C530" s="378"/>
    </row>
    <row r="531">
      <c r="C531" s="378"/>
    </row>
    <row r="532">
      <c r="C532" s="378"/>
    </row>
    <row r="533">
      <c r="C533" s="378"/>
    </row>
    <row r="534">
      <c r="C534" s="378"/>
    </row>
    <row r="535">
      <c r="C535" s="378"/>
    </row>
    <row r="536">
      <c r="C536" s="378"/>
    </row>
    <row r="537">
      <c r="C537" s="378"/>
    </row>
    <row r="538">
      <c r="C538" s="378"/>
    </row>
    <row r="539">
      <c r="C539" s="378"/>
    </row>
    <row r="540">
      <c r="C540" s="378"/>
    </row>
    <row r="541">
      <c r="C541" s="378"/>
    </row>
    <row r="542">
      <c r="C542" s="378"/>
    </row>
    <row r="543">
      <c r="C543" s="378"/>
    </row>
    <row r="544">
      <c r="C544" s="378"/>
    </row>
    <row r="545">
      <c r="C545" s="378"/>
    </row>
    <row r="546">
      <c r="C546" s="378"/>
    </row>
    <row r="547">
      <c r="C547" s="378"/>
    </row>
    <row r="548">
      <c r="C548" s="378"/>
    </row>
    <row r="549">
      <c r="C549" s="378"/>
    </row>
    <row r="550">
      <c r="C550" s="378"/>
    </row>
    <row r="551">
      <c r="C551" s="378"/>
    </row>
    <row r="552">
      <c r="C552" s="378"/>
    </row>
    <row r="553">
      <c r="C553" s="378"/>
    </row>
    <row r="554">
      <c r="C554" s="378"/>
    </row>
    <row r="555">
      <c r="C555" s="378"/>
    </row>
    <row r="556">
      <c r="C556" s="378"/>
    </row>
    <row r="557">
      <c r="C557" s="378"/>
    </row>
    <row r="558">
      <c r="C558" s="378"/>
    </row>
    <row r="559">
      <c r="C559" s="378"/>
    </row>
    <row r="560">
      <c r="C560" s="378"/>
    </row>
    <row r="561">
      <c r="C561" s="378"/>
    </row>
    <row r="562">
      <c r="C562" s="378"/>
    </row>
    <row r="563">
      <c r="C563" s="378"/>
    </row>
    <row r="564">
      <c r="C564" s="378"/>
    </row>
    <row r="565">
      <c r="C565" s="378"/>
    </row>
    <row r="566">
      <c r="C566" s="378"/>
    </row>
    <row r="567">
      <c r="C567" s="378"/>
    </row>
    <row r="568">
      <c r="C568" s="378"/>
    </row>
    <row r="569">
      <c r="C569" s="378"/>
    </row>
    <row r="570">
      <c r="C570" s="378"/>
    </row>
    <row r="571">
      <c r="C571" s="378"/>
    </row>
    <row r="572">
      <c r="C572" s="378"/>
    </row>
    <row r="573">
      <c r="C573" s="378"/>
    </row>
    <row r="574">
      <c r="C574" s="378"/>
    </row>
    <row r="575">
      <c r="C575" s="378"/>
    </row>
    <row r="576">
      <c r="C576" s="378"/>
    </row>
    <row r="577">
      <c r="C577" s="378"/>
    </row>
    <row r="578">
      <c r="C578" s="378"/>
    </row>
    <row r="579">
      <c r="C579" s="378"/>
    </row>
    <row r="580">
      <c r="C580" s="378"/>
    </row>
    <row r="581">
      <c r="C581" s="378"/>
    </row>
    <row r="582">
      <c r="C582" s="378"/>
    </row>
    <row r="583">
      <c r="C583" s="378"/>
    </row>
    <row r="584">
      <c r="C584" s="378"/>
    </row>
    <row r="585">
      <c r="C585" s="378"/>
    </row>
    <row r="586">
      <c r="C586" s="378"/>
    </row>
    <row r="587">
      <c r="C587" s="378"/>
    </row>
    <row r="588">
      <c r="C588" s="378"/>
    </row>
    <row r="589">
      <c r="C589" s="378"/>
    </row>
    <row r="590">
      <c r="C590" s="378"/>
    </row>
    <row r="591">
      <c r="C591" s="378"/>
    </row>
    <row r="592">
      <c r="C592" s="378"/>
    </row>
    <row r="593">
      <c r="C593" s="378"/>
    </row>
    <row r="594">
      <c r="C594" s="378"/>
    </row>
    <row r="595">
      <c r="C595" s="378"/>
    </row>
    <row r="596">
      <c r="C596" s="378"/>
    </row>
    <row r="597">
      <c r="C597" s="378"/>
    </row>
    <row r="598">
      <c r="C598" s="378"/>
    </row>
    <row r="599">
      <c r="C599" s="378"/>
    </row>
    <row r="600">
      <c r="C600" s="378"/>
    </row>
    <row r="601">
      <c r="C601" s="378"/>
    </row>
    <row r="602">
      <c r="C602" s="378"/>
    </row>
    <row r="603">
      <c r="C603" s="378"/>
    </row>
    <row r="604">
      <c r="C604" s="378"/>
    </row>
    <row r="605">
      <c r="C605" s="378"/>
    </row>
    <row r="606">
      <c r="C606" s="378"/>
    </row>
    <row r="607">
      <c r="C607" s="378"/>
    </row>
    <row r="608">
      <c r="C608" s="378"/>
    </row>
    <row r="609">
      <c r="C609" s="378"/>
    </row>
    <row r="610">
      <c r="C610" s="378"/>
    </row>
    <row r="611">
      <c r="C611" s="378"/>
    </row>
    <row r="612">
      <c r="C612" s="378"/>
    </row>
    <row r="613">
      <c r="C613" s="378"/>
    </row>
    <row r="614">
      <c r="C614" s="378"/>
    </row>
    <row r="615">
      <c r="C615" s="378"/>
    </row>
    <row r="616">
      <c r="C616" s="378"/>
    </row>
    <row r="617">
      <c r="C617" s="378"/>
    </row>
    <row r="618">
      <c r="C618" s="378"/>
    </row>
    <row r="619">
      <c r="C619" s="378"/>
    </row>
    <row r="620">
      <c r="C620" s="378"/>
    </row>
    <row r="621">
      <c r="C621" s="378"/>
    </row>
    <row r="622">
      <c r="C622" s="378"/>
    </row>
    <row r="623">
      <c r="C623" s="378"/>
    </row>
    <row r="624">
      <c r="C624" s="378"/>
    </row>
    <row r="625">
      <c r="C625" s="378"/>
    </row>
    <row r="626">
      <c r="C626" s="378"/>
    </row>
    <row r="627">
      <c r="C627" s="378"/>
    </row>
    <row r="628">
      <c r="C628" s="378"/>
    </row>
    <row r="629">
      <c r="C629" s="378"/>
    </row>
    <row r="630">
      <c r="C630" s="378"/>
    </row>
    <row r="631">
      <c r="C631" s="378"/>
    </row>
    <row r="632">
      <c r="C632" s="378"/>
    </row>
    <row r="633">
      <c r="C633" s="378"/>
    </row>
    <row r="634">
      <c r="C634" s="378"/>
    </row>
    <row r="635">
      <c r="C635" s="378"/>
    </row>
    <row r="636">
      <c r="C636" s="378"/>
    </row>
    <row r="637">
      <c r="C637" s="378"/>
    </row>
    <row r="638">
      <c r="C638" s="378"/>
    </row>
    <row r="639">
      <c r="C639" s="378"/>
    </row>
    <row r="640">
      <c r="C640" s="378"/>
    </row>
    <row r="641">
      <c r="C641" s="378"/>
    </row>
    <row r="642">
      <c r="C642" s="378"/>
    </row>
    <row r="643">
      <c r="C643" s="378"/>
    </row>
    <row r="644">
      <c r="C644" s="378"/>
    </row>
    <row r="645">
      <c r="C645" s="378"/>
    </row>
    <row r="646">
      <c r="C646" s="378"/>
    </row>
    <row r="647">
      <c r="C647" s="378"/>
    </row>
    <row r="648">
      <c r="C648" s="378"/>
    </row>
    <row r="649">
      <c r="C649" s="378"/>
    </row>
    <row r="650">
      <c r="C650" s="378"/>
    </row>
    <row r="651">
      <c r="C651" s="378"/>
    </row>
    <row r="652">
      <c r="C652" s="378"/>
    </row>
    <row r="653">
      <c r="C653" s="378"/>
    </row>
    <row r="654">
      <c r="C654" s="378"/>
    </row>
    <row r="655">
      <c r="C655" s="378"/>
    </row>
    <row r="656">
      <c r="C656" s="378"/>
    </row>
    <row r="657">
      <c r="C657" s="378"/>
    </row>
    <row r="658">
      <c r="C658" s="378"/>
    </row>
    <row r="659">
      <c r="C659" s="378"/>
    </row>
    <row r="660">
      <c r="C660" s="378"/>
    </row>
    <row r="661">
      <c r="C661" s="378"/>
    </row>
    <row r="662">
      <c r="C662" s="378"/>
    </row>
    <row r="663">
      <c r="C663" s="378"/>
    </row>
    <row r="664">
      <c r="C664" s="378"/>
    </row>
    <row r="665">
      <c r="C665" s="378"/>
    </row>
    <row r="666">
      <c r="C666" s="378"/>
    </row>
    <row r="667">
      <c r="C667" s="378"/>
    </row>
    <row r="668">
      <c r="C668" s="378"/>
    </row>
    <row r="669">
      <c r="C669" s="378"/>
    </row>
    <row r="670">
      <c r="C670" s="378"/>
    </row>
    <row r="671">
      <c r="C671" s="378"/>
    </row>
    <row r="672">
      <c r="C672" s="378"/>
    </row>
    <row r="673">
      <c r="C673" s="378"/>
    </row>
    <row r="674">
      <c r="C674" s="378"/>
    </row>
    <row r="675">
      <c r="C675" s="378"/>
    </row>
    <row r="676">
      <c r="C676" s="378"/>
    </row>
    <row r="677">
      <c r="C677" s="378"/>
    </row>
    <row r="678">
      <c r="C678" s="378"/>
    </row>
    <row r="679">
      <c r="C679" s="378"/>
    </row>
    <row r="680">
      <c r="C680" s="378"/>
    </row>
    <row r="681">
      <c r="C681" s="378"/>
    </row>
    <row r="682">
      <c r="C682" s="378"/>
    </row>
    <row r="683">
      <c r="C683" s="378"/>
    </row>
    <row r="684">
      <c r="C684" s="378"/>
    </row>
    <row r="685">
      <c r="C685" s="378"/>
    </row>
    <row r="686">
      <c r="C686" s="378"/>
    </row>
    <row r="687">
      <c r="C687" s="378"/>
    </row>
    <row r="688">
      <c r="C688" s="378"/>
    </row>
    <row r="689">
      <c r="C689" s="378"/>
    </row>
    <row r="690">
      <c r="C690" s="378"/>
    </row>
    <row r="691">
      <c r="C691" s="378"/>
    </row>
    <row r="692">
      <c r="C692" s="378"/>
    </row>
    <row r="693">
      <c r="C693" s="378"/>
    </row>
    <row r="694">
      <c r="C694" s="378"/>
    </row>
    <row r="695">
      <c r="C695" s="378"/>
    </row>
    <row r="696">
      <c r="C696" s="378"/>
    </row>
    <row r="697">
      <c r="C697" s="378"/>
    </row>
    <row r="698">
      <c r="C698" s="378"/>
    </row>
    <row r="699">
      <c r="C699" s="378"/>
    </row>
    <row r="700">
      <c r="C700" s="378"/>
    </row>
    <row r="701">
      <c r="C701" s="378"/>
    </row>
    <row r="702">
      <c r="C702" s="378"/>
    </row>
    <row r="703">
      <c r="C703" s="378"/>
    </row>
    <row r="704">
      <c r="C704" s="378"/>
    </row>
    <row r="705">
      <c r="C705" s="378"/>
    </row>
    <row r="706">
      <c r="C706" s="378"/>
    </row>
    <row r="707">
      <c r="C707" s="378"/>
    </row>
    <row r="708">
      <c r="C708" s="378"/>
    </row>
    <row r="709">
      <c r="C709" s="378"/>
    </row>
    <row r="710">
      <c r="C710" s="378"/>
    </row>
    <row r="711">
      <c r="C711" s="378"/>
    </row>
    <row r="712">
      <c r="C712" s="378"/>
    </row>
    <row r="713">
      <c r="C713" s="378"/>
    </row>
    <row r="714">
      <c r="C714" s="378"/>
    </row>
    <row r="715">
      <c r="C715" s="378"/>
    </row>
    <row r="716">
      <c r="C716" s="378"/>
    </row>
    <row r="717">
      <c r="C717" s="378"/>
    </row>
    <row r="718">
      <c r="C718" s="378"/>
    </row>
    <row r="719">
      <c r="C719" s="378"/>
    </row>
    <row r="720">
      <c r="C720" s="378"/>
    </row>
    <row r="721">
      <c r="C721" s="378"/>
    </row>
    <row r="722">
      <c r="C722" s="378"/>
    </row>
    <row r="723">
      <c r="C723" s="378"/>
    </row>
    <row r="724">
      <c r="C724" s="378"/>
    </row>
    <row r="725">
      <c r="C725" s="378"/>
    </row>
    <row r="726">
      <c r="C726" s="378"/>
    </row>
    <row r="727">
      <c r="C727" s="378"/>
    </row>
    <row r="728">
      <c r="C728" s="378"/>
    </row>
    <row r="729">
      <c r="C729" s="378"/>
    </row>
    <row r="730">
      <c r="C730" s="378"/>
    </row>
    <row r="731">
      <c r="C731" s="378"/>
    </row>
    <row r="732">
      <c r="C732" s="378"/>
    </row>
    <row r="733">
      <c r="C733" s="378"/>
    </row>
    <row r="734">
      <c r="C734" s="378"/>
    </row>
    <row r="735">
      <c r="C735" s="378"/>
    </row>
    <row r="736">
      <c r="C736" s="378"/>
    </row>
    <row r="737">
      <c r="C737" s="378"/>
    </row>
    <row r="738">
      <c r="C738" s="378"/>
    </row>
    <row r="739">
      <c r="C739" s="378"/>
    </row>
    <row r="740">
      <c r="C740" s="378"/>
    </row>
    <row r="741">
      <c r="C741" s="378"/>
    </row>
    <row r="742">
      <c r="C742" s="378"/>
    </row>
    <row r="743">
      <c r="C743" s="378"/>
    </row>
    <row r="744">
      <c r="C744" s="378"/>
    </row>
    <row r="745">
      <c r="C745" s="378"/>
    </row>
    <row r="746">
      <c r="C746" s="378"/>
    </row>
    <row r="747">
      <c r="C747" s="378"/>
    </row>
    <row r="748">
      <c r="C748" s="378"/>
    </row>
    <row r="749">
      <c r="C749" s="378"/>
    </row>
    <row r="750">
      <c r="C750" s="378"/>
    </row>
    <row r="751">
      <c r="C751" s="378"/>
    </row>
    <row r="752">
      <c r="C752" s="378"/>
    </row>
    <row r="753">
      <c r="C753" s="378"/>
    </row>
    <row r="754">
      <c r="C754" s="378"/>
    </row>
    <row r="755">
      <c r="C755" s="378"/>
    </row>
    <row r="756">
      <c r="C756" s="378"/>
    </row>
    <row r="757">
      <c r="C757" s="378"/>
    </row>
    <row r="758">
      <c r="C758" s="378"/>
    </row>
    <row r="759">
      <c r="C759" s="378"/>
    </row>
    <row r="760">
      <c r="C760" s="378"/>
    </row>
    <row r="761">
      <c r="C761" s="378"/>
    </row>
    <row r="762">
      <c r="C762" s="378"/>
    </row>
    <row r="763">
      <c r="C763" s="378"/>
    </row>
    <row r="764">
      <c r="C764" s="378"/>
    </row>
    <row r="765">
      <c r="C765" s="378"/>
    </row>
    <row r="766">
      <c r="C766" s="378"/>
    </row>
    <row r="767">
      <c r="C767" s="378"/>
    </row>
    <row r="768">
      <c r="C768" s="378"/>
    </row>
    <row r="769">
      <c r="C769" s="378"/>
    </row>
    <row r="770">
      <c r="C770" s="378"/>
    </row>
    <row r="771">
      <c r="C771" s="378"/>
    </row>
    <row r="772">
      <c r="C772" s="378"/>
    </row>
    <row r="773">
      <c r="C773" s="378"/>
    </row>
    <row r="774">
      <c r="C774" s="378"/>
    </row>
    <row r="775">
      <c r="C775" s="378"/>
    </row>
    <row r="776">
      <c r="C776" s="378"/>
    </row>
    <row r="777">
      <c r="C777" s="378"/>
    </row>
    <row r="778">
      <c r="C778" s="378"/>
    </row>
    <row r="779">
      <c r="C779" s="378"/>
    </row>
    <row r="780">
      <c r="C780" s="378"/>
    </row>
    <row r="781">
      <c r="C781" s="378"/>
    </row>
    <row r="782">
      <c r="C782" s="378"/>
    </row>
    <row r="783">
      <c r="C783" s="378"/>
    </row>
    <row r="784">
      <c r="C784" s="378"/>
    </row>
    <row r="785">
      <c r="C785" s="378"/>
    </row>
    <row r="786">
      <c r="C786" s="378"/>
    </row>
    <row r="787">
      <c r="C787" s="378"/>
    </row>
    <row r="788">
      <c r="C788" s="378"/>
    </row>
    <row r="789">
      <c r="C789" s="378"/>
    </row>
    <row r="790">
      <c r="C790" s="378"/>
    </row>
    <row r="791">
      <c r="C791" s="378"/>
    </row>
    <row r="792">
      <c r="C792" s="378"/>
    </row>
    <row r="793">
      <c r="C793" s="378"/>
    </row>
    <row r="794">
      <c r="C794" s="378"/>
    </row>
    <row r="795">
      <c r="C795" s="378"/>
    </row>
    <row r="796">
      <c r="C796" s="378"/>
    </row>
    <row r="797">
      <c r="C797" s="378"/>
    </row>
    <row r="798">
      <c r="C798" s="378"/>
    </row>
    <row r="799">
      <c r="C799" s="378"/>
    </row>
    <row r="800">
      <c r="C800" s="378"/>
    </row>
    <row r="801">
      <c r="C801" s="378"/>
    </row>
    <row r="802">
      <c r="C802" s="378"/>
    </row>
    <row r="803">
      <c r="C803" s="378"/>
    </row>
    <row r="804">
      <c r="C804" s="378"/>
    </row>
    <row r="805">
      <c r="C805" s="378"/>
    </row>
    <row r="806">
      <c r="C806" s="378"/>
    </row>
    <row r="807">
      <c r="C807" s="378"/>
    </row>
    <row r="808">
      <c r="C808" s="378"/>
    </row>
    <row r="809">
      <c r="C809" s="378"/>
    </row>
    <row r="810">
      <c r="C810" s="378"/>
    </row>
    <row r="811">
      <c r="C811" s="378"/>
    </row>
    <row r="812">
      <c r="C812" s="378"/>
    </row>
    <row r="813">
      <c r="C813" s="378"/>
    </row>
    <row r="814">
      <c r="C814" s="378"/>
    </row>
    <row r="815">
      <c r="C815" s="378"/>
    </row>
    <row r="816">
      <c r="C816" s="378"/>
    </row>
    <row r="817">
      <c r="C817" s="378"/>
    </row>
    <row r="818">
      <c r="C818" s="378"/>
    </row>
    <row r="819">
      <c r="C819" s="378"/>
    </row>
    <row r="820">
      <c r="C820" s="378"/>
    </row>
    <row r="821">
      <c r="C821" s="378"/>
    </row>
    <row r="822">
      <c r="C822" s="378"/>
    </row>
    <row r="823">
      <c r="C823" s="378"/>
    </row>
    <row r="824">
      <c r="C824" s="378"/>
    </row>
    <row r="825">
      <c r="C825" s="378"/>
    </row>
    <row r="826">
      <c r="C826" s="378"/>
    </row>
    <row r="827">
      <c r="C827" s="378"/>
    </row>
    <row r="828">
      <c r="C828" s="378"/>
    </row>
    <row r="829">
      <c r="C829" s="378"/>
    </row>
    <row r="830">
      <c r="C830" s="378"/>
    </row>
    <row r="831">
      <c r="C831" s="378"/>
    </row>
    <row r="832">
      <c r="C832" s="378"/>
    </row>
    <row r="833">
      <c r="C833" s="378"/>
    </row>
    <row r="834">
      <c r="C834" s="378"/>
    </row>
    <row r="835">
      <c r="C835" s="378"/>
    </row>
    <row r="836">
      <c r="C836" s="378"/>
    </row>
    <row r="837">
      <c r="C837" s="378"/>
    </row>
    <row r="838">
      <c r="C838" s="378"/>
    </row>
    <row r="839">
      <c r="C839" s="378"/>
    </row>
    <row r="840">
      <c r="C840" s="378"/>
    </row>
    <row r="841">
      <c r="C841" s="378"/>
    </row>
    <row r="842">
      <c r="C842" s="378"/>
    </row>
    <row r="843">
      <c r="C843" s="378"/>
    </row>
    <row r="844">
      <c r="C844" s="378"/>
    </row>
    <row r="845">
      <c r="C845" s="378"/>
    </row>
    <row r="846">
      <c r="C846" s="378"/>
    </row>
    <row r="847">
      <c r="C847" s="378"/>
    </row>
    <row r="848">
      <c r="C848" s="378"/>
    </row>
    <row r="849">
      <c r="C849" s="378"/>
    </row>
    <row r="850">
      <c r="C850" s="378"/>
    </row>
    <row r="851">
      <c r="C851" s="378"/>
    </row>
    <row r="852">
      <c r="C852" s="378"/>
    </row>
    <row r="853">
      <c r="C853" s="378"/>
    </row>
    <row r="854">
      <c r="C854" s="378"/>
    </row>
    <row r="855">
      <c r="C855" s="378"/>
    </row>
    <row r="856">
      <c r="C856" s="378"/>
    </row>
    <row r="857">
      <c r="C857" s="378"/>
    </row>
    <row r="858">
      <c r="C858" s="378"/>
    </row>
    <row r="859">
      <c r="C859" s="378"/>
    </row>
    <row r="860">
      <c r="C860" s="378"/>
    </row>
    <row r="861">
      <c r="C861" s="378"/>
    </row>
    <row r="862">
      <c r="C862" s="378"/>
    </row>
    <row r="863">
      <c r="C863" s="378"/>
    </row>
    <row r="864">
      <c r="C864" s="378"/>
    </row>
    <row r="865">
      <c r="C865" s="378"/>
    </row>
    <row r="866">
      <c r="C866" s="378"/>
    </row>
    <row r="867">
      <c r="C867" s="378"/>
    </row>
    <row r="868">
      <c r="C868" s="378"/>
    </row>
    <row r="869">
      <c r="C869" s="378"/>
    </row>
    <row r="870">
      <c r="C870" s="378"/>
    </row>
    <row r="871">
      <c r="C871" s="378"/>
    </row>
    <row r="872">
      <c r="C872" s="378"/>
    </row>
    <row r="873">
      <c r="C873" s="378"/>
    </row>
    <row r="874">
      <c r="C874" s="378"/>
    </row>
    <row r="875">
      <c r="C875" s="378"/>
    </row>
    <row r="876">
      <c r="C876" s="378"/>
    </row>
    <row r="877">
      <c r="C877" s="378"/>
    </row>
    <row r="878">
      <c r="C878" s="378"/>
    </row>
    <row r="879">
      <c r="C879" s="378"/>
    </row>
    <row r="880">
      <c r="C880" s="378"/>
    </row>
    <row r="881">
      <c r="C881" s="378"/>
    </row>
    <row r="882">
      <c r="C882" s="378"/>
    </row>
    <row r="883">
      <c r="C883" s="378"/>
    </row>
    <row r="884">
      <c r="C884" s="378"/>
    </row>
    <row r="885">
      <c r="C885" s="378"/>
    </row>
    <row r="886">
      <c r="C886" s="378"/>
    </row>
    <row r="887">
      <c r="C887" s="378"/>
    </row>
    <row r="888">
      <c r="C888" s="378"/>
    </row>
    <row r="889">
      <c r="C889" s="378"/>
    </row>
    <row r="890">
      <c r="C890" s="378"/>
    </row>
    <row r="891">
      <c r="C891" s="378"/>
    </row>
    <row r="892">
      <c r="C892" s="378"/>
    </row>
    <row r="893">
      <c r="C893" s="378"/>
    </row>
    <row r="894">
      <c r="C894" s="378"/>
    </row>
    <row r="895">
      <c r="C895" s="378"/>
    </row>
    <row r="896">
      <c r="C896" s="378"/>
    </row>
    <row r="897">
      <c r="C897" s="378"/>
    </row>
    <row r="898">
      <c r="C898" s="378"/>
    </row>
    <row r="899">
      <c r="C899" s="378"/>
    </row>
    <row r="900">
      <c r="C900" s="378"/>
    </row>
    <row r="901">
      <c r="C901" s="378"/>
    </row>
    <row r="902">
      <c r="C902" s="378"/>
    </row>
    <row r="903">
      <c r="C903" s="378"/>
    </row>
    <row r="904">
      <c r="C904" s="378"/>
    </row>
    <row r="905">
      <c r="C905" s="378"/>
    </row>
    <row r="906">
      <c r="C906" s="378"/>
    </row>
    <row r="907">
      <c r="C907" s="378"/>
    </row>
    <row r="908">
      <c r="C908" s="378"/>
    </row>
    <row r="909">
      <c r="C909" s="378"/>
    </row>
    <row r="910">
      <c r="C910" s="378"/>
    </row>
    <row r="911">
      <c r="C911" s="378"/>
    </row>
    <row r="912">
      <c r="C912" s="378"/>
    </row>
    <row r="913">
      <c r="C913" s="378"/>
    </row>
    <row r="914">
      <c r="C914" s="378"/>
    </row>
    <row r="915">
      <c r="C915" s="378"/>
    </row>
    <row r="916">
      <c r="C916" s="378"/>
    </row>
    <row r="917">
      <c r="C917" s="378"/>
    </row>
    <row r="918">
      <c r="C918" s="378"/>
    </row>
    <row r="919">
      <c r="C919" s="378"/>
    </row>
    <row r="920">
      <c r="C920" s="378"/>
    </row>
    <row r="921">
      <c r="C921" s="378"/>
    </row>
    <row r="922">
      <c r="C922" s="378"/>
    </row>
    <row r="923">
      <c r="C923" s="378"/>
    </row>
    <row r="924">
      <c r="C924" s="378"/>
    </row>
    <row r="925">
      <c r="C925" s="378"/>
    </row>
    <row r="926">
      <c r="C926" s="378"/>
    </row>
    <row r="927">
      <c r="C927" s="378"/>
    </row>
    <row r="928">
      <c r="C928" s="378"/>
    </row>
    <row r="929">
      <c r="C929" s="378"/>
    </row>
    <row r="930">
      <c r="C930" s="378"/>
    </row>
    <row r="931">
      <c r="C931" s="378"/>
    </row>
    <row r="932">
      <c r="C932" s="378"/>
    </row>
    <row r="933">
      <c r="C933" s="378"/>
    </row>
    <row r="934">
      <c r="C934" s="378"/>
    </row>
    <row r="935">
      <c r="C935" s="378"/>
    </row>
    <row r="936">
      <c r="C936" s="378"/>
    </row>
    <row r="937">
      <c r="C937" s="378"/>
    </row>
    <row r="938">
      <c r="C938" s="378"/>
    </row>
    <row r="939">
      <c r="C939" s="378"/>
    </row>
    <row r="940">
      <c r="C940" s="378"/>
    </row>
    <row r="941">
      <c r="C941" s="378"/>
    </row>
    <row r="942">
      <c r="C942" s="378"/>
    </row>
    <row r="943">
      <c r="C943" s="378"/>
    </row>
    <row r="944">
      <c r="C944" s="378"/>
    </row>
    <row r="945">
      <c r="C945" s="378"/>
    </row>
    <row r="946">
      <c r="C946" s="378"/>
    </row>
    <row r="947">
      <c r="C947" s="378"/>
    </row>
    <row r="948">
      <c r="C948" s="378"/>
    </row>
    <row r="949">
      <c r="C949" s="378"/>
    </row>
    <row r="950">
      <c r="C950" s="378"/>
    </row>
    <row r="951">
      <c r="C951" s="378"/>
    </row>
    <row r="952">
      <c r="C952" s="378"/>
    </row>
    <row r="953">
      <c r="C953" s="378"/>
    </row>
    <row r="954">
      <c r="C954" s="378"/>
    </row>
    <row r="955">
      <c r="C955" s="378"/>
    </row>
    <row r="956">
      <c r="C956" s="378"/>
    </row>
    <row r="957">
      <c r="C957" s="378"/>
    </row>
    <row r="958">
      <c r="C958" s="378"/>
    </row>
    <row r="959">
      <c r="C959" s="378"/>
    </row>
    <row r="960">
      <c r="C960" s="378"/>
    </row>
    <row r="961">
      <c r="C961" s="378"/>
    </row>
    <row r="962">
      <c r="C962" s="378"/>
    </row>
    <row r="963">
      <c r="C963" s="378"/>
    </row>
    <row r="964">
      <c r="C964" s="378"/>
    </row>
    <row r="965">
      <c r="C965" s="378"/>
    </row>
    <row r="966">
      <c r="C966" s="378"/>
    </row>
    <row r="967">
      <c r="C967" s="378"/>
    </row>
    <row r="968">
      <c r="C968" s="378"/>
    </row>
    <row r="969">
      <c r="C969" s="378"/>
    </row>
    <row r="970">
      <c r="C970" s="378"/>
    </row>
    <row r="971">
      <c r="C971" s="378"/>
    </row>
    <row r="972">
      <c r="C972" s="378"/>
    </row>
    <row r="973">
      <c r="C973" s="378"/>
    </row>
    <row r="974">
      <c r="C974" s="378"/>
    </row>
    <row r="975">
      <c r="C975" s="378"/>
    </row>
    <row r="976">
      <c r="C976" s="378"/>
    </row>
    <row r="977">
      <c r="C977" s="378"/>
    </row>
    <row r="978">
      <c r="C978" s="378"/>
    </row>
    <row r="979">
      <c r="C979" s="378"/>
    </row>
    <row r="980">
      <c r="C980" s="378"/>
    </row>
    <row r="981">
      <c r="C981" s="378"/>
    </row>
    <row r="982">
      <c r="C982" s="378"/>
    </row>
    <row r="983">
      <c r="C983" s="378"/>
    </row>
    <row r="984">
      <c r="C984" s="378"/>
    </row>
    <row r="985">
      <c r="C985" s="378"/>
    </row>
    <row r="986">
      <c r="C986" s="378"/>
    </row>
    <row r="987">
      <c r="C987" s="378"/>
    </row>
    <row r="988">
      <c r="C988" s="378"/>
    </row>
    <row r="989">
      <c r="C989" s="378"/>
    </row>
    <row r="990">
      <c r="C990" s="378"/>
    </row>
    <row r="991">
      <c r="C991" s="378"/>
    </row>
    <row r="992">
      <c r="C992" s="378"/>
    </row>
    <row r="993">
      <c r="C993" s="378"/>
    </row>
    <row r="994">
      <c r="C994" s="378"/>
    </row>
    <row r="995">
      <c r="C995" s="378"/>
    </row>
    <row r="996">
      <c r="C996" s="378"/>
    </row>
    <row r="997">
      <c r="C997" s="378"/>
    </row>
    <row r="998">
      <c r="C998" s="378"/>
    </row>
    <row r="999">
      <c r="C999" s="378"/>
    </row>
    <row r="1000">
      <c r="C1000" s="378"/>
    </row>
    <row r="1001">
      <c r="C1001" s="378"/>
    </row>
    <row r="1002">
      <c r="C1002" s="378"/>
    </row>
    <row r="1003">
      <c r="C1003" s="378"/>
    </row>
    <row r="1004">
      <c r="C1004" s="378"/>
    </row>
    <row r="1005">
      <c r="C1005" s="378"/>
    </row>
    <row r="1006">
      <c r="C1006" s="378"/>
    </row>
    <row r="1007">
      <c r="C1007" s="378"/>
    </row>
    <row r="1008">
      <c r="C1008" s="378"/>
    </row>
    <row r="1009">
      <c r="C1009" s="378"/>
    </row>
    <row r="1010">
      <c r="C1010" s="378"/>
    </row>
    <row r="1011">
      <c r="C1011" s="378"/>
    </row>
    <row r="1012">
      <c r="C1012" s="378"/>
    </row>
    <row r="1013">
      <c r="C1013" s="378"/>
    </row>
    <row r="1014">
      <c r="C1014" s="378"/>
    </row>
    <row r="1015">
      <c r="C1015" s="378"/>
    </row>
    <row r="1016">
      <c r="C1016" s="378"/>
    </row>
    <row r="1017">
      <c r="C1017" s="378"/>
    </row>
    <row r="1018">
      <c r="C1018" s="378"/>
    </row>
    <row r="1019">
      <c r="C1019" s="378"/>
    </row>
    <row r="1020">
      <c r="C1020" s="378"/>
    </row>
    <row r="1021">
      <c r="C1021" s="378"/>
    </row>
  </sheetData>
  <conditionalFormatting sqref="E3:E59">
    <cfRule type="containsText" dxfId="7" priority="1" operator="containsText" text="MENSALIDADE">
      <formula>NOT(ISERROR(SEARCH(("MENSALIDADE"),(E3))))</formula>
    </cfRule>
  </conditionalFormatting>
  <conditionalFormatting sqref="E3:E59">
    <cfRule type="containsText" dxfId="8" priority="2" operator="containsText" text="UNIFORME">
      <formula>NOT(ISERROR(SEARCH(("UNIFORME"),(E3))))</formula>
    </cfRule>
  </conditionalFormatting>
  <conditionalFormatting sqref="E3:E59">
    <cfRule type="containsText" dxfId="8" priority="3" operator="containsText" text="CALÇÃO">
      <formula>NOT(ISERROR(SEARCH(("CALÇÃO"),(E3))))</formula>
    </cfRule>
  </conditionalFormatting>
  <conditionalFormatting sqref="E3:E59">
    <cfRule type="containsText" dxfId="8" priority="4" operator="containsText" text="CAMISA">
      <formula>NOT(ISERROR(SEARCH(("CAMISA"),(E3))))</formula>
    </cfRule>
  </conditionalFormatting>
  <conditionalFormatting sqref="E3:E59">
    <cfRule type="containsText" dxfId="8" priority="5" operator="containsText" text="MEIÃO">
      <formula>NOT(ISERROR(SEARCH(("MEIÃO"),(E3))))</formula>
    </cfRule>
  </conditionalFormatting>
  <conditionalFormatting sqref="E3:E80">
    <cfRule type="containsText" dxfId="8" priority="6" operator="containsText" text="CAMISETA">
      <formula>NOT(ISERROR(SEARCH(("CAMISETA"),(E3))))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13"/>
    <col customWidth="1" min="3" max="3" width="7.75"/>
    <col customWidth="1" min="4" max="4" width="11.0"/>
    <col customWidth="1" min="5" max="5" width="74.5"/>
    <col customWidth="1" min="7" max="7" width="17.75"/>
    <col customWidth="1" min="8" max="8" width="14.88"/>
    <col customWidth="1" min="9" max="9" width="21.13"/>
  </cols>
  <sheetData>
    <row r="1">
      <c r="A1" s="349"/>
      <c r="B1" s="350"/>
      <c r="C1" s="351"/>
      <c r="D1" s="352"/>
      <c r="E1" s="352" t="s">
        <v>1035</v>
      </c>
    </row>
    <row r="2">
      <c r="A2" s="383" t="s">
        <v>2</v>
      </c>
      <c r="B2" s="384" t="s">
        <v>3</v>
      </c>
      <c r="C2" s="355" t="s">
        <v>4</v>
      </c>
      <c r="D2" s="356" t="s">
        <v>5</v>
      </c>
      <c r="E2" s="357" t="s">
        <v>6</v>
      </c>
      <c r="G2" s="30" t="s">
        <v>17</v>
      </c>
      <c r="H2" s="31" t="s">
        <v>19</v>
      </c>
      <c r="I2" s="33" t="s">
        <v>21</v>
      </c>
    </row>
    <row r="3">
      <c r="A3" s="367">
        <v>46090.0</v>
      </c>
      <c r="B3" s="387">
        <v>350.0</v>
      </c>
      <c r="C3" s="358"/>
      <c r="D3" s="240" t="s">
        <v>11</v>
      </c>
      <c r="E3" s="12" t="s">
        <v>1040</v>
      </c>
      <c r="G3" s="42">
        <f>SUM(B2:B90)</f>
        <v>4080</v>
      </c>
      <c r="H3" s="49">
        <f>SUM(C2:C51)</f>
        <v>0</v>
      </c>
      <c r="I3" s="53">
        <f>G3-H3</f>
        <v>4080</v>
      </c>
    </row>
    <row r="4">
      <c r="A4" s="367">
        <v>46090.0</v>
      </c>
      <c r="B4" s="387">
        <v>350.0</v>
      </c>
      <c r="C4" s="358"/>
      <c r="D4" s="240" t="s">
        <v>11</v>
      </c>
      <c r="E4" s="12" t="s">
        <v>1043</v>
      </c>
    </row>
    <row r="5">
      <c r="A5" s="367">
        <v>46084.0</v>
      </c>
      <c r="B5" s="387">
        <v>450.0</v>
      </c>
      <c r="C5" s="244"/>
      <c r="D5" s="240" t="s">
        <v>11</v>
      </c>
      <c r="E5" s="12" t="s">
        <v>1048</v>
      </c>
    </row>
    <row r="6">
      <c r="A6" s="367">
        <v>46084.0</v>
      </c>
      <c r="B6" s="389">
        <v>180.0</v>
      </c>
      <c r="C6" s="358"/>
      <c r="D6" s="240" t="s">
        <v>11</v>
      </c>
      <c r="E6" s="12" t="s">
        <v>1050</v>
      </c>
    </row>
    <row r="7">
      <c r="A7" s="371">
        <v>46091.0</v>
      </c>
      <c r="B7" s="387" t="s">
        <v>1051</v>
      </c>
      <c r="C7" s="244" t="s">
        <v>1052</v>
      </c>
      <c r="D7" s="240" t="s">
        <v>1054</v>
      </c>
      <c r="E7" s="12" t="s">
        <v>1056</v>
      </c>
      <c r="F7" s="82" t="s">
        <v>1057</v>
      </c>
    </row>
    <row r="8">
      <c r="A8" s="367">
        <v>46091.0</v>
      </c>
      <c r="B8" s="387">
        <v>250.0</v>
      </c>
      <c r="C8" s="244"/>
      <c r="D8" s="240" t="s">
        <v>1059</v>
      </c>
      <c r="E8" s="12" t="s">
        <v>1060</v>
      </c>
    </row>
    <row r="9">
      <c r="A9" s="367">
        <v>46091.0</v>
      </c>
      <c r="B9" s="387">
        <v>250.0</v>
      </c>
      <c r="C9" s="244"/>
      <c r="D9" s="240" t="s">
        <v>1059</v>
      </c>
      <c r="E9" s="12" t="s">
        <v>1061</v>
      </c>
    </row>
    <row r="10">
      <c r="A10" s="367">
        <v>46097.0</v>
      </c>
      <c r="B10" s="387">
        <v>250.0</v>
      </c>
      <c r="C10" s="244"/>
      <c r="D10" s="240" t="s">
        <v>1059</v>
      </c>
      <c r="E10" s="12" t="s">
        <v>1062</v>
      </c>
    </row>
    <row r="11">
      <c r="A11" s="367">
        <v>46105.0</v>
      </c>
      <c r="B11" s="387">
        <v>500.0</v>
      </c>
      <c r="C11" s="358"/>
      <c r="D11" s="240" t="s">
        <v>1063</v>
      </c>
      <c r="E11" s="12" t="s">
        <v>1064</v>
      </c>
    </row>
    <row r="12">
      <c r="A12" s="367">
        <v>46108.0</v>
      </c>
      <c r="B12" s="387">
        <v>350.0</v>
      </c>
      <c r="C12" s="244"/>
      <c r="D12" s="240" t="s">
        <v>1059</v>
      </c>
      <c r="E12" s="12" t="s">
        <v>1065</v>
      </c>
    </row>
    <row r="13">
      <c r="A13" s="367">
        <v>46093.0</v>
      </c>
      <c r="B13" s="389">
        <v>350.0</v>
      </c>
      <c r="C13" s="244"/>
      <c r="D13" s="240" t="s">
        <v>1059</v>
      </c>
      <c r="E13" s="12" t="s">
        <v>1067</v>
      </c>
    </row>
    <row r="14">
      <c r="A14" s="367">
        <v>46098.0</v>
      </c>
      <c r="B14" s="387">
        <v>250.0</v>
      </c>
      <c r="C14" s="244"/>
      <c r="D14" s="240" t="s">
        <v>1059</v>
      </c>
      <c r="E14" s="12" t="s">
        <v>1068</v>
      </c>
    </row>
    <row r="15">
      <c r="A15" s="367">
        <v>46118.0</v>
      </c>
      <c r="B15" s="387">
        <v>250.0</v>
      </c>
      <c r="C15" s="244"/>
      <c r="D15" s="240" t="s">
        <v>1069</v>
      </c>
      <c r="E15" s="12" t="s">
        <v>1060</v>
      </c>
    </row>
    <row r="16">
      <c r="A16" s="367">
        <v>46125.0</v>
      </c>
      <c r="B16" s="387">
        <v>300.0</v>
      </c>
      <c r="C16" s="358"/>
      <c r="D16" s="240"/>
      <c r="E16" s="12"/>
    </row>
    <row r="17">
      <c r="A17" s="367"/>
      <c r="B17" s="387"/>
      <c r="C17" s="244"/>
      <c r="D17" s="240"/>
      <c r="E17" s="12"/>
    </row>
    <row r="18">
      <c r="A18" s="367"/>
      <c r="B18" s="387"/>
      <c r="C18" s="244"/>
      <c r="D18" s="240"/>
      <c r="E18" s="12"/>
    </row>
    <row r="19">
      <c r="A19" s="367"/>
      <c r="B19" s="387"/>
      <c r="C19" s="244"/>
      <c r="D19" s="240"/>
      <c r="E19" s="12"/>
    </row>
    <row r="20">
      <c r="A20" s="367"/>
      <c r="B20" s="387"/>
      <c r="C20" s="358"/>
      <c r="D20" s="240"/>
      <c r="E20" s="12"/>
    </row>
    <row r="21">
      <c r="A21" s="367"/>
      <c r="B21" s="387"/>
      <c r="C21" s="244"/>
      <c r="D21" s="240"/>
      <c r="E21" s="12"/>
    </row>
    <row r="22" ht="18.0" customHeight="1">
      <c r="A22" s="367"/>
      <c r="B22" s="387"/>
      <c r="C22" s="244"/>
      <c r="D22" s="240"/>
      <c r="E22" s="12"/>
    </row>
    <row r="23">
      <c r="A23" s="367"/>
      <c r="B23" s="387"/>
      <c r="C23" s="244"/>
      <c r="D23" s="240"/>
      <c r="E23" s="12"/>
    </row>
    <row r="24">
      <c r="A24" s="367"/>
      <c r="B24" s="387"/>
      <c r="C24" s="358"/>
      <c r="D24" s="240"/>
      <c r="E24" s="12"/>
      <c r="H24" s="390" t="s">
        <v>1071</v>
      </c>
    </row>
    <row r="25">
      <c r="A25" s="367"/>
      <c r="B25" s="387"/>
      <c r="C25" s="244"/>
      <c r="D25" s="240"/>
      <c r="E25" s="12"/>
    </row>
    <row r="26">
      <c r="A26" s="367"/>
      <c r="B26" s="387"/>
      <c r="C26" s="244"/>
      <c r="D26" s="240"/>
      <c r="E26" s="12"/>
    </row>
    <row r="27">
      <c r="A27" s="367"/>
      <c r="B27" s="387"/>
      <c r="C27" s="244"/>
      <c r="D27" s="240"/>
      <c r="E27" s="12"/>
    </row>
    <row r="28">
      <c r="A28" s="367"/>
      <c r="B28" s="387"/>
      <c r="C28" s="358"/>
      <c r="D28" s="240"/>
      <c r="E28" s="12"/>
    </row>
    <row r="29">
      <c r="A29" s="367"/>
      <c r="B29" s="387"/>
      <c r="C29" s="244"/>
      <c r="D29" s="240"/>
      <c r="E29" s="12"/>
    </row>
    <row r="30">
      <c r="A30" s="367"/>
      <c r="B30" s="387"/>
      <c r="C30" s="244"/>
      <c r="D30" s="240"/>
      <c r="E30" s="12"/>
    </row>
    <row r="31">
      <c r="A31" s="367"/>
      <c r="B31" s="387"/>
      <c r="C31" s="244"/>
      <c r="D31" s="240"/>
      <c r="E31" s="12"/>
    </row>
    <row r="32">
      <c r="A32" s="367"/>
      <c r="B32" s="387"/>
      <c r="C32" s="362"/>
      <c r="D32" s="240"/>
      <c r="E32" s="12"/>
    </row>
    <row r="33">
      <c r="A33" s="367"/>
      <c r="B33" s="387"/>
      <c r="C33" s="363"/>
      <c r="D33" s="240"/>
      <c r="E33" s="12"/>
    </row>
    <row r="34">
      <c r="A34" s="367"/>
      <c r="B34" s="391"/>
      <c r="C34" s="358"/>
      <c r="D34" s="240"/>
      <c r="E34" s="12"/>
    </row>
    <row r="35">
      <c r="A35" s="367"/>
      <c r="B35" s="387"/>
      <c r="C35" s="358"/>
      <c r="D35" s="240"/>
      <c r="E35" s="12"/>
    </row>
    <row r="36">
      <c r="A36" s="367"/>
      <c r="B36" s="387"/>
      <c r="C36" s="244"/>
      <c r="D36" s="240"/>
      <c r="E36" s="12"/>
    </row>
    <row r="37">
      <c r="A37" s="367"/>
      <c r="B37" s="387"/>
      <c r="C37" s="244"/>
      <c r="D37" s="240"/>
      <c r="E37" s="12"/>
    </row>
    <row r="38">
      <c r="A38" s="367"/>
      <c r="B38" s="387"/>
      <c r="C38" s="244"/>
      <c r="D38" s="240"/>
      <c r="E38" s="12"/>
    </row>
    <row r="39">
      <c r="A39" s="367"/>
      <c r="B39" s="387"/>
      <c r="C39" s="244"/>
      <c r="D39" s="240"/>
      <c r="E39" s="12"/>
    </row>
    <row r="40">
      <c r="A40" s="367"/>
      <c r="B40" s="387"/>
      <c r="C40" s="244"/>
      <c r="D40" s="240"/>
      <c r="E40" s="12"/>
    </row>
    <row r="41">
      <c r="A41" s="367"/>
      <c r="B41" s="391"/>
      <c r="C41" s="358"/>
      <c r="D41" s="240"/>
      <c r="E41" s="12"/>
    </row>
    <row r="42">
      <c r="A42" s="367"/>
      <c r="B42" s="391"/>
      <c r="C42" s="244"/>
      <c r="D42" s="240"/>
      <c r="E42" s="12"/>
    </row>
    <row r="43">
      <c r="A43" s="367"/>
      <c r="B43" s="393"/>
      <c r="C43" s="358"/>
      <c r="D43" s="240"/>
      <c r="E43" s="12"/>
    </row>
    <row r="44">
      <c r="A44" s="367"/>
      <c r="B44" s="393"/>
      <c r="C44" s="244"/>
      <c r="D44" s="240"/>
      <c r="E44" s="12"/>
    </row>
    <row r="45">
      <c r="A45" s="367"/>
      <c r="B45" s="385"/>
      <c r="C45" s="244"/>
      <c r="D45" s="240"/>
      <c r="E45" s="12"/>
    </row>
    <row r="46">
      <c r="A46" s="367"/>
      <c r="B46" s="385"/>
      <c r="C46" s="358"/>
      <c r="D46" s="240"/>
      <c r="E46" s="12"/>
    </row>
    <row r="47">
      <c r="A47" s="394"/>
      <c r="B47" s="385"/>
      <c r="C47" s="362"/>
      <c r="D47" s="361"/>
      <c r="E47" s="12"/>
    </row>
    <row r="48">
      <c r="A48" s="367"/>
      <c r="B48" s="385"/>
      <c r="C48" s="358"/>
      <c r="D48" s="240"/>
      <c r="E48" s="12"/>
    </row>
    <row r="49">
      <c r="A49" s="367"/>
      <c r="B49" s="395"/>
      <c r="C49" s="362"/>
      <c r="D49" s="361"/>
      <c r="E49" s="12"/>
    </row>
    <row r="50">
      <c r="A50" s="367"/>
      <c r="B50" s="385"/>
      <c r="C50" s="358"/>
      <c r="D50" s="361"/>
      <c r="E50" s="12"/>
    </row>
    <row r="51">
      <c r="A51" s="367"/>
      <c r="B51" s="388"/>
      <c r="C51" s="358"/>
      <c r="D51" s="361"/>
      <c r="E51" s="12"/>
    </row>
    <row r="52">
      <c r="A52" s="367"/>
      <c r="B52" s="385"/>
      <c r="C52" s="358"/>
      <c r="D52" s="240"/>
      <c r="E52" s="12"/>
    </row>
    <row r="53">
      <c r="A53" s="367"/>
      <c r="B53" s="388"/>
      <c r="C53" s="358"/>
      <c r="D53" s="240"/>
      <c r="E53" s="12"/>
    </row>
    <row r="54">
      <c r="A54" s="367"/>
      <c r="B54" s="385"/>
      <c r="C54" s="358"/>
      <c r="D54" s="240"/>
      <c r="E54" s="12"/>
    </row>
    <row r="55">
      <c r="A55" s="367"/>
      <c r="B55" s="385"/>
      <c r="C55" s="362"/>
      <c r="D55" s="361"/>
      <c r="E55" s="12"/>
    </row>
    <row r="56">
      <c r="A56" s="367"/>
      <c r="B56" s="385"/>
      <c r="C56" s="358"/>
      <c r="D56" s="240"/>
      <c r="E56" s="12"/>
    </row>
    <row r="57">
      <c r="A57" s="367"/>
      <c r="B57" s="385"/>
      <c r="C57" s="244"/>
      <c r="D57" s="240"/>
      <c r="E57" s="240"/>
    </row>
    <row r="58">
      <c r="A58" s="367"/>
      <c r="B58" s="385"/>
      <c r="C58" s="358"/>
      <c r="D58" s="240"/>
      <c r="E58" s="240"/>
    </row>
    <row r="59">
      <c r="A59" s="240"/>
      <c r="B59" s="393"/>
      <c r="C59" s="358"/>
      <c r="D59" s="240"/>
      <c r="E59" s="240"/>
    </row>
    <row r="60">
      <c r="A60" s="367"/>
      <c r="B60" s="393"/>
      <c r="C60" s="358"/>
      <c r="D60" s="240"/>
      <c r="E60" s="240"/>
    </row>
    <row r="61">
      <c r="A61" s="367"/>
      <c r="B61" s="385"/>
      <c r="C61" s="358"/>
      <c r="D61" s="240"/>
      <c r="E61" s="240"/>
    </row>
    <row r="62">
      <c r="A62" s="371"/>
      <c r="B62" s="385"/>
      <c r="C62" s="358"/>
      <c r="D62" s="240"/>
      <c r="E62" s="240"/>
    </row>
    <row r="63">
      <c r="A63" s="371"/>
      <c r="B63" s="385"/>
      <c r="C63" s="358"/>
      <c r="D63" s="240"/>
      <c r="E63" s="240"/>
    </row>
    <row r="64">
      <c r="A64" s="367"/>
      <c r="B64" s="385"/>
      <c r="C64" s="358"/>
      <c r="D64" s="240"/>
      <c r="E64" s="240"/>
    </row>
    <row r="65">
      <c r="A65" s="371"/>
      <c r="B65" s="385"/>
      <c r="C65" s="358"/>
      <c r="D65" s="240"/>
      <c r="E65" s="240"/>
    </row>
    <row r="66">
      <c r="A66" s="371"/>
      <c r="B66" s="385"/>
      <c r="C66" s="358"/>
      <c r="D66" s="372"/>
      <c r="E66" s="372"/>
    </row>
    <row r="67">
      <c r="A67" s="367"/>
      <c r="B67" s="385"/>
      <c r="C67" s="358"/>
      <c r="D67" s="240"/>
      <c r="E67" s="240"/>
    </row>
    <row r="68">
      <c r="A68" s="371"/>
      <c r="B68" s="385"/>
      <c r="C68" s="358"/>
      <c r="D68" s="240"/>
      <c r="E68" s="240"/>
    </row>
    <row r="69">
      <c r="A69" s="367"/>
      <c r="B69" s="385"/>
      <c r="C69" s="358"/>
      <c r="D69" s="240"/>
      <c r="E69" s="240"/>
    </row>
    <row r="70">
      <c r="A70" s="367"/>
      <c r="B70" s="385"/>
      <c r="C70" s="358"/>
      <c r="D70" s="240"/>
      <c r="E70" s="240"/>
    </row>
    <row r="71">
      <c r="A71" s="367"/>
      <c r="B71" s="396"/>
      <c r="C71" s="358"/>
      <c r="D71" s="240"/>
      <c r="E71" s="240"/>
    </row>
    <row r="72">
      <c r="A72" s="367"/>
      <c r="B72" s="385"/>
      <c r="C72" s="358"/>
      <c r="D72" s="240"/>
      <c r="E72" s="240"/>
    </row>
    <row r="73">
      <c r="A73" s="367"/>
      <c r="B73" s="385"/>
      <c r="C73" s="358"/>
      <c r="D73" s="240"/>
      <c r="E73" s="240"/>
    </row>
    <row r="74">
      <c r="A74" s="367"/>
      <c r="B74" s="385"/>
      <c r="C74" s="358"/>
      <c r="D74" s="240"/>
      <c r="E74" s="240"/>
    </row>
    <row r="75">
      <c r="A75" s="245"/>
      <c r="B75" s="385"/>
      <c r="C75" s="358"/>
      <c r="D75" s="240"/>
      <c r="E75" s="240"/>
    </row>
    <row r="76">
      <c r="A76" s="245"/>
      <c r="B76" s="385"/>
      <c r="C76" s="358"/>
      <c r="D76" s="240"/>
      <c r="E76" s="240"/>
    </row>
    <row r="77">
      <c r="A77" s="245"/>
      <c r="B77" s="385"/>
      <c r="C77" s="358"/>
      <c r="D77" s="240"/>
      <c r="E77" s="240"/>
    </row>
    <row r="78">
      <c r="A78" s="245"/>
      <c r="B78" s="385"/>
      <c r="C78" s="358"/>
      <c r="D78" s="240"/>
      <c r="E78" s="240"/>
    </row>
    <row r="79">
      <c r="A79" s="245"/>
      <c r="B79" s="385"/>
      <c r="C79" s="358"/>
      <c r="D79" s="240"/>
      <c r="E79" s="240"/>
    </row>
    <row r="80">
      <c r="A80" s="371"/>
      <c r="B80" s="385"/>
      <c r="C80" s="358"/>
      <c r="D80" s="240"/>
      <c r="E80" s="240"/>
    </row>
    <row r="81">
      <c r="A81" s="371"/>
      <c r="B81" s="385"/>
      <c r="C81" s="358"/>
      <c r="D81" s="240"/>
      <c r="E81" s="240"/>
    </row>
    <row r="82">
      <c r="A82" s="240"/>
      <c r="B82" s="385"/>
      <c r="C82" s="358"/>
      <c r="D82" s="240"/>
      <c r="E82" s="240"/>
    </row>
    <row r="83">
      <c r="A83" s="371"/>
      <c r="B83" s="397"/>
      <c r="C83" s="358"/>
      <c r="D83" s="240"/>
      <c r="E83" s="240"/>
    </row>
    <row r="84">
      <c r="A84" s="371"/>
      <c r="B84" s="385"/>
      <c r="C84" s="358"/>
      <c r="D84" s="240"/>
      <c r="E84" s="240"/>
    </row>
    <row r="85">
      <c r="A85" s="371"/>
      <c r="B85" s="385"/>
      <c r="C85" s="358"/>
      <c r="D85" s="240"/>
      <c r="E85" s="240"/>
    </row>
    <row r="86">
      <c r="A86" s="371"/>
      <c r="B86" s="385"/>
      <c r="C86" s="358"/>
      <c r="D86" s="240"/>
      <c r="E86" s="240"/>
    </row>
    <row r="87">
      <c r="A87" s="245"/>
      <c r="B87" s="398"/>
      <c r="C87" s="358"/>
      <c r="D87" s="245"/>
      <c r="E87" s="245"/>
    </row>
    <row r="88">
      <c r="A88" s="245"/>
      <c r="B88" s="398"/>
      <c r="C88" s="358"/>
      <c r="D88" s="245"/>
      <c r="E88" s="245"/>
    </row>
    <row r="89">
      <c r="A89" s="245"/>
      <c r="B89" s="398"/>
      <c r="C89" s="358"/>
      <c r="D89" s="245"/>
      <c r="E89" s="245"/>
    </row>
    <row r="90">
      <c r="A90" s="245"/>
      <c r="B90" s="398"/>
      <c r="C90" s="358"/>
      <c r="D90" s="245"/>
      <c r="E90" s="245"/>
    </row>
    <row r="91">
      <c r="A91" s="245"/>
      <c r="B91" s="398"/>
      <c r="C91" s="358"/>
      <c r="D91" s="245"/>
      <c r="E91" s="245"/>
    </row>
    <row r="92">
      <c r="A92" s="245"/>
      <c r="B92" s="398"/>
      <c r="C92" s="358"/>
      <c r="D92" s="245"/>
      <c r="E92" s="245"/>
    </row>
    <row r="93">
      <c r="A93" s="245"/>
      <c r="B93" s="398"/>
      <c r="C93" s="358"/>
      <c r="D93" s="245"/>
      <c r="E93" s="245"/>
    </row>
    <row r="94">
      <c r="C94" s="378"/>
    </row>
    <row r="95">
      <c r="C95" s="378"/>
    </row>
    <row r="96">
      <c r="C96" s="378"/>
    </row>
    <row r="97">
      <c r="C97" s="378"/>
    </row>
    <row r="98">
      <c r="C98" s="378"/>
    </row>
    <row r="99">
      <c r="C99" s="378"/>
    </row>
    <row r="100">
      <c r="C100" s="378"/>
    </row>
    <row r="101">
      <c r="C101" s="378"/>
    </row>
    <row r="102">
      <c r="C102" s="378"/>
    </row>
    <row r="103">
      <c r="C103" s="378"/>
    </row>
    <row r="104">
      <c r="C104" s="378"/>
    </row>
    <row r="105">
      <c r="C105" s="378"/>
    </row>
    <row r="106">
      <c r="C106" s="378"/>
    </row>
    <row r="107">
      <c r="C107" s="378"/>
    </row>
    <row r="108">
      <c r="C108" s="378"/>
    </row>
    <row r="109">
      <c r="C109" s="378"/>
    </row>
    <row r="110">
      <c r="C110" s="378"/>
    </row>
    <row r="111">
      <c r="C111" s="378"/>
    </row>
    <row r="112">
      <c r="C112" s="378"/>
    </row>
    <row r="113">
      <c r="C113" s="378"/>
    </row>
    <row r="114">
      <c r="C114" s="378"/>
    </row>
    <row r="115">
      <c r="C115" s="378"/>
    </row>
    <row r="116">
      <c r="C116" s="378"/>
    </row>
    <row r="117">
      <c r="C117" s="378"/>
    </row>
    <row r="118">
      <c r="C118" s="378"/>
    </row>
    <row r="119">
      <c r="C119" s="378"/>
    </row>
    <row r="120">
      <c r="C120" s="378"/>
    </row>
    <row r="121">
      <c r="C121" s="378"/>
    </row>
    <row r="122">
      <c r="C122" s="378"/>
    </row>
    <row r="123">
      <c r="C123" s="378"/>
    </row>
    <row r="124">
      <c r="C124" s="378"/>
    </row>
    <row r="125">
      <c r="C125" s="378"/>
    </row>
    <row r="126">
      <c r="C126" s="378"/>
    </row>
    <row r="127">
      <c r="C127" s="378"/>
    </row>
    <row r="128">
      <c r="C128" s="378"/>
    </row>
    <row r="129">
      <c r="C129" s="378"/>
    </row>
    <row r="130">
      <c r="C130" s="378"/>
    </row>
    <row r="131">
      <c r="C131" s="378"/>
    </row>
    <row r="132">
      <c r="C132" s="378"/>
    </row>
    <row r="133">
      <c r="C133" s="378"/>
    </row>
    <row r="134">
      <c r="C134" s="378"/>
    </row>
    <row r="135">
      <c r="C135" s="378"/>
    </row>
    <row r="136">
      <c r="C136" s="378"/>
    </row>
    <row r="137">
      <c r="C137" s="378"/>
    </row>
    <row r="138">
      <c r="C138" s="378"/>
    </row>
    <row r="139">
      <c r="C139" s="378"/>
    </row>
    <row r="140">
      <c r="C140" s="378"/>
    </row>
    <row r="141">
      <c r="C141" s="378"/>
    </row>
    <row r="142">
      <c r="C142" s="378"/>
    </row>
    <row r="143">
      <c r="C143" s="378"/>
    </row>
    <row r="144">
      <c r="C144" s="378"/>
    </row>
    <row r="145">
      <c r="C145" s="378"/>
    </row>
    <row r="146">
      <c r="C146" s="378"/>
    </row>
    <row r="147">
      <c r="C147" s="378"/>
    </row>
    <row r="148">
      <c r="C148" s="378"/>
    </row>
    <row r="149">
      <c r="C149" s="378"/>
    </row>
    <row r="150">
      <c r="C150" s="378"/>
    </row>
    <row r="151">
      <c r="C151" s="378"/>
    </row>
    <row r="152">
      <c r="C152" s="378"/>
    </row>
    <row r="153">
      <c r="C153" s="378"/>
    </row>
    <row r="154">
      <c r="C154" s="378"/>
    </row>
    <row r="155">
      <c r="C155" s="378"/>
    </row>
    <row r="156">
      <c r="C156" s="378"/>
    </row>
    <row r="157">
      <c r="C157" s="378"/>
    </row>
    <row r="158">
      <c r="C158" s="378"/>
    </row>
    <row r="159">
      <c r="C159" s="378"/>
    </row>
    <row r="160">
      <c r="C160" s="378"/>
    </row>
    <row r="161">
      <c r="C161" s="378"/>
    </row>
    <row r="162">
      <c r="C162" s="378"/>
    </row>
    <row r="163">
      <c r="C163" s="378"/>
    </row>
    <row r="164">
      <c r="C164" s="378"/>
    </row>
    <row r="165">
      <c r="C165" s="378"/>
    </row>
    <row r="166">
      <c r="C166" s="378"/>
    </row>
    <row r="167">
      <c r="C167" s="378"/>
    </row>
    <row r="168">
      <c r="C168" s="378"/>
    </row>
    <row r="169">
      <c r="C169" s="378"/>
    </row>
    <row r="170">
      <c r="C170" s="378"/>
    </row>
    <row r="171">
      <c r="C171" s="378"/>
    </row>
    <row r="172">
      <c r="C172" s="378"/>
    </row>
    <row r="173">
      <c r="C173" s="378"/>
    </row>
    <row r="174">
      <c r="C174" s="378"/>
    </row>
    <row r="175">
      <c r="C175" s="378"/>
    </row>
    <row r="176">
      <c r="C176" s="378"/>
    </row>
    <row r="177">
      <c r="C177" s="378"/>
    </row>
    <row r="178">
      <c r="C178" s="378"/>
    </row>
    <row r="179">
      <c r="C179" s="378"/>
    </row>
    <row r="180">
      <c r="C180" s="378"/>
    </row>
    <row r="181">
      <c r="C181" s="378"/>
    </row>
    <row r="182">
      <c r="C182" s="378"/>
    </row>
    <row r="183">
      <c r="C183" s="378"/>
    </row>
    <row r="184">
      <c r="C184" s="378"/>
    </row>
    <row r="185">
      <c r="C185" s="378"/>
    </row>
    <row r="186">
      <c r="C186" s="378"/>
    </row>
    <row r="187">
      <c r="C187" s="378"/>
    </row>
    <row r="188">
      <c r="C188" s="378"/>
    </row>
    <row r="189">
      <c r="C189" s="378"/>
    </row>
    <row r="190">
      <c r="C190" s="378"/>
    </row>
    <row r="191">
      <c r="C191" s="378"/>
    </row>
    <row r="192">
      <c r="C192" s="378"/>
    </row>
    <row r="193">
      <c r="C193" s="378"/>
    </row>
    <row r="194">
      <c r="C194" s="378"/>
    </row>
    <row r="195">
      <c r="C195" s="378"/>
    </row>
    <row r="196">
      <c r="C196" s="378"/>
    </row>
    <row r="197">
      <c r="C197" s="378"/>
    </row>
    <row r="198">
      <c r="C198" s="378"/>
    </row>
    <row r="199">
      <c r="C199" s="378"/>
    </row>
    <row r="200">
      <c r="C200" s="378"/>
    </row>
    <row r="201">
      <c r="C201" s="378"/>
    </row>
    <row r="202">
      <c r="C202" s="378"/>
    </row>
    <row r="203">
      <c r="C203" s="378"/>
    </row>
    <row r="204">
      <c r="C204" s="378"/>
    </row>
    <row r="205">
      <c r="C205" s="378"/>
    </row>
    <row r="206">
      <c r="C206" s="378"/>
    </row>
    <row r="207">
      <c r="C207" s="378"/>
    </row>
    <row r="208">
      <c r="C208" s="378"/>
    </row>
    <row r="209">
      <c r="C209" s="378"/>
    </row>
    <row r="210">
      <c r="C210" s="378"/>
    </row>
    <row r="211">
      <c r="C211" s="378"/>
    </row>
    <row r="212">
      <c r="C212" s="378"/>
    </row>
    <row r="213">
      <c r="C213" s="378"/>
    </row>
    <row r="214">
      <c r="C214" s="378"/>
    </row>
    <row r="215">
      <c r="C215" s="378"/>
    </row>
    <row r="216">
      <c r="C216" s="378"/>
    </row>
    <row r="217">
      <c r="C217" s="378"/>
    </row>
    <row r="218">
      <c r="C218" s="378"/>
    </row>
    <row r="219">
      <c r="C219" s="378"/>
    </row>
    <row r="220">
      <c r="C220" s="378"/>
    </row>
    <row r="221">
      <c r="C221" s="378"/>
    </row>
    <row r="222">
      <c r="C222" s="378"/>
    </row>
    <row r="223">
      <c r="C223" s="378"/>
    </row>
    <row r="224">
      <c r="C224" s="378"/>
    </row>
    <row r="225">
      <c r="C225" s="378"/>
    </row>
    <row r="226">
      <c r="C226" s="378"/>
    </row>
    <row r="227">
      <c r="C227" s="378"/>
    </row>
    <row r="228">
      <c r="C228" s="378"/>
    </row>
    <row r="229">
      <c r="C229" s="378"/>
    </row>
    <row r="230">
      <c r="C230" s="378"/>
    </row>
    <row r="231">
      <c r="C231" s="378"/>
    </row>
    <row r="232">
      <c r="C232" s="378"/>
    </row>
    <row r="233">
      <c r="C233" s="378"/>
    </row>
    <row r="234">
      <c r="C234" s="378"/>
    </row>
    <row r="235">
      <c r="C235" s="378"/>
    </row>
    <row r="236">
      <c r="C236" s="378"/>
    </row>
    <row r="237">
      <c r="C237" s="378"/>
    </row>
    <row r="238">
      <c r="C238" s="378"/>
    </row>
    <row r="239">
      <c r="C239" s="378"/>
    </row>
    <row r="240">
      <c r="C240" s="378"/>
    </row>
    <row r="241">
      <c r="C241" s="378"/>
    </row>
    <row r="242">
      <c r="C242" s="378"/>
    </row>
    <row r="243">
      <c r="C243" s="378"/>
    </row>
    <row r="244">
      <c r="C244" s="378"/>
    </row>
    <row r="245">
      <c r="C245" s="378"/>
    </row>
    <row r="246">
      <c r="C246" s="378"/>
    </row>
    <row r="247">
      <c r="C247" s="378"/>
    </row>
    <row r="248">
      <c r="C248" s="378"/>
    </row>
    <row r="249">
      <c r="C249" s="378"/>
    </row>
    <row r="250">
      <c r="C250" s="378"/>
    </row>
    <row r="251">
      <c r="C251" s="378"/>
    </row>
    <row r="252">
      <c r="C252" s="378"/>
    </row>
    <row r="253">
      <c r="C253" s="378"/>
    </row>
    <row r="254">
      <c r="C254" s="378"/>
    </row>
    <row r="255">
      <c r="C255" s="378"/>
    </row>
    <row r="256">
      <c r="C256" s="378"/>
    </row>
    <row r="257">
      <c r="C257" s="378"/>
    </row>
    <row r="258">
      <c r="C258" s="378"/>
    </row>
    <row r="259">
      <c r="C259" s="378"/>
    </row>
    <row r="260">
      <c r="C260" s="378"/>
    </row>
    <row r="261">
      <c r="C261" s="378"/>
    </row>
    <row r="262">
      <c r="C262" s="378"/>
    </row>
    <row r="263">
      <c r="C263" s="378"/>
    </row>
    <row r="264">
      <c r="C264" s="378"/>
    </row>
    <row r="265">
      <c r="C265" s="378"/>
    </row>
    <row r="266">
      <c r="C266" s="378"/>
    </row>
    <row r="267">
      <c r="C267" s="378"/>
    </row>
    <row r="268">
      <c r="C268" s="378"/>
    </row>
    <row r="269">
      <c r="C269" s="378"/>
    </row>
    <row r="270">
      <c r="C270" s="378"/>
    </row>
    <row r="271">
      <c r="C271" s="378"/>
    </row>
    <row r="272">
      <c r="C272" s="378"/>
    </row>
    <row r="273">
      <c r="C273" s="378"/>
    </row>
    <row r="274">
      <c r="C274" s="378"/>
    </row>
    <row r="275">
      <c r="C275" s="378"/>
    </row>
    <row r="276">
      <c r="C276" s="378"/>
    </row>
    <row r="277">
      <c r="C277" s="378"/>
    </row>
    <row r="278">
      <c r="C278" s="378"/>
    </row>
    <row r="279">
      <c r="C279" s="378"/>
    </row>
    <row r="280">
      <c r="C280" s="378"/>
    </row>
    <row r="281">
      <c r="C281" s="378"/>
    </row>
    <row r="282">
      <c r="C282" s="378"/>
    </row>
    <row r="283">
      <c r="C283" s="378"/>
    </row>
    <row r="284">
      <c r="C284" s="378"/>
    </row>
    <row r="285">
      <c r="C285" s="378"/>
    </row>
    <row r="286">
      <c r="C286" s="378"/>
    </row>
    <row r="287">
      <c r="C287" s="378"/>
    </row>
    <row r="288">
      <c r="C288" s="378"/>
    </row>
    <row r="289">
      <c r="C289" s="378"/>
    </row>
    <row r="290">
      <c r="C290" s="378"/>
    </row>
    <row r="291">
      <c r="C291" s="378"/>
    </row>
    <row r="292">
      <c r="C292" s="378"/>
    </row>
    <row r="293">
      <c r="C293" s="378"/>
    </row>
    <row r="294">
      <c r="C294" s="378"/>
    </row>
    <row r="295">
      <c r="C295" s="378"/>
    </row>
    <row r="296">
      <c r="C296" s="378"/>
    </row>
    <row r="297">
      <c r="C297" s="378"/>
    </row>
    <row r="298">
      <c r="C298" s="378"/>
    </row>
    <row r="299">
      <c r="C299" s="378"/>
    </row>
    <row r="300">
      <c r="C300" s="378"/>
    </row>
    <row r="301">
      <c r="C301" s="378"/>
    </row>
    <row r="302">
      <c r="C302" s="378"/>
    </row>
    <row r="303">
      <c r="C303" s="378"/>
    </row>
    <row r="304">
      <c r="C304" s="378"/>
    </row>
    <row r="305">
      <c r="C305" s="378"/>
    </row>
    <row r="306">
      <c r="C306" s="378"/>
    </row>
    <row r="307">
      <c r="C307" s="378"/>
    </row>
    <row r="308">
      <c r="C308" s="378"/>
    </row>
    <row r="309">
      <c r="C309" s="378"/>
    </row>
    <row r="310">
      <c r="C310" s="378"/>
    </row>
    <row r="311">
      <c r="C311" s="378"/>
    </row>
    <row r="312">
      <c r="C312" s="378"/>
    </row>
    <row r="313">
      <c r="C313" s="378"/>
    </row>
    <row r="314">
      <c r="C314" s="378"/>
    </row>
    <row r="315">
      <c r="C315" s="378"/>
    </row>
    <row r="316">
      <c r="C316" s="378"/>
    </row>
    <row r="317">
      <c r="C317" s="378"/>
    </row>
    <row r="318">
      <c r="C318" s="378"/>
    </row>
    <row r="319">
      <c r="C319" s="378"/>
    </row>
    <row r="320">
      <c r="C320" s="378"/>
    </row>
    <row r="321">
      <c r="C321" s="378"/>
    </row>
    <row r="322">
      <c r="C322" s="378"/>
    </row>
    <row r="323">
      <c r="C323" s="378"/>
    </row>
    <row r="324">
      <c r="C324" s="378"/>
    </row>
    <row r="325">
      <c r="C325" s="378"/>
    </row>
    <row r="326">
      <c r="C326" s="378"/>
    </row>
    <row r="327">
      <c r="C327" s="378"/>
    </row>
    <row r="328">
      <c r="C328" s="378"/>
    </row>
    <row r="329">
      <c r="C329" s="378"/>
    </row>
    <row r="330">
      <c r="C330" s="378"/>
    </row>
    <row r="331">
      <c r="C331" s="378"/>
    </row>
    <row r="332">
      <c r="C332" s="378"/>
    </row>
    <row r="333">
      <c r="C333" s="378"/>
    </row>
    <row r="334">
      <c r="C334" s="378"/>
    </row>
    <row r="335">
      <c r="C335" s="378"/>
    </row>
    <row r="336">
      <c r="C336" s="378"/>
    </row>
    <row r="337">
      <c r="C337" s="378"/>
    </row>
    <row r="338">
      <c r="C338" s="378"/>
    </row>
    <row r="339">
      <c r="C339" s="378"/>
    </row>
    <row r="340">
      <c r="C340" s="378"/>
    </row>
    <row r="341">
      <c r="C341" s="378"/>
    </row>
    <row r="342">
      <c r="C342" s="378"/>
    </row>
    <row r="343">
      <c r="C343" s="378"/>
    </row>
    <row r="344">
      <c r="C344" s="378"/>
    </row>
    <row r="345">
      <c r="C345" s="378"/>
    </row>
    <row r="346">
      <c r="C346" s="378"/>
    </row>
    <row r="347">
      <c r="C347" s="378"/>
    </row>
    <row r="348">
      <c r="C348" s="378"/>
    </row>
    <row r="349">
      <c r="C349" s="378"/>
    </row>
    <row r="350">
      <c r="C350" s="378"/>
    </row>
    <row r="351">
      <c r="C351" s="378"/>
    </row>
    <row r="352">
      <c r="C352" s="378"/>
    </row>
    <row r="353">
      <c r="C353" s="378"/>
    </row>
    <row r="354">
      <c r="C354" s="378"/>
    </row>
    <row r="355">
      <c r="C355" s="378"/>
    </row>
    <row r="356">
      <c r="C356" s="378"/>
    </row>
    <row r="357">
      <c r="C357" s="378"/>
    </row>
    <row r="358">
      <c r="C358" s="378"/>
    </row>
    <row r="359">
      <c r="C359" s="378"/>
    </row>
    <row r="360">
      <c r="C360" s="378"/>
    </row>
    <row r="361">
      <c r="C361" s="378"/>
    </row>
    <row r="362">
      <c r="C362" s="378"/>
    </row>
    <row r="363">
      <c r="C363" s="378"/>
    </row>
    <row r="364">
      <c r="C364" s="378"/>
    </row>
    <row r="365">
      <c r="C365" s="378"/>
    </row>
    <row r="366">
      <c r="C366" s="378"/>
    </row>
    <row r="367">
      <c r="C367" s="378"/>
    </row>
    <row r="368">
      <c r="C368" s="378"/>
    </row>
    <row r="369">
      <c r="C369" s="378"/>
    </row>
    <row r="370">
      <c r="C370" s="378"/>
    </row>
    <row r="371">
      <c r="C371" s="378"/>
    </row>
    <row r="372">
      <c r="C372" s="378"/>
    </row>
    <row r="373">
      <c r="C373" s="378"/>
    </row>
    <row r="374">
      <c r="C374" s="378"/>
    </row>
    <row r="375">
      <c r="C375" s="378"/>
    </row>
    <row r="376">
      <c r="C376" s="378"/>
    </row>
    <row r="377">
      <c r="C377" s="378"/>
    </row>
    <row r="378">
      <c r="C378" s="378"/>
    </row>
    <row r="379">
      <c r="C379" s="378"/>
    </row>
    <row r="380">
      <c r="C380" s="378"/>
    </row>
    <row r="381">
      <c r="C381" s="378"/>
    </row>
    <row r="382">
      <c r="C382" s="378"/>
    </row>
    <row r="383">
      <c r="C383" s="378"/>
    </row>
    <row r="384">
      <c r="C384" s="378"/>
    </row>
    <row r="385">
      <c r="C385" s="378"/>
    </row>
    <row r="386">
      <c r="C386" s="378"/>
    </row>
    <row r="387">
      <c r="C387" s="378"/>
    </row>
    <row r="388">
      <c r="C388" s="378"/>
    </row>
    <row r="389">
      <c r="C389" s="378"/>
    </row>
    <row r="390">
      <c r="C390" s="378"/>
    </row>
    <row r="391">
      <c r="C391" s="378"/>
    </row>
    <row r="392">
      <c r="C392" s="378"/>
    </row>
    <row r="393">
      <c r="C393" s="378"/>
    </row>
    <row r="394">
      <c r="C394" s="378"/>
    </row>
    <row r="395">
      <c r="C395" s="378"/>
    </row>
    <row r="396">
      <c r="C396" s="378"/>
    </row>
    <row r="397">
      <c r="C397" s="378"/>
    </row>
    <row r="398">
      <c r="C398" s="378"/>
    </row>
    <row r="399">
      <c r="C399" s="378"/>
    </row>
    <row r="400">
      <c r="C400" s="378"/>
    </row>
    <row r="401">
      <c r="C401" s="378"/>
    </row>
    <row r="402">
      <c r="C402" s="378"/>
    </row>
    <row r="403">
      <c r="C403" s="378"/>
    </row>
    <row r="404">
      <c r="C404" s="378"/>
    </row>
    <row r="405">
      <c r="C405" s="378"/>
    </row>
    <row r="406">
      <c r="C406" s="378"/>
    </row>
    <row r="407">
      <c r="C407" s="378"/>
    </row>
    <row r="408">
      <c r="C408" s="378"/>
    </row>
    <row r="409">
      <c r="C409" s="378"/>
    </row>
    <row r="410">
      <c r="C410" s="378"/>
    </row>
    <row r="411">
      <c r="C411" s="378"/>
    </row>
    <row r="412">
      <c r="C412" s="378"/>
    </row>
    <row r="413">
      <c r="C413" s="378"/>
    </row>
    <row r="414">
      <c r="C414" s="378"/>
    </row>
    <row r="415">
      <c r="C415" s="378"/>
    </row>
    <row r="416">
      <c r="C416" s="378"/>
    </row>
    <row r="417">
      <c r="C417" s="378"/>
    </row>
    <row r="418">
      <c r="C418" s="378"/>
    </row>
    <row r="419">
      <c r="C419" s="378"/>
    </row>
    <row r="420">
      <c r="C420" s="378"/>
    </row>
    <row r="421">
      <c r="C421" s="378"/>
    </row>
    <row r="422">
      <c r="C422" s="378"/>
    </row>
    <row r="423">
      <c r="C423" s="378"/>
    </row>
    <row r="424">
      <c r="C424" s="378"/>
    </row>
    <row r="425">
      <c r="C425" s="378"/>
    </row>
    <row r="426">
      <c r="C426" s="378"/>
    </row>
    <row r="427">
      <c r="C427" s="378"/>
    </row>
    <row r="428">
      <c r="C428" s="378"/>
    </row>
    <row r="429">
      <c r="C429" s="378"/>
    </row>
    <row r="430">
      <c r="C430" s="378"/>
    </row>
    <row r="431">
      <c r="C431" s="378"/>
    </row>
    <row r="432">
      <c r="C432" s="378"/>
    </row>
    <row r="433">
      <c r="C433" s="378"/>
    </row>
    <row r="434">
      <c r="C434" s="378"/>
    </row>
    <row r="435">
      <c r="C435" s="378"/>
    </row>
    <row r="436">
      <c r="C436" s="378"/>
    </row>
    <row r="437">
      <c r="C437" s="378"/>
    </row>
    <row r="438">
      <c r="C438" s="378"/>
    </row>
    <row r="439">
      <c r="C439" s="378"/>
    </row>
    <row r="440">
      <c r="C440" s="378"/>
    </row>
    <row r="441">
      <c r="C441" s="378"/>
    </row>
    <row r="442">
      <c r="C442" s="378"/>
    </row>
    <row r="443">
      <c r="C443" s="378"/>
    </row>
    <row r="444">
      <c r="C444" s="378"/>
    </row>
    <row r="445">
      <c r="C445" s="378"/>
    </row>
    <row r="446">
      <c r="C446" s="378"/>
    </row>
    <row r="447">
      <c r="C447" s="378"/>
    </row>
    <row r="448">
      <c r="C448" s="378"/>
    </row>
    <row r="449">
      <c r="C449" s="378"/>
    </row>
    <row r="450">
      <c r="C450" s="378"/>
    </row>
    <row r="451">
      <c r="C451" s="378"/>
    </row>
    <row r="452">
      <c r="C452" s="378"/>
    </row>
    <row r="453">
      <c r="C453" s="378"/>
    </row>
    <row r="454">
      <c r="C454" s="378"/>
    </row>
    <row r="455">
      <c r="C455" s="378"/>
    </row>
    <row r="456">
      <c r="C456" s="378"/>
    </row>
    <row r="457">
      <c r="C457" s="378"/>
    </row>
    <row r="458">
      <c r="C458" s="378"/>
    </row>
    <row r="459">
      <c r="C459" s="378"/>
    </row>
    <row r="460">
      <c r="C460" s="378"/>
    </row>
    <row r="461">
      <c r="C461" s="378"/>
    </row>
    <row r="462">
      <c r="C462" s="378"/>
    </row>
    <row r="463">
      <c r="C463" s="378"/>
    </row>
    <row r="464">
      <c r="C464" s="378"/>
    </row>
    <row r="465">
      <c r="C465" s="378"/>
    </row>
    <row r="466">
      <c r="C466" s="378"/>
    </row>
    <row r="467">
      <c r="C467" s="378"/>
    </row>
    <row r="468">
      <c r="C468" s="378"/>
    </row>
    <row r="469">
      <c r="C469" s="378"/>
    </row>
    <row r="470">
      <c r="C470" s="378"/>
    </row>
    <row r="471">
      <c r="C471" s="378"/>
    </row>
    <row r="472">
      <c r="C472" s="378"/>
    </row>
    <row r="473">
      <c r="C473" s="378"/>
    </row>
    <row r="474">
      <c r="C474" s="378"/>
    </row>
    <row r="475">
      <c r="C475" s="378"/>
    </row>
    <row r="476">
      <c r="C476" s="378"/>
    </row>
    <row r="477">
      <c r="C477" s="378"/>
    </row>
    <row r="478">
      <c r="C478" s="378"/>
    </row>
    <row r="479">
      <c r="C479" s="378"/>
    </row>
    <row r="480">
      <c r="C480" s="378"/>
    </row>
    <row r="481">
      <c r="C481" s="378"/>
    </row>
    <row r="482">
      <c r="C482" s="378"/>
    </row>
    <row r="483">
      <c r="C483" s="378"/>
    </row>
    <row r="484">
      <c r="C484" s="378"/>
    </row>
    <row r="485">
      <c r="C485" s="378"/>
    </row>
    <row r="486">
      <c r="C486" s="378"/>
    </row>
    <row r="487">
      <c r="C487" s="378"/>
    </row>
    <row r="488">
      <c r="C488" s="378"/>
    </row>
    <row r="489">
      <c r="C489" s="378"/>
    </row>
    <row r="490">
      <c r="C490" s="378"/>
    </row>
    <row r="491">
      <c r="C491" s="378"/>
    </row>
    <row r="492">
      <c r="C492" s="378"/>
    </row>
    <row r="493">
      <c r="C493" s="378"/>
    </row>
    <row r="494">
      <c r="C494" s="378"/>
    </row>
    <row r="495">
      <c r="C495" s="378"/>
    </row>
    <row r="496">
      <c r="C496" s="378"/>
    </row>
    <row r="497">
      <c r="C497" s="378"/>
    </row>
    <row r="498">
      <c r="C498" s="378"/>
    </row>
    <row r="499">
      <c r="C499" s="378"/>
    </row>
    <row r="500">
      <c r="C500" s="378"/>
    </row>
    <row r="501">
      <c r="C501" s="378"/>
    </row>
    <row r="502">
      <c r="C502" s="378"/>
    </row>
    <row r="503">
      <c r="C503" s="378"/>
    </row>
    <row r="504">
      <c r="C504" s="378"/>
    </row>
    <row r="505">
      <c r="C505" s="378"/>
    </row>
    <row r="506">
      <c r="C506" s="378"/>
    </row>
    <row r="507">
      <c r="C507" s="378"/>
    </row>
    <row r="508">
      <c r="C508" s="378"/>
    </row>
    <row r="509">
      <c r="C509" s="378"/>
    </row>
    <row r="510">
      <c r="C510" s="378"/>
    </row>
    <row r="511">
      <c r="C511" s="378"/>
    </row>
    <row r="512">
      <c r="C512" s="378"/>
    </row>
    <row r="513">
      <c r="C513" s="378"/>
    </row>
    <row r="514">
      <c r="C514" s="378"/>
    </row>
    <row r="515">
      <c r="C515" s="378"/>
    </row>
    <row r="516">
      <c r="C516" s="378"/>
    </row>
    <row r="517">
      <c r="C517" s="378"/>
    </row>
    <row r="518">
      <c r="C518" s="378"/>
    </row>
    <row r="519">
      <c r="C519" s="378"/>
    </row>
    <row r="520">
      <c r="C520" s="378"/>
    </row>
    <row r="521">
      <c r="C521" s="378"/>
    </row>
    <row r="522">
      <c r="C522" s="378"/>
    </row>
    <row r="523">
      <c r="C523" s="378"/>
    </row>
    <row r="524">
      <c r="C524" s="378"/>
    </row>
    <row r="525">
      <c r="C525" s="378"/>
    </row>
    <row r="526">
      <c r="C526" s="378"/>
    </row>
    <row r="527">
      <c r="C527" s="378"/>
    </row>
    <row r="528">
      <c r="C528" s="378"/>
    </row>
    <row r="529">
      <c r="C529" s="378"/>
    </row>
    <row r="530">
      <c r="C530" s="378"/>
    </row>
    <row r="531">
      <c r="C531" s="378"/>
    </row>
    <row r="532">
      <c r="C532" s="378"/>
    </row>
    <row r="533">
      <c r="C533" s="378"/>
    </row>
    <row r="534">
      <c r="C534" s="378"/>
    </row>
    <row r="535">
      <c r="C535" s="378"/>
    </row>
    <row r="536">
      <c r="C536" s="378"/>
    </row>
    <row r="537">
      <c r="C537" s="378"/>
    </row>
    <row r="538">
      <c r="C538" s="378"/>
    </row>
    <row r="539">
      <c r="C539" s="378"/>
    </row>
    <row r="540">
      <c r="C540" s="378"/>
    </row>
    <row r="541">
      <c r="C541" s="378"/>
    </row>
    <row r="542">
      <c r="C542" s="378"/>
    </row>
    <row r="543">
      <c r="C543" s="378"/>
    </row>
    <row r="544">
      <c r="C544" s="378"/>
    </row>
    <row r="545">
      <c r="C545" s="378"/>
    </row>
    <row r="546">
      <c r="C546" s="378"/>
    </row>
    <row r="547">
      <c r="C547" s="378"/>
    </row>
    <row r="548">
      <c r="C548" s="378"/>
    </row>
    <row r="549">
      <c r="C549" s="378"/>
    </row>
    <row r="550">
      <c r="C550" s="378"/>
    </row>
    <row r="551">
      <c r="C551" s="378"/>
    </row>
    <row r="552">
      <c r="C552" s="378"/>
    </row>
    <row r="553">
      <c r="C553" s="378"/>
    </row>
    <row r="554">
      <c r="C554" s="378"/>
    </row>
    <row r="555">
      <c r="C555" s="378"/>
    </row>
    <row r="556">
      <c r="C556" s="378"/>
    </row>
    <row r="557">
      <c r="C557" s="378"/>
    </row>
    <row r="558">
      <c r="C558" s="378"/>
    </row>
    <row r="559">
      <c r="C559" s="378"/>
    </row>
    <row r="560">
      <c r="C560" s="378"/>
    </row>
    <row r="561">
      <c r="C561" s="378"/>
    </row>
    <row r="562">
      <c r="C562" s="378"/>
    </row>
    <row r="563">
      <c r="C563" s="378"/>
    </row>
    <row r="564">
      <c r="C564" s="378"/>
    </row>
    <row r="565">
      <c r="C565" s="378"/>
    </row>
    <row r="566">
      <c r="C566" s="378"/>
    </row>
    <row r="567">
      <c r="C567" s="378"/>
    </row>
    <row r="568">
      <c r="C568" s="378"/>
    </row>
    <row r="569">
      <c r="C569" s="378"/>
    </row>
    <row r="570">
      <c r="C570" s="378"/>
    </row>
    <row r="571">
      <c r="C571" s="378"/>
    </row>
    <row r="572">
      <c r="C572" s="378"/>
    </row>
    <row r="573">
      <c r="C573" s="378"/>
    </row>
    <row r="574">
      <c r="C574" s="378"/>
    </row>
    <row r="575">
      <c r="C575" s="378"/>
    </row>
    <row r="576">
      <c r="C576" s="378"/>
    </row>
    <row r="577">
      <c r="C577" s="378"/>
    </row>
    <row r="578">
      <c r="C578" s="378"/>
    </row>
    <row r="579">
      <c r="C579" s="378"/>
    </row>
    <row r="580">
      <c r="C580" s="378"/>
    </row>
    <row r="581">
      <c r="C581" s="378"/>
    </row>
    <row r="582">
      <c r="C582" s="378"/>
    </row>
    <row r="583">
      <c r="C583" s="378"/>
    </row>
    <row r="584">
      <c r="C584" s="378"/>
    </row>
    <row r="585">
      <c r="C585" s="378"/>
    </row>
    <row r="586">
      <c r="C586" s="378"/>
    </row>
    <row r="587">
      <c r="C587" s="378"/>
    </row>
    <row r="588">
      <c r="C588" s="378"/>
    </row>
    <row r="589">
      <c r="C589" s="378"/>
    </row>
    <row r="590">
      <c r="C590" s="378"/>
    </row>
    <row r="591">
      <c r="C591" s="378"/>
    </row>
    <row r="592">
      <c r="C592" s="378"/>
    </row>
    <row r="593">
      <c r="C593" s="378"/>
    </row>
    <row r="594">
      <c r="C594" s="378"/>
    </row>
    <row r="595">
      <c r="C595" s="378"/>
    </row>
    <row r="596">
      <c r="C596" s="378"/>
    </row>
    <row r="597">
      <c r="C597" s="378"/>
    </row>
    <row r="598">
      <c r="C598" s="378"/>
    </row>
    <row r="599">
      <c r="C599" s="378"/>
    </row>
    <row r="600">
      <c r="C600" s="378"/>
    </row>
    <row r="601">
      <c r="C601" s="378"/>
    </row>
    <row r="602">
      <c r="C602" s="378"/>
    </row>
    <row r="603">
      <c r="C603" s="378"/>
    </row>
    <row r="604">
      <c r="C604" s="378"/>
    </row>
    <row r="605">
      <c r="C605" s="378"/>
    </row>
    <row r="606">
      <c r="C606" s="378"/>
    </row>
    <row r="607">
      <c r="C607" s="378"/>
    </row>
    <row r="608">
      <c r="C608" s="378"/>
    </row>
    <row r="609">
      <c r="C609" s="378"/>
    </row>
    <row r="610">
      <c r="C610" s="378"/>
    </row>
    <row r="611">
      <c r="C611" s="378"/>
    </row>
    <row r="612">
      <c r="C612" s="378"/>
    </row>
    <row r="613">
      <c r="C613" s="378"/>
    </row>
    <row r="614">
      <c r="C614" s="378"/>
    </row>
    <row r="615">
      <c r="C615" s="378"/>
    </row>
    <row r="616">
      <c r="C616" s="378"/>
    </row>
    <row r="617">
      <c r="C617" s="378"/>
    </row>
    <row r="618">
      <c r="C618" s="378"/>
    </row>
    <row r="619">
      <c r="C619" s="378"/>
    </row>
    <row r="620">
      <c r="C620" s="378"/>
    </row>
    <row r="621">
      <c r="C621" s="378"/>
    </row>
    <row r="622">
      <c r="C622" s="378"/>
    </row>
    <row r="623">
      <c r="C623" s="378"/>
    </row>
    <row r="624">
      <c r="C624" s="378"/>
    </row>
    <row r="625">
      <c r="C625" s="378"/>
    </row>
    <row r="626">
      <c r="C626" s="378"/>
    </row>
    <row r="627">
      <c r="C627" s="378"/>
    </row>
    <row r="628">
      <c r="C628" s="378"/>
    </row>
    <row r="629">
      <c r="C629" s="378"/>
    </row>
    <row r="630">
      <c r="C630" s="378"/>
    </row>
    <row r="631">
      <c r="C631" s="378"/>
    </row>
    <row r="632">
      <c r="C632" s="378"/>
    </row>
    <row r="633">
      <c r="C633" s="378"/>
    </row>
    <row r="634">
      <c r="C634" s="378"/>
    </row>
    <row r="635">
      <c r="C635" s="378"/>
    </row>
    <row r="636">
      <c r="C636" s="378"/>
    </row>
    <row r="637">
      <c r="C637" s="378"/>
    </row>
    <row r="638">
      <c r="C638" s="378"/>
    </row>
    <row r="639">
      <c r="C639" s="378"/>
    </row>
    <row r="640">
      <c r="C640" s="378"/>
    </row>
    <row r="641">
      <c r="C641" s="378"/>
    </row>
    <row r="642">
      <c r="C642" s="378"/>
    </row>
    <row r="643">
      <c r="C643" s="378"/>
    </row>
    <row r="644">
      <c r="C644" s="378"/>
    </row>
    <row r="645">
      <c r="C645" s="378"/>
    </row>
    <row r="646">
      <c r="C646" s="378"/>
    </row>
    <row r="647">
      <c r="C647" s="378"/>
    </row>
    <row r="648">
      <c r="C648" s="378"/>
    </row>
    <row r="649">
      <c r="C649" s="378"/>
    </row>
    <row r="650">
      <c r="C650" s="378"/>
    </row>
    <row r="651">
      <c r="C651" s="378"/>
    </row>
    <row r="652">
      <c r="C652" s="378"/>
    </row>
    <row r="653">
      <c r="C653" s="378"/>
    </row>
    <row r="654">
      <c r="C654" s="378"/>
    </row>
    <row r="655">
      <c r="C655" s="378"/>
    </row>
    <row r="656">
      <c r="C656" s="378"/>
    </row>
    <row r="657">
      <c r="C657" s="378"/>
    </row>
    <row r="658">
      <c r="C658" s="378"/>
    </row>
    <row r="659">
      <c r="C659" s="378"/>
    </row>
    <row r="660">
      <c r="C660" s="378"/>
    </row>
    <row r="661">
      <c r="C661" s="378"/>
    </row>
    <row r="662">
      <c r="C662" s="378"/>
    </row>
    <row r="663">
      <c r="C663" s="378"/>
    </row>
    <row r="664">
      <c r="C664" s="378"/>
    </row>
    <row r="665">
      <c r="C665" s="378"/>
    </row>
    <row r="666">
      <c r="C666" s="378"/>
    </row>
    <row r="667">
      <c r="C667" s="378"/>
    </row>
    <row r="668">
      <c r="C668" s="378"/>
    </row>
    <row r="669">
      <c r="C669" s="378"/>
    </row>
    <row r="670">
      <c r="C670" s="378"/>
    </row>
    <row r="671">
      <c r="C671" s="378"/>
    </row>
    <row r="672">
      <c r="C672" s="378"/>
    </row>
    <row r="673">
      <c r="C673" s="378"/>
    </row>
    <row r="674">
      <c r="C674" s="378"/>
    </row>
    <row r="675">
      <c r="C675" s="378"/>
    </row>
    <row r="676">
      <c r="C676" s="378"/>
    </row>
    <row r="677">
      <c r="C677" s="378"/>
    </row>
    <row r="678">
      <c r="C678" s="378"/>
    </row>
    <row r="679">
      <c r="C679" s="378"/>
    </row>
    <row r="680">
      <c r="C680" s="378"/>
    </row>
    <row r="681">
      <c r="C681" s="378"/>
    </row>
    <row r="682">
      <c r="C682" s="378"/>
    </row>
    <row r="683">
      <c r="C683" s="378"/>
    </row>
    <row r="684">
      <c r="C684" s="378"/>
    </row>
    <row r="685">
      <c r="C685" s="378"/>
    </row>
    <row r="686">
      <c r="C686" s="378"/>
    </row>
    <row r="687">
      <c r="C687" s="378"/>
    </row>
    <row r="688">
      <c r="C688" s="378"/>
    </row>
    <row r="689">
      <c r="C689" s="378"/>
    </row>
    <row r="690">
      <c r="C690" s="378"/>
    </row>
    <row r="691">
      <c r="C691" s="378"/>
    </row>
    <row r="692">
      <c r="C692" s="378"/>
    </row>
    <row r="693">
      <c r="C693" s="378"/>
    </row>
    <row r="694">
      <c r="C694" s="378"/>
    </row>
    <row r="695">
      <c r="C695" s="378"/>
    </row>
    <row r="696">
      <c r="C696" s="378"/>
    </row>
    <row r="697">
      <c r="C697" s="378"/>
    </row>
    <row r="698">
      <c r="C698" s="378"/>
    </row>
    <row r="699">
      <c r="C699" s="378"/>
    </row>
    <row r="700">
      <c r="C700" s="378"/>
    </row>
    <row r="701">
      <c r="C701" s="378"/>
    </row>
    <row r="702">
      <c r="C702" s="378"/>
    </row>
    <row r="703">
      <c r="C703" s="378"/>
    </row>
    <row r="704">
      <c r="C704" s="378"/>
    </row>
    <row r="705">
      <c r="C705" s="378"/>
    </row>
    <row r="706">
      <c r="C706" s="378"/>
    </row>
    <row r="707">
      <c r="C707" s="378"/>
    </row>
    <row r="708">
      <c r="C708" s="378"/>
    </row>
    <row r="709">
      <c r="C709" s="378"/>
    </row>
    <row r="710">
      <c r="C710" s="378"/>
    </row>
    <row r="711">
      <c r="C711" s="378"/>
    </row>
    <row r="712">
      <c r="C712" s="378"/>
    </row>
    <row r="713">
      <c r="C713" s="378"/>
    </row>
    <row r="714">
      <c r="C714" s="378"/>
    </row>
    <row r="715">
      <c r="C715" s="378"/>
    </row>
    <row r="716">
      <c r="C716" s="378"/>
    </row>
    <row r="717">
      <c r="C717" s="378"/>
    </row>
    <row r="718">
      <c r="C718" s="378"/>
    </row>
    <row r="719">
      <c r="C719" s="378"/>
    </row>
    <row r="720">
      <c r="C720" s="378"/>
    </row>
    <row r="721">
      <c r="C721" s="378"/>
    </row>
    <row r="722">
      <c r="C722" s="378"/>
    </row>
    <row r="723">
      <c r="C723" s="378"/>
    </row>
    <row r="724">
      <c r="C724" s="378"/>
    </row>
    <row r="725">
      <c r="C725" s="378"/>
    </row>
    <row r="726">
      <c r="C726" s="378"/>
    </row>
    <row r="727">
      <c r="C727" s="378"/>
    </row>
    <row r="728">
      <c r="C728" s="378"/>
    </row>
    <row r="729">
      <c r="C729" s="378"/>
    </row>
    <row r="730">
      <c r="C730" s="378"/>
    </row>
    <row r="731">
      <c r="C731" s="378"/>
    </row>
    <row r="732">
      <c r="C732" s="378"/>
    </row>
    <row r="733">
      <c r="C733" s="378"/>
    </row>
    <row r="734">
      <c r="C734" s="378"/>
    </row>
    <row r="735">
      <c r="C735" s="378"/>
    </row>
    <row r="736">
      <c r="C736" s="378"/>
    </row>
    <row r="737">
      <c r="C737" s="378"/>
    </row>
    <row r="738">
      <c r="C738" s="378"/>
    </row>
    <row r="739">
      <c r="C739" s="378"/>
    </row>
    <row r="740">
      <c r="C740" s="378"/>
    </row>
    <row r="741">
      <c r="C741" s="378"/>
    </row>
    <row r="742">
      <c r="C742" s="378"/>
    </row>
    <row r="743">
      <c r="C743" s="378"/>
    </row>
    <row r="744">
      <c r="C744" s="378"/>
    </row>
    <row r="745">
      <c r="C745" s="378"/>
    </row>
    <row r="746">
      <c r="C746" s="378"/>
    </row>
    <row r="747">
      <c r="C747" s="378"/>
    </row>
    <row r="748">
      <c r="C748" s="378"/>
    </row>
    <row r="749">
      <c r="C749" s="378"/>
    </row>
    <row r="750">
      <c r="C750" s="378"/>
    </row>
    <row r="751">
      <c r="C751" s="378"/>
    </row>
    <row r="752">
      <c r="C752" s="378"/>
    </row>
    <row r="753">
      <c r="C753" s="378"/>
    </row>
    <row r="754">
      <c r="C754" s="378"/>
    </row>
    <row r="755">
      <c r="C755" s="378"/>
    </row>
    <row r="756">
      <c r="C756" s="378"/>
    </row>
    <row r="757">
      <c r="C757" s="378"/>
    </row>
    <row r="758">
      <c r="C758" s="378"/>
    </row>
    <row r="759">
      <c r="C759" s="378"/>
    </row>
    <row r="760">
      <c r="C760" s="378"/>
    </row>
    <row r="761">
      <c r="C761" s="378"/>
    </row>
    <row r="762">
      <c r="C762" s="378"/>
    </row>
    <row r="763">
      <c r="C763" s="378"/>
    </row>
    <row r="764">
      <c r="C764" s="378"/>
    </row>
    <row r="765">
      <c r="C765" s="378"/>
    </row>
    <row r="766">
      <c r="C766" s="378"/>
    </row>
    <row r="767">
      <c r="C767" s="378"/>
    </row>
    <row r="768">
      <c r="C768" s="378"/>
    </row>
    <row r="769">
      <c r="C769" s="378"/>
    </row>
    <row r="770">
      <c r="C770" s="378"/>
    </row>
    <row r="771">
      <c r="C771" s="378"/>
    </row>
    <row r="772">
      <c r="C772" s="378"/>
    </row>
    <row r="773">
      <c r="C773" s="378"/>
    </row>
    <row r="774">
      <c r="C774" s="378"/>
    </row>
    <row r="775">
      <c r="C775" s="378"/>
    </row>
    <row r="776">
      <c r="C776" s="378"/>
    </row>
    <row r="777">
      <c r="C777" s="378"/>
    </row>
    <row r="778">
      <c r="C778" s="378"/>
    </row>
    <row r="779">
      <c r="C779" s="378"/>
    </row>
    <row r="780">
      <c r="C780" s="378"/>
    </row>
    <row r="781">
      <c r="C781" s="378"/>
    </row>
    <row r="782">
      <c r="C782" s="378"/>
    </row>
    <row r="783">
      <c r="C783" s="378"/>
    </row>
    <row r="784">
      <c r="C784" s="378"/>
    </row>
    <row r="785">
      <c r="C785" s="378"/>
    </row>
    <row r="786">
      <c r="C786" s="378"/>
    </row>
    <row r="787">
      <c r="C787" s="378"/>
    </row>
    <row r="788">
      <c r="C788" s="378"/>
    </row>
    <row r="789">
      <c r="C789" s="378"/>
    </row>
    <row r="790">
      <c r="C790" s="378"/>
    </row>
    <row r="791">
      <c r="C791" s="378"/>
    </row>
    <row r="792">
      <c r="C792" s="378"/>
    </row>
    <row r="793">
      <c r="C793" s="378"/>
    </row>
    <row r="794">
      <c r="C794" s="378"/>
    </row>
    <row r="795">
      <c r="C795" s="378"/>
    </row>
    <row r="796">
      <c r="C796" s="378"/>
    </row>
    <row r="797">
      <c r="C797" s="378"/>
    </row>
    <row r="798">
      <c r="C798" s="378"/>
    </row>
    <row r="799">
      <c r="C799" s="378"/>
    </row>
    <row r="800">
      <c r="C800" s="378"/>
    </row>
    <row r="801">
      <c r="C801" s="378"/>
    </row>
    <row r="802">
      <c r="C802" s="378"/>
    </row>
    <row r="803">
      <c r="C803" s="378"/>
    </row>
    <row r="804">
      <c r="C804" s="378"/>
    </row>
    <row r="805">
      <c r="C805" s="378"/>
    </row>
    <row r="806">
      <c r="C806" s="378"/>
    </row>
    <row r="807">
      <c r="C807" s="378"/>
    </row>
    <row r="808">
      <c r="C808" s="378"/>
    </row>
    <row r="809">
      <c r="C809" s="378"/>
    </row>
    <row r="810">
      <c r="C810" s="378"/>
    </row>
    <row r="811">
      <c r="C811" s="378"/>
    </row>
    <row r="812">
      <c r="C812" s="378"/>
    </row>
    <row r="813">
      <c r="C813" s="378"/>
    </row>
    <row r="814">
      <c r="C814" s="378"/>
    </row>
    <row r="815">
      <c r="C815" s="378"/>
    </row>
    <row r="816">
      <c r="C816" s="378"/>
    </row>
    <row r="817">
      <c r="C817" s="378"/>
    </row>
    <row r="818">
      <c r="C818" s="378"/>
    </row>
    <row r="819">
      <c r="C819" s="378"/>
    </row>
    <row r="820">
      <c r="C820" s="378"/>
    </row>
    <row r="821">
      <c r="C821" s="378"/>
    </row>
    <row r="822">
      <c r="C822" s="378"/>
    </row>
    <row r="823">
      <c r="C823" s="378"/>
    </row>
    <row r="824">
      <c r="C824" s="378"/>
    </row>
    <row r="825">
      <c r="C825" s="378"/>
    </row>
    <row r="826">
      <c r="C826" s="378"/>
    </row>
    <row r="827">
      <c r="C827" s="378"/>
    </row>
    <row r="828">
      <c r="C828" s="378"/>
    </row>
    <row r="829">
      <c r="C829" s="378"/>
    </row>
    <row r="830">
      <c r="C830" s="378"/>
    </row>
    <row r="831">
      <c r="C831" s="378"/>
    </row>
    <row r="832">
      <c r="C832" s="378"/>
    </row>
    <row r="833">
      <c r="C833" s="378"/>
    </row>
    <row r="834">
      <c r="C834" s="378"/>
    </row>
    <row r="835">
      <c r="C835" s="378"/>
    </row>
    <row r="836">
      <c r="C836" s="378"/>
    </row>
    <row r="837">
      <c r="C837" s="378"/>
    </row>
    <row r="838">
      <c r="C838" s="378"/>
    </row>
    <row r="839">
      <c r="C839" s="378"/>
    </row>
    <row r="840">
      <c r="C840" s="378"/>
    </row>
    <row r="841">
      <c r="C841" s="378"/>
    </row>
    <row r="842">
      <c r="C842" s="378"/>
    </row>
    <row r="843">
      <c r="C843" s="378"/>
    </row>
    <row r="844">
      <c r="C844" s="378"/>
    </row>
    <row r="845">
      <c r="C845" s="378"/>
    </row>
    <row r="846">
      <c r="C846" s="378"/>
    </row>
    <row r="847">
      <c r="C847" s="378"/>
    </row>
    <row r="848">
      <c r="C848" s="378"/>
    </row>
    <row r="849">
      <c r="C849" s="378"/>
    </row>
    <row r="850">
      <c r="C850" s="378"/>
    </row>
    <row r="851">
      <c r="C851" s="378"/>
    </row>
    <row r="852">
      <c r="C852" s="378"/>
    </row>
    <row r="853">
      <c r="C853" s="378"/>
    </row>
    <row r="854">
      <c r="C854" s="378"/>
    </row>
    <row r="855">
      <c r="C855" s="378"/>
    </row>
    <row r="856">
      <c r="C856" s="378"/>
    </row>
    <row r="857">
      <c r="C857" s="378"/>
    </row>
    <row r="858">
      <c r="C858" s="378"/>
    </row>
    <row r="859">
      <c r="C859" s="378"/>
    </row>
    <row r="860">
      <c r="C860" s="378"/>
    </row>
    <row r="861">
      <c r="C861" s="378"/>
    </row>
    <row r="862">
      <c r="C862" s="378"/>
    </row>
    <row r="863">
      <c r="C863" s="378"/>
    </row>
    <row r="864">
      <c r="C864" s="378"/>
    </row>
    <row r="865">
      <c r="C865" s="378"/>
    </row>
    <row r="866">
      <c r="C866" s="378"/>
    </row>
    <row r="867">
      <c r="C867" s="378"/>
    </row>
    <row r="868">
      <c r="C868" s="378"/>
    </row>
    <row r="869">
      <c r="C869" s="378"/>
    </row>
    <row r="870">
      <c r="C870" s="378"/>
    </row>
    <row r="871">
      <c r="C871" s="378"/>
    </row>
    <row r="872">
      <c r="C872" s="378"/>
    </row>
    <row r="873">
      <c r="C873" s="378"/>
    </row>
    <row r="874">
      <c r="C874" s="378"/>
    </row>
    <row r="875">
      <c r="C875" s="378"/>
    </row>
    <row r="876">
      <c r="C876" s="378"/>
    </row>
    <row r="877">
      <c r="C877" s="378"/>
    </row>
    <row r="878">
      <c r="C878" s="378"/>
    </row>
    <row r="879">
      <c r="C879" s="378"/>
    </row>
    <row r="880">
      <c r="C880" s="378"/>
    </row>
    <row r="881">
      <c r="C881" s="378"/>
    </row>
    <row r="882">
      <c r="C882" s="378"/>
    </row>
    <row r="883">
      <c r="C883" s="378"/>
    </row>
    <row r="884">
      <c r="C884" s="378"/>
    </row>
    <row r="885">
      <c r="C885" s="378"/>
    </row>
    <row r="886">
      <c r="C886" s="378"/>
    </row>
    <row r="887">
      <c r="C887" s="378"/>
    </row>
    <row r="888">
      <c r="C888" s="378"/>
    </row>
    <row r="889">
      <c r="C889" s="378"/>
    </row>
    <row r="890">
      <c r="C890" s="378"/>
    </row>
    <row r="891">
      <c r="C891" s="378"/>
    </row>
    <row r="892">
      <c r="C892" s="378"/>
    </row>
    <row r="893">
      <c r="C893" s="378"/>
    </row>
    <row r="894">
      <c r="C894" s="378"/>
    </row>
    <row r="895">
      <c r="C895" s="378"/>
    </row>
    <row r="896">
      <c r="C896" s="378"/>
    </row>
    <row r="897">
      <c r="C897" s="378"/>
    </row>
    <row r="898">
      <c r="C898" s="378"/>
    </row>
    <row r="899">
      <c r="C899" s="378"/>
    </row>
    <row r="900">
      <c r="C900" s="378"/>
    </row>
    <row r="901">
      <c r="C901" s="378"/>
    </row>
    <row r="902">
      <c r="C902" s="378"/>
    </row>
    <row r="903">
      <c r="C903" s="378"/>
    </row>
    <row r="904">
      <c r="C904" s="378"/>
    </row>
    <row r="905">
      <c r="C905" s="378"/>
    </row>
    <row r="906">
      <c r="C906" s="378"/>
    </row>
    <row r="907">
      <c r="C907" s="378"/>
    </row>
    <row r="908">
      <c r="C908" s="378"/>
    </row>
    <row r="909">
      <c r="C909" s="378"/>
    </row>
    <row r="910">
      <c r="C910" s="378"/>
    </row>
    <row r="911">
      <c r="C911" s="378"/>
    </row>
    <row r="912">
      <c r="C912" s="378"/>
    </row>
    <row r="913">
      <c r="C913" s="378"/>
    </row>
    <row r="914">
      <c r="C914" s="378"/>
    </row>
    <row r="915">
      <c r="C915" s="378"/>
    </row>
    <row r="916">
      <c r="C916" s="378"/>
    </row>
    <row r="917">
      <c r="C917" s="378"/>
    </row>
    <row r="918">
      <c r="C918" s="378"/>
    </row>
    <row r="919">
      <c r="C919" s="378"/>
    </row>
    <row r="920">
      <c r="C920" s="378"/>
    </row>
    <row r="921">
      <c r="C921" s="378"/>
    </row>
    <row r="922">
      <c r="C922" s="378"/>
    </row>
    <row r="923">
      <c r="C923" s="378"/>
    </row>
    <row r="924">
      <c r="C924" s="378"/>
    </row>
    <row r="925">
      <c r="C925" s="378"/>
    </row>
    <row r="926">
      <c r="C926" s="378"/>
    </row>
    <row r="927">
      <c r="C927" s="378"/>
    </row>
    <row r="928">
      <c r="C928" s="378"/>
    </row>
    <row r="929">
      <c r="C929" s="378"/>
    </row>
    <row r="930">
      <c r="C930" s="378"/>
    </row>
    <row r="931">
      <c r="C931" s="378"/>
    </row>
    <row r="932">
      <c r="C932" s="378"/>
    </row>
    <row r="933">
      <c r="C933" s="378"/>
    </row>
    <row r="934">
      <c r="C934" s="378"/>
    </row>
    <row r="935">
      <c r="C935" s="378"/>
    </row>
    <row r="936">
      <c r="C936" s="378"/>
    </row>
    <row r="937">
      <c r="C937" s="378"/>
    </row>
    <row r="938">
      <c r="C938" s="378"/>
    </row>
    <row r="939">
      <c r="C939" s="378"/>
    </row>
    <row r="940">
      <c r="C940" s="378"/>
    </row>
    <row r="941">
      <c r="C941" s="378"/>
    </row>
    <row r="942">
      <c r="C942" s="378"/>
    </row>
    <row r="943">
      <c r="C943" s="378"/>
    </row>
    <row r="944">
      <c r="C944" s="378"/>
    </row>
    <row r="945">
      <c r="C945" s="378"/>
    </row>
    <row r="946">
      <c r="C946" s="378"/>
    </row>
    <row r="947">
      <c r="C947" s="378"/>
    </row>
    <row r="948">
      <c r="C948" s="378"/>
    </row>
    <row r="949">
      <c r="C949" s="378"/>
    </row>
    <row r="950">
      <c r="C950" s="378"/>
    </row>
    <row r="951">
      <c r="C951" s="378"/>
    </row>
    <row r="952">
      <c r="C952" s="378"/>
    </row>
    <row r="953">
      <c r="C953" s="378"/>
    </row>
    <row r="954">
      <c r="C954" s="378"/>
    </row>
    <row r="955">
      <c r="C955" s="378"/>
    </row>
    <row r="956">
      <c r="C956" s="378"/>
    </row>
    <row r="957">
      <c r="C957" s="378"/>
    </row>
    <row r="958">
      <c r="C958" s="378"/>
    </row>
    <row r="959">
      <c r="C959" s="378"/>
    </row>
    <row r="960">
      <c r="C960" s="378"/>
    </row>
    <row r="961">
      <c r="C961" s="378"/>
    </row>
    <row r="962">
      <c r="C962" s="378"/>
    </row>
    <row r="963">
      <c r="C963" s="378"/>
    </row>
    <row r="964">
      <c r="C964" s="378"/>
    </row>
    <row r="965">
      <c r="C965" s="378"/>
    </row>
    <row r="966">
      <c r="C966" s="378"/>
    </row>
    <row r="967">
      <c r="C967" s="378"/>
    </row>
    <row r="968">
      <c r="C968" s="378"/>
    </row>
    <row r="969">
      <c r="C969" s="378"/>
    </row>
    <row r="970">
      <c r="C970" s="378"/>
    </row>
    <row r="971">
      <c r="C971" s="378"/>
    </row>
    <row r="972">
      <c r="C972" s="378"/>
    </row>
    <row r="973">
      <c r="C973" s="378"/>
    </row>
    <row r="974">
      <c r="C974" s="378"/>
    </row>
    <row r="975">
      <c r="C975" s="378"/>
    </row>
    <row r="976">
      <c r="C976" s="378"/>
    </row>
    <row r="977">
      <c r="C977" s="378"/>
    </row>
    <row r="978">
      <c r="C978" s="378"/>
    </row>
    <row r="979">
      <c r="C979" s="378"/>
    </row>
    <row r="980">
      <c r="C980" s="378"/>
    </row>
    <row r="981">
      <c r="C981" s="378"/>
    </row>
    <row r="982">
      <c r="C982" s="378"/>
    </row>
    <row r="983">
      <c r="C983" s="378"/>
    </row>
    <row r="984">
      <c r="C984" s="378"/>
    </row>
    <row r="985">
      <c r="C985" s="378"/>
    </row>
    <row r="986">
      <c r="C986" s="378"/>
    </row>
    <row r="987">
      <c r="C987" s="378"/>
    </row>
    <row r="988">
      <c r="C988" s="378"/>
    </row>
    <row r="989">
      <c r="C989" s="378"/>
    </row>
    <row r="990">
      <c r="C990" s="378"/>
    </row>
    <row r="991">
      <c r="C991" s="378"/>
    </row>
    <row r="992">
      <c r="C992" s="378"/>
    </row>
    <row r="993">
      <c r="C993" s="378"/>
    </row>
    <row r="994">
      <c r="C994" s="378"/>
    </row>
    <row r="995">
      <c r="C995" s="378"/>
    </row>
    <row r="996">
      <c r="C996" s="378"/>
    </row>
    <row r="997">
      <c r="C997" s="378"/>
    </row>
    <row r="998">
      <c r="C998" s="378"/>
    </row>
    <row r="999">
      <c r="C999" s="378"/>
    </row>
    <row r="1000">
      <c r="C1000" s="378"/>
    </row>
    <row r="1001">
      <c r="C1001" s="378"/>
    </row>
    <row r="1002">
      <c r="C1002" s="378"/>
    </row>
    <row r="1003">
      <c r="C1003" s="378"/>
    </row>
    <row r="1004">
      <c r="C1004" s="378"/>
    </row>
    <row r="1005">
      <c r="C1005" s="378"/>
    </row>
    <row r="1006">
      <c r="C1006" s="378"/>
    </row>
    <row r="1007">
      <c r="C1007" s="378"/>
    </row>
    <row r="1008">
      <c r="C1008" s="378"/>
    </row>
    <row r="1009">
      <c r="C1009" s="378"/>
    </row>
    <row r="1010">
      <c r="C1010" s="378"/>
    </row>
    <row r="1011">
      <c r="C1011" s="378"/>
    </row>
    <row r="1012">
      <c r="C1012" s="378"/>
    </row>
    <row r="1013">
      <c r="C1013" s="378"/>
    </row>
    <row r="1014">
      <c r="C1014" s="378"/>
    </row>
    <row r="1015">
      <c r="C1015" s="378"/>
    </row>
    <row r="1016">
      <c r="C1016" s="378"/>
    </row>
    <row r="1017">
      <c r="C1017" s="378"/>
    </row>
    <row r="1018">
      <c r="C1018" s="378"/>
    </row>
    <row r="1019">
      <c r="C1019" s="378"/>
    </row>
    <row r="1020">
      <c r="C1020" s="378"/>
    </row>
  </sheetData>
  <conditionalFormatting sqref="E3:E56">
    <cfRule type="containsText" dxfId="7" priority="1" operator="containsText" text="MENSALIDADE">
      <formula>NOT(ISERROR(SEARCH(("MENSALIDADE"),(E3))))</formula>
    </cfRule>
  </conditionalFormatting>
  <conditionalFormatting sqref="E3:E56">
    <cfRule type="containsText" dxfId="8" priority="2" operator="containsText" text="UNIFORME">
      <formula>NOT(ISERROR(SEARCH(("UNIFORME"),(E3))))</formula>
    </cfRule>
  </conditionalFormatting>
  <conditionalFormatting sqref="E3:E56">
    <cfRule type="containsText" dxfId="8" priority="3" operator="containsText" text="CALÇÃO">
      <formula>NOT(ISERROR(SEARCH(("CALÇÃO"),(E3))))</formula>
    </cfRule>
  </conditionalFormatting>
  <conditionalFormatting sqref="E3:E56">
    <cfRule type="containsText" dxfId="8" priority="4" operator="containsText" text="CAMISA">
      <formula>NOT(ISERROR(SEARCH(("CAMISA"),(E3))))</formula>
    </cfRule>
  </conditionalFormatting>
  <conditionalFormatting sqref="E3:E56">
    <cfRule type="containsText" dxfId="8" priority="5" operator="containsText" text="MEIÃO">
      <formula>NOT(ISERROR(SEARCH(("MEIÃO"),(E3))))</formula>
    </cfRule>
  </conditionalFormatting>
  <conditionalFormatting sqref="E3:E56">
    <cfRule type="containsText" dxfId="8" priority="6" operator="containsText" text="CAMISETA">
      <formula>NOT(ISERROR(SEARCH(("CAMISETA"),(E3))))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4.25"/>
    <col customWidth="1" min="3" max="3" width="9.88"/>
    <col customWidth="1" min="4" max="4" width="14.88"/>
    <col customWidth="1" min="5" max="5" width="71.25"/>
    <col customWidth="1" min="6" max="6" width="17.75"/>
    <col customWidth="1" min="7" max="7" width="14.88"/>
    <col customWidth="1" min="8" max="9" width="21.13"/>
  </cols>
  <sheetData>
    <row r="1">
      <c r="A1" s="349"/>
      <c r="B1" s="350"/>
      <c r="C1" s="351"/>
      <c r="D1" s="352"/>
      <c r="E1" s="352" t="s">
        <v>1036</v>
      </c>
    </row>
    <row r="2">
      <c r="A2" s="383" t="s">
        <v>2</v>
      </c>
      <c r="B2" s="384" t="s">
        <v>3</v>
      </c>
      <c r="C2" s="355" t="s">
        <v>4</v>
      </c>
      <c r="D2" s="356" t="s">
        <v>5</v>
      </c>
      <c r="E2" s="357" t="s">
        <v>6</v>
      </c>
      <c r="F2" s="30" t="s">
        <v>17</v>
      </c>
      <c r="G2" s="31" t="s">
        <v>19</v>
      </c>
      <c r="H2" s="33" t="s">
        <v>21</v>
      </c>
    </row>
    <row r="3">
      <c r="A3" s="367">
        <v>46056.0</v>
      </c>
      <c r="B3" s="385">
        <v>312.0</v>
      </c>
      <c r="C3" s="358"/>
      <c r="D3" s="386" t="s">
        <v>60</v>
      </c>
      <c r="E3" s="12" t="s">
        <v>1039</v>
      </c>
      <c r="F3" s="42">
        <f t="shared" ref="F3:G3" si="1">SUM(B2:B41)</f>
        <v>3007</v>
      </c>
      <c r="G3" s="49">
        <f t="shared" si="1"/>
        <v>0</v>
      </c>
      <c r="H3" s="53">
        <f>F3-G3</f>
        <v>3007</v>
      </c>
    </row>
    <row r="4">
      <c r="A4" s="367">
        <v>46056.0</v>
      </c>
      <c r="B4" s="385">
        <v>240.0</v>
      </c>
      <c r="C4" s="244"/>
      <c r="D4" s="372" t="s">
        <v>11</v>
      </c>
      <c r="E4" s="12" t="s">
        <v>1041</v>
      </c>
    </row>
    <row r="5">
      <c r="A5" s="367">
        <v>46055.0</v>
      </c>
      <c r="B5" s="385">
        <v>330.0</v>
      </c>
      <c r="C5" s="244"/>
      <c r="D5" s="372" t="s">
        <v>11</v>
      </c>
      <c r="E5" s="12" t="s">
        <v>1042</v>
      </c>
    </row>
    <row r="6">
      <c r="A6" s="367">
        <v>46058.0</v>
      </c>
      <c r="B6" s="388">
        <v>250.0</v>
      </c>
      <c r="C6" s="358"/>
      <c r="D6" s="372" t="s">
        <v>60</v>
      </c>
      <c r="E6" s="12" t="s">
        <v>1044</v>
      </c>
    </row>
    <row r="7">
      <c r="A7" s="367">
        <v>46058.0</v>
      </c>
      <c r="B7" s="385">
        <v>465.0</v>
      </c>
      <c r="C7" s="244"/>
      <c r="D7" s="372" t="s">
        <v>11</v>
      </c>
      <c r="E7" s="12" t="s">
        <v>1045</v>
      </c>
    </row>
    <row r="8">
      <c r="A8" s="367">
        <v>46063.0</v>
      </c>
      <c r="B8" s="385">
        <v>250.0</v>
      </c>
      <c r="C8" s="244"/>
      <c r="D8" s="372" t="s">
        <v>11</v>
      </c>
      <c r="E8" s="12" t="s">
        <v>1046</v>
      </c>
    </row>
    <row r="9">
      <c r="A9" s="367">
        <v>46063.0</v>
      </c>
      <c r="B9" s="385">
        <v>230.0</v>
      </c>
      <c r="C9" s="244"/>
      <c r="D9" s="372" t="s">
        <v>60</v>
      </c>
      <c r="E9" s="12" t="s">
        <v>1047</v>
      </c>
    </row>
    <row r="10">
      <c r="A10" s="367">
        <v>46062.0</v>
      </c>
      <c r="B10" s="385">
        <v>350.0</v>
      </c>
      <c r="C10" s="363"/>
      <c r="D10" s="372" t="s">
        <v>60</v>
      </c>
      <c r="E10" s="12" t="s">
        <v>1049</v>
      </c>
    </row>
    <row r="11">
      <c r="A11" s="367">
        <v>46062.0</v>
      </c>
      <c r="B11" s="385">
        <v>350.0</v>
      </c>
      <c r="C11" s="358"/>
      <c r="D11" s="372" t="s">
        <v>1053</v>
      </c>
      <c r="E11" s="12" t="s">
        <v>1055</v>
      </c>
    </row>
    <row r="12">
      <c r="A12" s="367">
        <v>46076.0</v>
      </c>
      <c r="B12" s="385">
        <v>230.0</v>
      </c>
      <c r="C12" s="244"/>
      <c r="D12" s="372" t="s">
        <v>11</v>
      </c>
      <c r="E12" s="12" t="s">
        <v>1058</v>
      </c>
    </row>
    <row r="13">
      <c r="A13" s="367"/>
      <c r="B13" s="388"/>
      <c r="C13" s="244"/>
      <c r="D13" s="386"/>
      <c r="E13" s="12"/>
    </row>
    <row r="14">
      <c r="A14" s="367"/>
      <c r="B14" s="385"/>
      <c r="C14" s="244"/>
      <c r="D14" s="372"/>
      <c r="E14" s="12"/>
    </row>
    <row r="15">
      <c r="A15" s="367"/>
      <c r="B15" s="385"/>
      <c r="C15" s="244"/>
      <c r="D15" s="372"/>
      <c r="E15" s="12"/>
    </row>
    <row r="16">
      <c r="A16" s="367"/>
      <c r="B16" s="385"/>
      <c r="C16" s="358"/>
      <c r="D16" s="372"/>
      <c r="E16" s="12"/>
    </row>
    <row r="17">
      <c r="A17" s="367"/>
      <c r="B17" s="385"/>
      <c r="C17" s="244"/>
      <c r="D17" s="372"/>
      <c r="E17" s="12"/>
    </row>
    <row r="18">
      <c r="A18" s="367"/>
      <c r="B18" s="385"/>
      <c r="C18" s="244"/>
      <c r="D18" s="372"/>
      <c r="E18" s="12"/>
    </row>
    <row r="19">
      <c r="A19" s="367"/>
      <c r="B19" s="385"/>
      <c r="C19" s="358"/>
      <c r="D19" s="372"/>
      <c r="E19" s="12"/>
    </row>
    <row r="20">
      <c r="A20" s="367"/>
      <c r="B20" s="385"/>
      <c r="C20" s="358"/>
      <c r="D20" s="372"/>
      <c r="E20" s="12"/>
    </row>
    <row r="21">
      <c r="A21" s="367"/>
      <c r="B21" s="385"/>
      <c r="C21" s="244"/>
      <c r="D21" s="372"/>
      <c r="E21" s="12"/>
    </row>
    <row r="22">
      <c r="A22" s="367"/>
      <c r="B22" s="385"/>
      <c r="C22" s="244"/>
      <c r="D22" s="372"/>
      <c r="E22" s="12"/>
    </row>
    <row r="23">
      <c r="A23" s="367"/>
      <c r="B23" s="385"/>
      <c r="C23" s="244"/>
      <c r="D23" s="386"/>
      <c r="E23" s="12"/>
    </row>
    <row r="24">
      <c r="A24" s="367"/>
      <c r="B24" s="385"/>
      <c r="C24" s="358"/>
      <c r="D24" s="372"/>
      <c r="E24" s="12"/>
    </row>
    <row r="25">
      <c r="A25" s="367"/>
      <c r="B25" s="385"/>
      <c r="C25" s="244"/>
      <c r="D25" s="372"/>
      <c r="E25" s="12"/>
    </row>
    <row r="26">
      <c r="A26" s="367"/>
      <c r="B26" s="385"/>
      <c r="C26" s="244"/>
      <c r="D26" s="372"/>
      <c r="E26" s="12"/>
    </row>
    <row r="27">
      <c r="A27" s="367"/>
      <c r="B27" s="385"/>
      <c r="C27" s="244"/>
      <c r="D27" s="372"/>
      <c r="E27" s="12"/>
    </row>
    <row r="28">
      <c r="A28" s="367"/>
      <c r="B28" s="385"/>
      <c r="C28" s="358"/>
      <c r="D28" s="372"/>
      <c r="E28" s="12"/>
    </row>
    <row r="29">
      <c r="A29" s="367"/>
      <c r="B29" s="385"/>
      <c r="C29" s="244"/>
      <c r="D29" s="372"/>
      <c r="E29" s="12"/>
    </row>
    <row r="30">
      <c r="A30" s="367"/>
      <c r="B30" s="385"/>
      <c r="C30" s="244"/>
      <c r="D30" s="372"/>
      <c r="E30" s="12"/>
    </row>
    <row r="31">
      <c r="A31" s="367"/>
      <c r="B31" s="385"/>
      <c r="C31" s="244"/>
      <c r="D31" s="372"/>
      <c r="E31" s="12"/>
    </row>
    <row r="32">
      <c r="A32" s="367"/>
      <c r="B32" s="385"/>
      <c r="C32" s="362"/>
      <c r="D32" s="372"/>
      <c r="E32" s="12"/>
    </row>
    <row r="33">
      <c r="A33" s="367"/>
      <c r="B33" s="385"/>
      <c r="C33" s="363"/>
      <c r="D33" s="392"/>
      <c r="E33" s="12"/>
    </row>
    <row r="34">
      <c r="A34" s="367"/>
      <c r="B34" s="393"/>
      <c r="C34" s="358"/>
      <c r="D34" s="372"/>
      <c r="E34" s="12"/>
    </row>
    <row r="35">
      <c r="A35" s="367"/>
      <c r="B35" s="385"/>
      <c r="C35" s="358"/>
      <c r="D35" s="372"/>
      <c r="E35" s="12"/>
    </row>
    <row r="36">
      <c r="A36" s="367"/>
      <c r="B36" s="385"/>
      <c r="C36" s="244"/>
      <c r="D36" s="372"/>
      <c r="E36" s="12"/>
    </row>
    <row r="37">
      <c r="A37" s="367"/>
      <c r="B37" s="385"/>
      <c r="C37" s="244"/>
      <c r="D37" s="372"/>
      <c r="E37" s="12"/>
    </row>
    <row r="38">
      <c r="A38" s="367"/>
      <c r="B38" s="385"/>
      <c r="C38" s="244"/>
      <c r="D38" s="372"/>
      <c r="E38" s="12"/>
    </row>
    <row r="39">
      <c r="A39" s="367"/>
      <c r="B39" s="385"/>
      <c r="C39" s="244"/>
      <c r="D39" s="372"/>
      <c r="E39" s="12"/>
    </row>
    <row r="40">
      <c r="A40" s="367"/>
      <c r="B40" s="385"/>
      <c r="C40" s="244"/>
      <c r="D40" s="372"/>
      <c r="E40" s="12"/>
    </row>
    <row r="41">
      <c r="A41" s="367"/>
      <c r="B41" s="393"/>
      <c r="C41" s="358"/>
      <c r="D41" s="240"/>
      <c r="E41" s="240"/>
    </row>
    <row r="42">
      <c r="A42" s="367"/>
      <c r="B42" s="393"/>
      <c r="C42" s="244"/>
      <c r="D42" s="240"/>
      <c r="E42" s="240"/>
    </row>
    <row r="43">
      <c r="A43" s="367"/>
      <c r="B43" s="393"/>
      <c r="C43" s="358"/>
      <c r="D43" s="240"/>
      <c r="E43" s="240"/>
    </row>
    <row r="44">
      <c r="A44" s="367"/>
      <c r="B44" s="393"/>
      <c r="C44" s="244"/>
      <c r="D44" s="240"/>
      <c r="E44" s="240"/>
    </row>
    <row r="45">
      <c r="A45" s="367"/>
      <c r="B45" s="385"/>
      <c r="C45" s="244"/>
      <c r="D45" s="240"/>
      <c r="E45" s="240"/>
    </row>
    <row r="46">
      <c r="A46" s="367"/>
      <c r="B46" s="385"/>
      <c r="C46" s="358"/>
      <c r="D46" s="240"/>
      <c r="E46" s="240"/>
    </row>
    <row r="47">
      <c r="A47" s="394"/>
      <c r="B47" s="385"/>
      <c r="C47" s="362"/>
      <c r="D47" s="361"/>
      <c r="E47" s="361"/>
    </row>
    <row r="48">
      <c r="A48" s="367"/>
      <c r="B48" s="385"/>
      <c r="C48" s="358"/>
      <c r="D48" s="240"/>
      <c r="E48" s="240"/>
    </row>
    <row r="49">
      <c r="A49" s="367"/>
      <c r="B49" s="395"/>
      <c r="C49" s="362"/>
      <c r="D49" s="361"/>
      <c r="E49" s="361"/>
    </row>
    <row r="50">
      <c r="A50" s="367"/>
      <c r="B50" s="385"/>
      <c r="C50" s="358"/>
      <c r="D50" s="240"/>
      <c r="E50" s="240"/>
    </row>
    <row r="51">
      <c r="A51" s="367"/>
      <c r="B51" s="388"/>
      <c r="C51" s="358"/>
      <c r="D51" s="240"/>
      <c r="E51" s="240"/>
    </row>
    <row r="52">
      <c r="A52" s="367"/>
      <c r="B52" s="385"/>
      <c r="C52" s="358"/>
      <c r="D52" s="240"/>
      <c r="E52" s="240"/>
    </row>
    <row r="53">
      <c r="A53" s="367"/>
      <c r="B53" s="385"/>
      <c r="C53" s="358"/>
      <c r="D53" s="240"/>
      <c r="E53" s="240"/>
    </row>
    <row r="54">
      <c r="A54" s="367"/>
      <c r="B54" s="388"/>
      <c r="C54" s="358"/>
      <c r="D54" s="240"/>
      <c r="E54" s="240"/>
    </row>
    <row r="55">
      <c r="A55" s="367"/>
      <c r="B55" s="385"/>
      <c r="C55" s="358"/>
      <c r="D55" s="240"/>
      <c r="E55" s="240"/>
    </row>
    <row r="56">
      <c r="A56" s="367"/>
      <c r="B56" s="385"/>
      <c r="C56" s="362"/>
      <c r="D56" s="361"/>
      <c r="E56" s="361"/>
    </row>
    <row r="57">
      <c r="A57" s="367"/>
      <c r="B57" s="385"/>
      <c r="C57" s="358"/>
      <c r="D57" s="240"/>
      <c r="E57" s="240"/>
    </row>
    <row r="58">
      <c r="A58" s="367"/>
      <c r="B58" s="385"/>
      <c r="C58" s="244"/>
      <c r="D58" s="240"/>
      <c r="E58" s="240"/>
    </row>
    <row r="59">
      <c r="A59" s="367"/>
      <c r="B59" s="385"/>
      <c r="C59" s="358"/>
      <c r="D59" s="240"/>
      <c r="E59" s="240"/>
    </row>
    <row r="60">
      <c r="A60" s="240"/>
      <c r="B60" s="393"/>
      <c r="C60" s="358"/>
      <c r="D60" s="240"/>
      <c r="E60" s="240"/>
    </row>
    <row r="61">
      <c r="A61" s="367"/>
      <c r="B61" s="393"/>
      <c r="C61" s="358"/>
      <c r="D61" s="240"/>
      <c r="E61" s="240"/>
    </row>
    <row r="62">
      <c r="A62" s="367"/>
      <c r="B62" s="385"/>
      <c r="C62" s="358"/>
      <c r="D62" s="240"/>
      <c r="E62" s="240"/>
    </row>
    <row r="63">
      <c r="A63" s="371"/>
      <c r="B63" s="385"/>
      <c r="C63" s="358"/>
      <c r="D63" s="240"/>
      <c r="E63" s="240"/>
    </row>
    <row r="64">
      <c r="A64" s="371"/>
      <c r="B64" s="385"/>
      <c r="C64" s="358"/>
      <c r="D64" s="240"/>
      <c r="E64" s="240"/>
    </row>
    <row r="65">
      <c r="A65" s="367"/>
      <c r="B65" s="385"/>
      <c r="C65" s="358"/>
      <c r="D65" s="240"/>
      <c r="E65" s="240"/>
    </row>
    <row r="66">
      <c r="A66" s="371"/>
      <c r="B66" s="385"/>
      <c r="C66" s="358"/>
      <c r="D66" s="240"/>
      <c r="E66" s="240"/>
    </row>
    <row r="67">
      <c r="A67" s="371"/>
      <c r="B67" s="385"/>
      <c r="C67" s="358"/>
      <c r="D67" s="372"/>
      <c r="E67" s="372"/>
    </row>
    <row r="68">
      <c r="A68" s="367"/>
      <c r="B68" s="385"/>
      <c r="C68" s="358"/>
      <c r="D68" s="240"/>
      <c r="E68" s="240"/>
    </row>
    <row r="69">
      <c r="A69" s="371"/>
      <c r="B69" s="385"/>
      <c r="C69" s="358"/>
      <c r="D69" s="240"/>
      <c r="E69" s="240"/>
    </row>
    <row r="70">
      <c r="A70" s="367"/>
      <c r="B70" s="385"/>
      <c r="C70" s="358"/>
      <c r="D70" s="240"/>
      <c r="E70" s="240"/>
    </row>
    <row r="71">
      <c r="A71" s="367"/>
      <c r="B71" s="385"/>
      <c r="C71" s="358"/>
      <c r="D71" s="240"/>
      <c r="E71" s="240"/>
    </row>
    <row r="72">
      <c r="A72" s="367"/>
      <c r="B72" s="396"/>
      <c r="C72" s="358"/>
      <c r="D72" s="240"/>
      <c r="E72" s="240"/>
    </row>
    <row r="73">
      <c r="A73" s="367"/>
      <c r="B73" s="385"/>
      <c r="C73" s="358"/>
      <c r="D73" s="240"/>
      <c r="E73" s="240"/>
    </row>
    <row r="74">
      <c r="A74" s="367"/>
      <c r="B74" s="385"/>
      <c r="C74" s="358"/>
      <c r="D74" s="240"/>
      <c r="E74" s="240"/>
    </row>
    <row r="75">
      <c r="A75" s="367"/>
      <c r="B75" s="385"/>
      <c r="C75" s="358"/>
      <c r="D75" s="240"/>
      <c r="E75" s="240"/>
    </row>
    <row r="76">
      <c r="A76" s="245"/>
      <c r="B76" s="385"/>
      <c r="C76" s="358"/>
      <c r="D76" s="240"/>
      <c r="E76" s="240"/>
    </row>
    <row r="77">
      <c r="A77" s="245"/>
      <c r="B77" s="385"/>
      <c r="C77" s="358"/>
      <c r="D77" s="240"/>
      <c r="E77" s="240"/>
    </row>
    <row r="78">
      <c r="A78" s="245"/>
      <c r="B78" s="385"/>
      <c r="C78" s="358"/>
      <c r="D78" s="240"/>
      <c r="E78" s="240"/>
    </row>
    <row r="79">
      <c r="A79" s="245"/>
      <c r="B79" s="385"/>
      <c r="C79" s="358"/>
      <c r="D79" s="240"/>
      <c r="E79" s="240"/>
    </row>
    <row r="80">
      <c r="A80" s="245"/>
      <c r="B80" s="385"/>
      <c r="C80" s="358"/>
      <c r="D80" s="240"/>
      <c r="E80" s="240"/>
    </row>
    <row r="81">
      <c r="A81" s="371"/>
      <c r="B81" s="385"/>
      <c r="C81" s="358"/>
      <c r="D81" s="240"/>
      <c r="E81" s="240"/>
    </row>
    <row r="82">
      <c r="A82" s="371"/>
      <c r="B82" s="385"/>
      <c r="C82" s="358"/>
      <c r="D82" s="240"/>
      <c r="E82" s="240"/>
    </row>
    <row r="83">
      <c r="A83" s="240"/>
      <c r="B83" s="385"/>
      <c r="C83" s="358"/>
      <c r="D83" s="240"/>
      <c r="E83" s="240"/>
    </row>
    <row r="84">
      <c r="A84" s="371"/>
      <c r="B84" s="397"/>
      <c r="C84" s="358"/>
      <c r="D84" s="240"/>
      <c r="E84" s="240"/>
    </row>
    <row r="85">
      <c r="A85" s="371"/>
      <c r="B85" s="385"/>
      <c r="C85" s="358"/>
      <c r="D85" s="240"/>
      <c r="E85" s="240"/>
    </row>
    <row r="86">
      <c r="A86" s="371"/>
      <c r="B86" s="385"/>
      <c r="C86" s="358"/>
      <c r="D86" s="240"/>
      <c r="E86" s="240"/>
    </row>
    <row r="87">
      <c r="A87" s="371"/>
      <c r="B87" s="385"/>
      <c r="C87" s="358"/>
      <c r="D87" s="240"/>
      <c r="E87" s="240"/>
    </row>
    <row r="88">
      <c r="A88" s="245"/>
      <c r="B88" s="398"/>
      <c r="C88" s="358"/>
      <c r="D88" s="245"/>
      <c r="E88" s="245"/>
    </row>
    <row r="89">
      <c r="A89" s="245"/>
      <c r="B89" s="398"/>
      <c r="C89" s="358"/>
      <c r="D89" s="245"/>
      <c r="E89" s="245"/>
    </row>
    <row r="90">
      <c r="A90" s="245"/>
      <c r="B90" s="398"/>
      <c r="C90" s="358"/>
      <c r="D90" s="245"/>
      <c r="E90" s="245"/>
    </row>
    <row r="91">
      <c r="A91" s="245"/>
      <c r="B91" s="398"/>
      <c r="C91" s="358"/>
      <c r="D91" s="245"/>
      <c r="E91" s="245"/>
    </row>
    <row r="92">
      <c r="A92" s="245"/>
      <c r="B92" s="398"/>
      <c r="C92" s="358"/>
      <c r="D92" s="245"/>
      <c r="E92" s="245"/>
    </row>
    <row r="93">
      <c r="A93" s="245"/>
      <c r="B93" s="398"/>
      <c r="C93" s="358"/>
      <c r="D93" s="245"/>
      <c r="E93" s="245"/>
    </row>
    <row r="94">
      <c r="A94" s="245"/>
      <c r="B94" s="398"/>
      <c r="C94" s="358"/>
      <c r="D94" s="245"/>
      <c r="E94" s="245"/>
    </row>
    <row r="95">
      <c r="C95" s="320"/>
    </row>
    <row r="96">
      <c r="C96" s="320"/>
    </row>
    <row r="97">
      <c r="C97" s="320"/>
    </row>
    <row r="98">
      <c r="C98" s="320"/>
    </row>
    <row r="99">
      <c r="C99" s="320"/>
    </row>
    <row r="100">
      <c r="C100" s="320"/>
    </row>
    <row r="101">
      <c r="C101" s="320"/>
    </row>
    <row r="102">
      <c r="C102" s="320"/>
    </row>
    <row r="103">
      <c r="C103" s="320"/>
    </row>
    <row r="104">
      <c r="C104" s="320"/>
    </row>
    <row r="105">
      <c r="C105" s="320"/>
    </row>
    <row r="106">
      <c r="C106" s="320"/>
    </row>
    <row r="107">
      <c r="C107" s="320"/>
    </row>
    <row r="108">
      <c r="C108" s="320"/>
    </row>
    <row r="109">
      <c r="C109" s="320"/>
    </row>
    <row r="110">
      <c r="C110" s="320"/>
    </row>
    <row r="111">
      <c r="C111" s="320"/>
    </row>
    <row r="112">
      <c r="C112" s="320"/>
    </row>
    <row r="113">
      <c r="C113" s="320"/>
    </row>
    <row r="114">
      <c r="C114" s="320"/>
    </row>
    <row r="115">
      <c r="C115" s="320"/>
    </row>
    <row r="116">
      <c r="C116" s="320"/>
    </row>
    <row r="117">
      <c r="C117" s="320"/>
    </row>
    <row r="118">
      <c r="C118" s="320"/>
    </row>
    <row r="119">
      <c r="C119" s="320"/>
    </row>
    <row r="120">
      <c r="C120" s="320"/>
    </row>
    <row r="121">
      <c r="C121" s="320"/>
    </row>
    <row r="122">
      <c r="C122" s="320"/>
    </row>
    <row r="123">
      <c r="C123" s="320"/>
    </row>
    <row r="124">
      <c r="C124" s="320"/>
    </row>
    <row r="125">
      <c r="C125" s="320"/>
    </row>
    <row r="126">
      <c r="C126" s="320"/>
    </row>
    <row r="127">
      <c r="C127" s="320"/>
    </row>
    <row r="128">
      <c r="C128" s="320"/>
    </row>
    <row r="129">
      <c r="C129" s="320"/>
    </row>
    <row r="130">
      <c r="C130" s="320"/>
    </row>
    <row r="131">
      <c r="C131" s="320"/>
    </row>
    <row r="132">
      <c r="C132" s="320"/>
    </row>
    <row r="133">
      <c r="C133" s="320"/>
    </row>
    <row r="134">
      <c r="C134" s="320"/>
    </row>
    <row r="135">
      <c r="C135" s="320"/>
    </row>
    <row r="136">
      <c r="C136" s="320"/>
    </row>
    <row r="137">
      <c r="C137" s="320"/>
    </row>
    <row r="138">
      <c r="C138" s="320"/>
    </row>
    <row r="139">
      <c r="C139" s="320"/>
    </row>
    <row r="140">
      <c r="C140" s="320"/>
    </row>
    <row r="141">
      <c r="C141" s="320"/>
    </row>
    <row r="142">
      <c r="C142" s="320"/>
    </row>
    <row r="143">
      <c r="C143" s="320"/>
    </row>
    <row r="144">
      <c r="C144" s="320"/>
    </row>
    <row r="145">
      <c r="C145" s="320"/>
    </row>
    <row r="146">
      <c r="C146" s="320"/>
    </row>
    <row r="147">
      <c r="C147" s="320"/>
    </row>
    <row r="148">
      <c r="C148" s="320"/>
    </row>
    <row r="149">
      <c r="C149" s="320"/>
    </row>
    <row r="150">
      <c r="C150" s="320"/>
    </row>
    <row r="151">
      <c r="C151" s="320"/>
    </row>
    <row r="152">
      <c r="C152" s="320"/>
    </row>
    <row r="153">
      <c r="C153" s="320"/>
    </row>
    <row r="154">
      <c r="C154" s="320"/>
    </row>
    <row r="155">
      <c r="C155" s="320"/>
    </row>
    <row r="156">
      <c r="C156" s="320"/>
    </row>
    <row r="157">
      <c r="C157" s="320"/>
    </row>
    <row r="158">
      <c r="C158" s="320"/>
    </row>
    <row r="159">
      <c r="C159" s="320"/>
    </row>
    <row r="160">
      <c r="C160" s="320"/>
    </row>
    <row r="161">
      <c r="C161" s="320"/>
    </row>
    <row r="162">
      <c r="C162" s="320"/>
    </row>
    <row r="163">
      <c r="C163" s="320"/>
    </row>
    <row r="164">
      <c r="C164" s="320"/>
    </row>
    <row r="165">
      <c r="C165" s="320"/>
    </row>
    <row r="166">
      <c r="C166" s="320"/>
    </row>
    <row r="167">
      <c r="C167" s="320"/>
    </row>
    <row r="168">
      <c r="C168" s="320"/>
    </row>
    <row r="169">
      <c r="C169" s="320"/>
    </row>
    <row r="170">
      <c r="C170" s="320"/>
    </row>
    <row r="171">
      <c r="C171" s="320"/>
    </row>
    <row r="172">
      <c r="C172" s="320"/>
    </row>
    <row r="173">
      <c r="C173" s="320"/>
    </row>
    <row r="174">
      <c r="C174" s="320"/>
    </row>
    <row r="175">
      <c r="C175" s="320"/>
    </row>
    <row r="176">
      <c r="C176" s="320"/>
    </row>
    <row r="177">
      <c r="C177" s="320"/>
    </row>
    <row r="178">
      <c r="C178" s="320"/>
    </row>
    <row r="179">
      <c r="C179" s="320"/>
    </row>
    <row r="180">
      <c r="C180" s="320"/>
    </row>
    <row r="181">
      <c r="C181" s="320"/>
    </row>
    <row r="182">
      <c r="C182" s="320"/>
    </row>
    <row r="183">
      <c r="C183" s="320"/>
    </row>
    <row r="184">
      <c r="C184" s="320"/>
    </row>
    <row r="185">
      <c r="C185" s="320"/>
    </row>
    <row r="186">
      <c r="C186" s="320"/>
    </row>
    <row r="187">
      <c r="C187" s="320"/>
    </row>
    <row r="188">
      <c r="C188" s="320"/>
    </row>
    <row r="189">
      <c r="C189" s="320"/>
    </row>
    <row r="190">
      <c r="C190" s="320"/>
    </row>
    <row r="191">
      <c r="C191" s="320"/>
    </row>
    <row r="192">
      <c r="C192" s="320"/>
    </row>
    <row r="193">
      <c r="C193" s="320"/>
    </row>
    <row r="194">
      <c r="C194" s="320"/>
    </row>
    <row r="195">
      <c r="C195" s="320"/>
    </row>
    <row r="196">
      <c r="C196" s="320"/>
    </row>
    <row r="197">
      <c r="C197" s="320"/>
    </row>
    <row r="198">
      <c r="C198" s="320"/>
    </row>
    <row r="199">
      <c r="C199" s="320"/>
    </row>
    <row r="200">
      <c r="C200" s="320"/>
    </row>
    <row r="201">
      <c r="C201" s="320"/>
    </row>
    <row r="202">
      <c r="C202" s="320"/>
    </row>
    <row r="203">
      <c r="C203" s="320"/>
    </row>
    <row r="204">
      <c r="C204" s="320"/>
    </row>
    <row r="205">
      <c r="C205" s="320"/>
    </row>
    <row r="206">
      <c r="C206" s="320"/>
    </row>
    <row r="207">
      <c r="C207" s="320"/>
    </row>
    <row r="208">
      <c r="C208" s="320"/>
    </row>
    <row r="209">
      <c r="C209" s="320"/>
    </row>
    <row r="210">
      <c r="C210" s="320"/>
    </row>
    <row r="211">
      <c r="C211" s="320"/>
    </row>
    <row r="212">
      <c r="C212" s="320"/>
    </row>
    <row r="213">
      <c r="C213" s="320"/>
    </row>
    <row r="214">
      <c r="C214" s="320"/>
    </row>
    <row r="215">
      <c r="C215" s="320"/>
    </row>
    <row r="216">
      <c r="C216" s="320"/>
    </row>
    <row r="217">
      <c r="C217" s="320"/>
    </row>
    <row r="218">
      <c r="C218" s="320"/>
    </row>
    <row r="219">
      <c r="C219" s="320"/>
    </row>
    <row r="220">
      <c r="C220" s="320"/>
    </row>
    <row r="221">
      <c r="C221" s="320"/>
    </row>
    <row r="222">
      <c r="C222" s="320"/>
    </row>
    <row r="223">
      <c r="C223" s="320"/>
    </row>
    <row r="224">
      <c r="C224" s="320"/>
    </row>
    <row r="225">
      <c r="C225" s="320"/>
    </row>
    <row r="226">
      <c r="C226" s="320"/>
    </row>
    <row r="227">
      <c r="C227" s="320"/>
    </row>
    <row r="228">
      <c r="C228" s="320"/>
    </row>
    <row r="229">
      <c r="C229" s="320"/>
    </row>
    <row r="230">
      <c r="C230" s="320"/>
    </row>
    <row r="231">
      <c r="C231" s="320"/>
    </row>
    <row r="232">
      <c r="C232" s="320"/>
    </row>
    <row r="233">
      <c r="C233" s="320"/>
    </row>
    <row r="234">
      <c r="C234" s="320"/>
    </row>
    <row r="235">
      <c r="C235" s="320"/>
    </row>
    <row r="236">
      <c r="C236" s="320"/>
    </row>
    <row r="237">
      <c r="C237" s="320"/>
    </row>
    <row r="238">
      <c r="C238" s="320"/>
    </row>
    <row r="239">
      <c r="C239" s="320"/>
    </row>
    <row r="240">
      <c r="C240" s="320"/>
    </row>
    <row r="241">
      <c r="C241" s="320"/>
    </row>
    <row r="242">
      <c r="C242" s="320"/>
    </row>
    <row r="243">
      <c r="C243" s="320"/>
    </row>
    <row r="244">
      <c r="C244" s="320"/>
    </row>
    <row r="245">
      <c r="C245" s="320"/>
    </row>
    <row r="246">
      <c r="C246" s="320"/>
    </row>
    <row r="247">
      <c r="C247" s="320"/>
    </row>
    <row r="248">
      <c r="C248" s="320"/>
    </row>
    <row r="249">
      <c r="C249" s="320"/>
    </row>
    <row r="250">
      <c r="C250" s="320"/>
    </row>
    <row r="251">
      <c r="C251" s="320"/>
    </row>
    <row r="252">
      <c r="C252" s="320"/>
    </row>
    <row r="253">
      <c r="C253" s="320"/>
    </row>
    <row r="254">
      <c r="C254" s="320"/>
    </row>
    <row r="255">
      <c r="C255" s="320"/>
    </row>
    <row r="256">
      <c r="C256" s="320"/>
    </row>
    <row r="257">
      <c r="C257" s="320"/>
    </row>
    <row r="258">
      <c r="C258" s="320"/>
    </row>
    <row r="259">
      <c r="C259" s="320"/>
    </row>
    <row r="260">
      <c r="C260" s="320"/>
    </row>
    <row r="261">
      <c r="C261" s="320"/>
    </row>
    <row r="262">
      <c r="C262" s="320"/>
    </row>
    <row r="263">
      <c r="C263" s="320"/>
    </row>
    <row r="264">
      <c r="C264" s="320"/>
    </row>
    <row r="265">
      <c r="C265" s="320"/>
    </row>
    <row r="266">
      <c r="C266" s="320"/>
    </row>
    <row r="267">
      <c r="C267" s="320"/>
    </row>
    <row r="268">
      <c r="C268" s="320"/>
    </row>
    <row r="269">
      <c r="C269" s="320"/>
    </row>
    <row r="270">
      <c r="C270" s="320"/>
    </row>
    <row r="271">
      <c r="C271" s="320"/>
    </row>
    <row r="272">
      <c r="C272" s="320"/>
    </row>
    <row r="273">
      <c r="C273" s="320"/>
    </row>
    <row r="274">
      <c r="C274" s="320"/>
    </row>
    <row r="275">
      <c r="C275" s="320"/>
    </row>
    <row r="276">
      <c r="C276" s="320"/>
    </row>
    <row r="277">
      <c r="C277" s="320"/>
    </row>
    <row r="278">
      <c r="C278" s="320"/>
    </row>
    <row r="279">
      <c r="C279" s="320"/>
    </row>
    <row r="280">
      <c r="C280" s="320"/>
    </row>
    <row r="281">
      <c r="C281" s="320"/>
    </row>
    <row r="282">
      <c r="C282" s="320"/>
    </row>
    <row r="283">
      <c r="C283" s="320"/>
    </row>
    <row r="284">
      <c r="C284" s="320"/>
    </row>
    <row r="285">
      <c r="C285" s="320"/>
    </row>
    <row r="286">
      <c r="C286" s="320"/>
    </row>
    <row r="287">
      <c r="C287" s="320"/>
    </row>
    <row r="288">
      <c r="C288" s="320"/>
    </row>
    <row r="289">
      <c r="C289" s="320"/>
    </row>
    <row r="290">
      <c r="C290" s="320"/>
    </row>
    <row r="291">
      <c r="C291" s="320"/>
    </row>
    <row r="292">
      <c r="C292" s="320"/>
    </row>
    <row r="293">
      <c r="C293" s="320"/>
    </row>
    <row r="294">
      <c r="C294" s="320"/>
    </row>
    <row r="295">
      <c r="C295" s="320"/>
    </row>
    <row r="296">
      <c r="C296" s="320"/>
    </row>
    <row r="297">
      <c r="C297" s="320"/>
    </row>
    <row r="298">
      <c r="C298" s="320"/>
    </row>
    <row r="299">
      <c r="C299" s="320"/>
    </row>
    <row r="300">
      <c r="C300" s="320"/>
    </row>
    <row r="301">
      <c r="C301" s="320"/>
    </row>
    <row r="302">
      <c r="C302" s="320"/>
    </row>
    <row r="303">
      <c r="C303" s="320"/>
    </row>
    <row r="304">
      <c r="C304" s="320"/>
    </row>
    <row r="305">
      <c r="C305" s="320"/>
    </row>
    <row r="306">
      <c r="C306" s="320"/>
    </row>
    <row r="307">
      <c r="C307" s="320"/>
    </row>
    <row r="308">
      <c r="C308" s="320"/>
    </row>
    <row r="309">
      <c r="C309" s="320"/>
    </row>
    <row r="310">
      <c r="C310" s="320"/>
    </row>
    <row r="311">
      <c r="C311" s="320"/>
    </row>
    <row r="312">
      <c r="C312" s="320"/>
    </row>
    <row r="313">
      <c r="C313" s="320"/>
    </row>
    <row r="314">
      <c r="C314" s="320"/>
    </row>
    <row r="315">
      <c r="C315" s="320"/>
    </row>
    <row r="316">
      <c r="C316" s="320"/>
    </row>
    <row r="317">
      <c r="C317" s="320"/>
    </row>
    <row r="318">
      <c r="C318" s="320"/>
    </row>
    <row r="319">
      <c r="C319" s="320"/>
    </row>
    <row r="320">
      <c r="C320" s="320"/>
    </row>
    <row r="321">
      <c r="C321" s="320"/>
    </row>
    <row r="322">
      <c r="C322" s="320"/>
    </row>
    <row r="323">
      <c r="C323" s="320"/>
    </row>
    <row r="324">
      <c r="C324" s="320"/>
    </row>
    <row r="325">
      <c r="C325" s="320"/>
    </row>
    <row r="326">
      <c r="C326" s="320"/>
    </row>
    <row r="327">
      <c r="C327" s="320"/>
    </row>
    <row r="328">
      <c r="C328" s="320"/>
    </row>
    <row r="329">
      <c r="C329" s="320"/>
    </row>
    <row r="330">
      <c r="C330" s="320"/>
    </row>
    <row r="331">
      <c r="C331" s="320"/>
    </row>
    <row r="332">
      <c r="C332" s="320"/>
    </row>
    <row r="333">
      <c r="C333" s="320"/>
    </row>
    <row r="334">
      <c r="C334" s="320"/>
    </row>
    <row r="335">
      <c r="C335" s="320"/>
    </row>
    <row r="336">
      <c r="C336" s="320"/>
    </row>
    <row r="337">
      <c r="C337" s="320"/>
    </row>
    <row r="338">
      <c r="C338" s="320"/>
    </row>
    <row r="339">
      <c r="C339" s="320"/>
    </row>
    <row r="340">
      <c r="C340" s="320"/>
    </row>
    <row r="341">
      <c r="C341" s="320"/>
    </row>
    <row r="342">
      <c r="C342" s="320"/>
    </row>
    <row r="343">
      <c r="C343" s="320"/>
    </row>
    <row r="344">
      <c r="C344" s="320"/>
    </row>
    <row r="345">
      <c r="C345" s="320"/>
    </row>
    <row r="346">
      <c r="C346" s="320"/>
    </row>
    <row r="347">
      <c r="C347" s="320"/>
    </row>
    <row r="348">
      <c r="C348" s="320"/>
    </row>
    <row r="349">
      <c r="C349" s="320"/>
    </row>
    <row r="350">
      <c r="C350" s="320"/>
    </row>
    <row r="351">
      <c r="C351" s="320"/>
    </row>
    <row r="352">
      <c r="C352" s="320"/>
    </row>
    <row r="353">
      <c r="C353" s="320"/>
    </row>
    <row r="354">
      <c r="C354" s="320"/>
    </row>
    <row r="355">
      <c r="C355" s="320"/>
    </row>
    <row r="356">
      <c r="C356" s="320"/>
    </row>
    <row r="357">
      <c r="C357" s="320"/>
    </row>
    <row r="358">
      <c r="C358" s="320"/>
    </row>
    <row r="359">
      <c r="C359" s="320"/>
    </row>
    <row r="360">
      <c r="C360" s="320"/>
    </row>
    <row r="361">
      <c r="C361" s="320"/>
    </row>
    <row r="362">
      <c r="C362" s="320"/>
    </row>
    <row r="363">
      <c r="C363" s="320"/>
    </row>
    <row r="364">
      <c r="C364" s="320"/>
    </row>
    <row r="365">
      <c r="C365" s="320"/>
    </row>
    <row r="366">
      <c r="C366" s="320"/>
    </row>
    <row r="367">
      <c r="C367" s="320"/>
    </row>
    <row r="368">
      <c r="C368" s="320"/>
    </row>
    <row r="369">
      <c r="C369" s="320"/>
    </row>
    <row r="370">
      <c r="C370" s="320"/>
    </row>
    <row r="371">
      <c r="C371" s="320"/>
    </row>
    <row r="372">
      <c r="C372" s="320"/>
    </row>
    <row r="373">
      <c r="C373" s="320"/>
    </row>
    <row r="374">
      <c r="C374" s="320"/>
    </row>
    <row r="375">
      <c r="C375" s="320"/>
    </row>
    <row r="376">
      <c r="C376" s="320"/>
    </row>
    <row r="377">
      <c r="C377" s="320"/>
    </row>
    <row r="378">
      <c r="C378" s="320"/>
    </row>
    <row r="379">
      <c r="C379" s="320"/>
    </row>
    <row r="380">
      <c r="C380" s="320"/>
    </row>
    <row r="381">
      <c r="C381" s="320"/>
    </row>
    <row r="382">
      <c r="C382" s="320"/>
    </row>
    <row r="383">
      <c r="C383" s="320"/>
    </row>
    <row r="384">
      <c r="C384" s="320"/>
    </row>
    <row r="385">
      <c r="C385" s="320"/>
    </row>
    <row r="386">
      <c r="C386" s="320"/>
    </row>
    <row r="387">
      <c r="C387" s="320"/>
    </row>
    <row r="388">
      <c r="C388" s="320"/>
    </row>
    <row r="389">
      <c r="C389" s="320"/>
    </row>
    <row r="390">
      <c r="C390" s="320"/>
    </row>
    <row r="391">
      <c r="C391" s="320"/>
    </row>
    <row r="392">
      <c r="C392" s="320"/>
    </row>
    <row r="393">
      <c r="C393" s="320"/>
    </row>
    <row r="394">
      <c r="C394" s="320"/>
    </row>
    <row r="395">
      <c r="C395" s="320"/>
    </row>
    <row r="396">
      <c r="C396" s="320"/>
    </row>
    <row r="397">
      <c r="C397" s="320"/>
    </row>
    <row r="398">
      <c r="C398" s="320"/>
    </row>
    <row r="399">
      <c r="C399" s="320"/>
    </row>
    <row r="400">
      <c r="C400" s="320"/>
    </row>
    <row r="401">
      <c r="C401" s="320"/>
    </row>
    <row r="402">
      <c r="C402" s="320"/>
    </row>
    <row r="403">
      <c r="C403" s="320"/>
    </row>
    <row r="404">
      <c r="C404" s="320"/>
    </row>
    <row r="405">
      <c r="C405" s="320"/>
    </row>
    <row r="406">
      <c r="C406" s="320"/>
    </row>
    <row r="407">
      <c r="C407" s="320"/>
    </row>
    <row r="408">
      <c r="C408" s="320"/>
    </row>
    <row r="409">
      <c r="C409" s="320"/>
    </row>
    <row r="410">
      <c r="C410" s="320"/>
    </row>
    <row r="411">
      <c r="C411" s="320"/>
    </row>
    <row r="412">
      <c r="C412" s="320"/>
    </row>
    <row r="413">
      <c r="C413" s="320"/>
    </row>
    <row r="414">
      <c r="C414" s="320"/>
    </row>
    <row r="415">
      <c r="C415" s="320"/>
    </row>
    <row r="416">
      <c r="C416" s="320"/>
    </row>
    <row r="417">
      <c r="C417" s="320"/>
    </row>
    <row r="418">
      <c r="C418" s="320"/>
    </row>
    <row r="419">
      <c r="C419" s="320"/>
    </row>
    <row r="420">
      <c r="C420" s="320"/>
    </row>
    <row r="421">
      <c r="C421" s="320"/>
    </row>
    <row r="422">
      <c r="C422" s="320"/>
    </row>
    <row r="423">
      <c r="C423" s="320"/>
    </row>
    <row r="424">
      <c r="C424" s="320"/>
    </row>
    <row r="425">
      <c r="C425" s="320"/>
    </row>
    <row r="426">
      <c r="C426" s="320"/>
    </row>
    <row r="427">
      <c r="C427" s="320"/>
    </row>
    <row r="428">
      <c r="C428" s="320"/>
    </row>
    <row r="429">
      <c r="C429" s="320"/>
    </row>
    <row r="430">
      <c r="C430" s="320"/>
    </row>
    <row r="431">
      <c r="C431" s="320"/>
    </row>
    <row r="432">
      <c r="C432" s="320"/>
    </row>
    <row r="433">
      <c r="C433" s="320"/>
    </row>
    <row r="434">
      <c r="C434" s="320"/>
    </row>
    <row r="435">
      <c r="C435" s="320"/>
    </row>
    <row r="436">
      <c r="C436" s="320"/>
    </row>
    <row r="437">
      <c r="C437" s="320"/>
    </row>
    <row r="438">
      <c r="C438" s="320"/>
    </row>
    <row r="439">
      <c r="C439" s="320"/>
    </row>
    <row r="440">
      <c r="C440" s="320"/>
    </row>
    <row r="441">
      <c r="C441" s="320"/>
    </row>
    <row r="442">
      <c r="C442" s="320"/>
    </row>
    <row r="443">
      <c r="C443" s="320"/>
    </row>
    <row r="444">
      <c r="C444" s="320"/>
    </row>
    <row r="445">
      <c r="C445" s="320"/>
    </row>
    <row r="446">
      <c r="C446" s="320"/>
    </row>
    <row r="447">
      <c r="C447" s="320"/>
    </row>
    <row r="448">
      <c r="C448" s="320"/>
    </row>
    <row r="449">
      <c r="C449" s="320"/>
    </row>
    <row r="450">
      <c r="C450" s="320"/>
    </row>
    <row r="451">
      <c r="C451" s="320"/>
    </row>
    <row r="452">
      <c r="C452" s="320"/>
    </row>
    <row r="453">
      <c r="C453" s="320"/>
    </row>
    <row r="454">
      <c r="C454" s="320"/>
    </row>
    <row r="455">
      <c r="C455" s="320"/>
    </row>
    <row r="456">
      <c r="C456" s="320"/>
    </row>
    <row r="457">
      <c r="C457" s="320"/>
    </row>
    <row r="458">
      <c r="C458" s="320"/>
    </row>
    <row r="459">
      <c r="C459" s="320"/>
    </row>
    <row r="460">
      <c r="C460" s="320"/>
    </row>
    <row r="461">
      <c r="C461" s="320"/>
    </row>
    <row r="462">
      <c r="C462" s="320"/>
    </row>
    <row r="463">
      <c r="C463" s="320"/>
    </row>
    <row r="464">
      <c r="C464" s="320"/>
    </row>
    <row r="465">
      <c r="C465" s="320"/>
    </row>
    <row r="466">
      <c r="C466" s="320"/>
    </row>
    <row r="467">
      <c r="C467" s="320"/>
    </row>
    <row r="468">
      <c r="C468" s="320"/>
    </row>
    <row r="469">
      <c r="C469" s="320"/>
    </row>
    <row r="470">
      <c r="C470" s="320"/>
    </row>
    <row r="471">
      <c r="C471" s="320"/>
    </row>
    <row r="472">
      <c r="C472" s="320"/>
    </row>
    <row r="473">
      <c r="C473" s="320"/>
    </row>
    <row r="474">
      <c r="C474" s="320"/>
    </row>
    <row r="475">
      <c r="C475" s="320"/>
    </row>
    <row r="476">
      <c r="C476" s="320"/>
    </row>
    <row r="477">
      <c r="C477" s="320"/>
    </row>
    <row r="478">
      <c r="C478" s="320"/>
    </row>
    <row r="479">
      <c r="C479" s="320"/>
    </row>
    <row r="480">
      <c r="C480" s="320"/>
    </row>
    <row r="481">
      <c r="C481" s="320"/>
    </row>
    <row r="482">
      <c r="C482" s="320"/>
    </row>
    <row r="483">
      <c r="C483" s="320"/>
    </row>
    <row r="484">
      <c r="C484" s="320"/>
    </row>
    <row r="485">
      <c r="C485" s="320"/>
    </row>
    <row r="486">
      <c r="C486" s="320"/>
    </row>
    <row r="487">
      <c r="C487" s="320"/>
    </row>
    <row r="488">
      <c r="C488" s="320"/>
    </row>
    <row r="489">
      <c r="C489" s="320"/>
    </row>
    <row r="490">
      <c r="C490" s="320"/>
    </row>
    <row r="491">
      <c r="C491" s="320"/>
    </row>
    <row r="492">
      <c r="C492" s="320"/>
    </row>
    <row r="493">
      <c r="C493" s="320"/>
    </row>
    <row r="494">
      <c r="C494" s="320"/>
    </row>
    <row r="495">
      <c r="C495" s="320"/>
    </row>
    <row r="496">
      <c r="C496" s="320"/>
    </row>
    <row r="497">
      <c r="C497" s="320"/>
    </row>
    <row r="498">
      <c r="C498" s="320"/>
    </row>
    <row r="499">
      <c r="C499" s="320"/>
    </row>
    <row r="500">
      <c r="C500" s="320"/>
    </row>
    <row r="501">
      <c r="C501" s="320"/>
    </row>
    <row r="502">
      <c r="C502" s="320"/>
    </row>
    <row r="503">
      <c r="C503" s="320"/>
    </row>
    <row r="504">
      <c r="C504" s="320"/>
    </row>
    <row r="505">
      <c r="C505" s="320"/>
    </row>
    <row r="506">
      <c r="C506" s="320"/>
    </row>
    <row r="507">
      <c r="C507" s="320"/>
    </row>
    <row r="508">
      <c r="C508" s="320"/>
    </row>
    <row r="509">
      <c r="C509" s="320"/>
    </row>
    <row r="510">
      <c r="C510" s="320"/>
    </row>
    <row r="511">
      <c r="C511" s="320"/>
    </row>
    <row r="512">
      <c r="C512" s="320"/>
    </row>
    <row r="513">
      <c r="C513" s="320"/>
    </row>
    <row r="514">
      <c r="C514" s="320"/>
    </row>
    <row r="515">
      <c r="C515" s="320"/>
    </row>
    <row r="516">
      <c r="C516" s="320"/>
    </row>
    <row r="517">
      <c r="C517" s="320"/>
    </row>
    <row r="518">
      <c r="C518" s="320"/>
    </row>
    <row r="519">
      <c r="C519" s="320"/>
    </row>
    <row r="520">
      <c r="C520" s="320"/>
    </row>
    <row r="521">
      <c r="C521" s="320"/>
    </row>
    <row r="522">
      <c r="C522" s="320"/>
    </row>
    <row r="523">
      <c r="C523" s="320"/>
    </row>
    <row r="524">
      <c r="C524" s="320"/>
    </row>
    <row r="525">
      <c r="C525" s="320"/>
    </row>
    <row r="526">
      <c r="C526" s="320"/>
    </row>
    <row r="527">
      <c r="C527" s="320"/>
    </row>
    <row r="528">
      <c r="C528" s="320"/>
    </row>
    <row r="529">
      <c r="C529" s="320"/>
    </row>
    <row r="530">
      <c r="C530" s="320"/>
    </row>
    <row r="531">
      <c r="C531" s="320"/>
    </row>
    <row r="532">
      <c r="C532" s="320"/>
    </row>
    <row r="533">
      <c r="C533" s="320"/>
    </row>
    <row r="534">
      <c r="C534" s="320"/>
    </row>
    <row r="535">
      <c r="C535" s="320"/>
    </row>
    <row r="536">
      <c r="C536" s="320"/>
    </row>
    <row r="537">
      <c r="C537" s="320"/>
    </row>
    <row r="538">
      <c r="C538" s="320"/>
    </row>
    <row r="539">
      <c r="C539" s="320"/>
    </row>
    <row r="540">
      <c r="C540" s="320"/>
    </row>
    <row r="541">
      <c r="C541" s="320"/>
    </row>
    <row r="542">
      <c r="C542" s="320"/>
    </row>
    <row r="543">
      <c r="C543" s="320"/>
    </row>
    <row r="544">
      <c r="C544" s="320"/>
    </row>
    <row r="545">
      <c r="C545" s="320"/>
    </row>
    <row r="546">
      <c r="C546" s="320"/>
    </row>
    <row r="547">
      <c r="C547" s="320"/>
    </row>
    <row r="548">
      <c r="C548" s="320"/>
    </row>
    <row r="549">
      <c r="C549" s="320"/>
    </row>
    <row r="550">
      <c r="C550" s="320"/>
    </row>
    <row r="551">
      <c r="C551" s="320"/>
    </row>
    <row r="552">
      <c r="C552" s="320"/>
    </row>
    <row r="553">
      <c r="C553" s="320"/>
    </row>
    <row r="554">
      <c r="C554" s="320"/>
    </row>
    <row r="555">
      <c r="C555" s="320"/>
    </row>
    <row r="556">
      <c r="C556" s="320"/>
    </row>
    <row r="557">
      <c r="C557" s="320"/>
    </row>
    <row r="558">
      <c r="C558" s="320"/>
    </row>
    <row r="559">
      <c r="C559" s="320"/>
    </row>
    <row r="560">
      <c r="C560" s="320"/>
    </row>
    <row r="561">
      <c r="C561" s="320"/>
    </row>
    <row r="562">
      <c r="C562" s="320"/>
    </row>
    <row r="563">
      <c r="C563" s="320"/>
    </row>
    <row r="564">
      <c r="C564" s="320"/>
    </row>
    <row r="565">
      <c r="C565" s="320"/>
    </row>
    <row r="566">
      <c r="C566" s="320"/>
    </row>
    <row r="567">
      <c r="C567" s="320"/>
    </row>
    <row r="568">
      <c r="C568" s="320"/>
    </row>
    <row r="569">
      <c r="C569" s="320"/>
    </row>
    <row r="570">
      <c r="C570" s="320"/>
    </row>
    <row r="571">
      <c r="C571" s="320"/>
    </row>
    <row r="572">
      <c r="C572" s="320"/>
    </row>
    <row r="573">
      <c r="C573" s="320"/>
    </row>
    <row r="574">
      <c r="C574" s="320"/>
    </row>
    <row r="575">
      <c r="C575" s="320"/>
    </row>
    <row r="576">
      <c r="C576" s="320"/>
    </row>
    <row r="577">
      <c r="C577" s="320"/>
    </row>
    <row r="578">
      <c r="C578" s="320"/>
    </row>
    <row r="579">
      <c r="C579" s="320"/>
    </row>
    <row r="580">
      <c r="C580" s="320"/>
    </row>
    <row r="581">
      <c r="C581" s="320"/>
    </row>
    <row r="582">
      <c r="C582" s="320"/>
    </row>
    <row r="583">
      <c r="C583" s="320"/>
    </row>
    <row r="584">
      <c r="C584" s="320"/>
    </row>
    <row r="585">
      <c r="C585" s="320"/>
    </row>
    <row r="586">
      <c r="C586" s="320"/>
    </row>
    <row r="587">
      <c r="C587" s="320"/>
    </row>
    <row r="588">
      <c r="C588" s="320"/>
    </row>
    <row r="589">
      <c r="C589" s="320"/>
    </row>
    <row r="590">
      <c r="C590" s="320"/>
    </row>
    <row r="591">
      <c r="C591" s="320"/>
    </row>
    <row r="592">
      <c r="C592" s="320"/>
    </row>
    <row r="593">
      <c r="C593" s="320"/>
    </row>
    <row r="594">
      <c r="C594" s="320"/>
    </row>
    <row r="595">
      <c r="C595" s="320"/>
    </row>
    <row r="596">
      <c r="C596" s="320"/>
    </row>
    <row r="597">
      <c r="C597" s="320"/>
    </row>
    <row r="598">
      <c r="C598" s="320"/>
    </row>
    <row r="599">
      <c r="C599" s="320"/>
    </row>
    <row r="600">
      <c r="C600" s="320"/>
    </row>
    <row r="601">
      <c r="C601" s="320"/>
    </row>
    <row r="602">
      <c r="C602" s="320"/>
    </row>
    <row r="603">
      <c r="C603" s="320"/>
    </row>
    <row r="604">
      <c r="C604" s="320"/>
    </row>
    <row r="605">
      <c r="C605" s="320"/>
    </row>
    <row r="606">
      <c r="C606" s="320"/>
    </row>
    <row r="607">
      <c r="C607" s="320"/>
    </row>
    <row r="608">
      <c r="C608" s="320"/>
    </row>
    <row r="609">
      <c r="C609" s="320"/>
    </row>
    <row r="610">
      <c r="C610" s="320"/>
    </row>
    <row r="611">
      <c r="C611" s="320"/>
    </row>
    <row r="612">
      <c r="C612" s="320"/>
    </row>
    <row r="613">
      <c r="C613" s="320"/>
    </row>
    <row r="614">
      <c r="C614" s="320"/>
    </row>
    <row r="615">
      <c r="C615" s="320"/>
    </row>
    <row r="616">
      <c r="C616" s="320"/>
    </row>
    <row r="617">
      <c r="C617" s="320"/>
    </row>
    <row r="618">
      <c r="C618" s="320"/>
    </row>
    <row r="619">
      <c r="C619" s="320"/>
    </row>
    <row r="620">
      <c r="C620" s="320"/>
    </row>
    <row r="621">
      <c r="C621" s="320"/>
    </row>
    <row r="622">
      <c r="C622" s="320"/>
    </row>
    <row r="623">
      <c r="C623" s="320"/>
    </row>
    <row r="624">
      <c r="C624" s="320"/>
    </row>
    <row r="625">
      <c r="C625" s="320"/>
    </row>
    <row r="626">
      <c r="C626" s="320"/>
    </row>
    <row r="627">
      <c r="C627" s="320"/>
    </row>
    <row r="628">
      <c r="C628" s="320"/>
    </row>
    <row r="629">
      <c r="C629" s="320"/>
    </row>
    <row r="630">
      <c r="C630" s="320"/>
    </row>
    <row r="631">
      <c r="C631" s="320"/>
    </row>
    <row r="632">
      <c r="C632" s="320"/>
    </row>
    <row r="633">
      <c r="C633" s="320"/>
    </row>
    <row r="634">
      <c r="C634" s="320"/>
    </row>
    <row r="635">
      <c r="C635" s="320"/>
    </row>
    <row r="636">
      <c r="C636" s="320"/>
    </row>
    <row r="637">
      <c r="C637" s="320"/>
    </row>
    <row r="638">
      <c r="C638" s="320"/>
    </row>
    <row r="639">
      <c r="C639" s="320"/>
    </row>
    <row r="640">
      <c r="C640" s="320"/>
    </row>
    <row r="641">
      <c r="C641" s="320"/>
    </row>
    <row r="642">
      <c r="C642" s="320"/>
    </row>
    <row r="643">
      <c r="C643" s="320"/>
    </row>
    <row r="644">
      <c r="C644" s="320"/>
    </row>
    <row r="645">
      <c r="C645" s="320"/>
    </row>
    <row r="646">
      <c r="C646" s="320"/>
    </row>
    <row r="647">
      <c r="C647" s="320"/>
    </row>
    <row r="648">
      <c r="C648" s="320"/>
    </row>
    <row r="649">
      <c r="C649" s="320"/>
    </row>
    <row r="650">
      <c r="C650" s="320"/>
    </row>
    <row r="651">
      <c r="C651" s="320"/>
    </row>
    <row r="652">
      <c r="C652" s="320"/>
    </row>
    <row r="653">
      <c r="C653" s="320"/>
    </row>
    <row r="654">
      <c r="C654" s="320"/>
    </row>
    <row r="655">
      <c r="C655" s="320"/>
    </row>
    <row r="656">
      <c r="C656" s="320"/>
    </row>
    <row r="657">
      <c r="C657" s="320"/>
    </row>
    <row r="658">
      <c r="C658" s="320"/>
    </row>
    <row r="659">
      <c r="C659" s="320"/>
    </row>
    <row r="660">
      <c r="C660" s="320"/>
    </row>
    <row r="661">
      <c r="C661" s="320"/>
    </row>
    <row r="662">
      <c r="C662" s="320"/>
    </row>
    <row r="663">
      <c r="C663" s="320"/>
    </row>
    <row r="664">
      <c r="C664" s="320"/>
    </row>
    <row r="665">
      <c r="C665" s="320"/>
    </row>
    <row r="666">
      <c r="C666" s="320"/>
    </row>
    <row r="667">
      <c r="C667" s="320"/>
    </row>
    <row r="668">
      <c r="C668" s="320"/>
    </row>
    <row r="669">
      <c r="C669" s="320"/>
    </row>
    <row r="670">
      <c r="C670" s="320"/>
    </row>
    <row r="671">
      <c r="C671" s="320"/>
    </row>
    <row r="672">
      <c r="C672" s="320"/>
    </row>
    <row r="673">
      <c r="C673" s="320"/>
    </row>
    <row r="674">
      <c r="C674" s="320"/>
    </row>
    <row r="675">
      <c r="C675" s="320"/>
    </row>
    <row r="676">
      <c r="C676" s="320"/>
    </row>
    <row r="677">
      <c r="C677" s="320"/>
    </row>
    <row r="678">
      <c r="C678" s="320"/>
    </row>
    <row r="679">
      <c r="C679" s="320"/>
    </row>
    <row r="680">
      <c r="C680" s="320"/>
    </row>
    <row r="681">
      <c r="C681" s="320"/>
    </row>
    <row r="682">
      <c r="C682" s="320"/>
    </row>
    <row r="683">
      <c r="C683" s="320"/>
    </row>
    <row r="684">
      <c r="C684" s="320"/>
    </row>
    <row r="685">
      <c r="C685" s="320"/>
    </row>
    <row r="686">
      <c r="C686" s="320"/>
    </row>
    <row r="687">
      <c r="C687" s="320"/>
    </row>
    <row r="688">
      <c r="C688" s="320"/>
    </row>
    <row r="689">
      <c r="C689" s="320"/>
    </row>
    <row r="690">
      <c r="C690" s="320"/>
    </row>
    <row r="691">
      <c r="C691" s="320"/>
    </row>
    <row r="692">
      <c r="C692" s="320"/>
    </row>
    <row r="693">
      <c r="C693" s="320"/>
    </row>
    <row r="694">
      <c r="C694" s="320"/>
    </row>
    <row r="695">
      <c r="C695" s="320"/>
    </row>
    <row r="696">
      <c r="C696" s="320"/>
    </row>
    <row r="697">
      <c r="C697" s="320"/>
    </row>
    <row r="698">
      <c r="C698" s="320"/>
    </row>
    <row r="699">
      <c r="C699" s="320"/>
    </row>
    <row r="700">
      <c r="C700" s="320"/>
    </row>
    <row r="701">
      <c r="C701" s="320"/>
    </row>
    <row r="702">
      <c r="C702" s="320"/>
    </row>
    <row r="703">
      <c r="C703" s="320"/>
    </row>
    <row r="704">
      <c r="C704" s="320"/>
    </row>
    <row r="705">
      <c r="C705" s="320"/>
    </row>
    <row r="706">
      <c r="C706" s="320"/>
    </row>
    <row r="707">
      <c r="C707" s="320"/>
    </row>
    <row r="708">
      <c r="C708" s="320"/>
    </row>
    <row r="709">
      <c r="C709" s="320"/>
    </row>
    <row r="710">
      <c r="C710" s="320"/>
    </row>
    <row r="711">
      <c r="C711" s="320"/>
    </row>
    <row r="712">
      <c r="C712" s="320"/>
    </row>
    <row r="713">
      <c r="C713" s="320"/>
    </row>
    <row r="714">
      <c r="C714" s="320"/>
    </row>
    <row r="715">
      <c r="C715" s="320"/>
    </row>
    <row r="716">
      <c r="C716" s="320"/>
    </row>
    <row r="717">
      <c r="C717" s="320"/>
    </row>
    <row r="718">
      <c r="C718" s="320"/>
    </row>
    <row r="719">
      <c r="C719" s="320"/>
    </row>
    <row r="720">
      <c r="C720" s="320"/>
    </row>
    <row r="721">
      <c r="C721" s="320"/>
    </row>
    <row r="722">
      <c r="C722" s="320"/>
    </row>
    <row r="723">
      <c r="C723" s="320"/>
    </row>
    <row r="724">
      <c r="C724" s="320"/>
    </row>
    <row r="725">
      <c r="C725" s="320"/>
    </row>
    <row r="726">
      <c r="C726" s="320"/>
    </row>
    <row r="727">
      <c r="C727" s="320"/>
    </row>
    <row r="728">
      <c r="C728" s="320"/>
    </row>
    <row r="729">
      <c r="C729" s="320"/>
    </row>
    <row r="730">
      <c r="C730" s="320"/>
    </row>
    <row r="731">
      <c r="C731" s="320"/>
    </row>
    <row r="732">
      <c r="C732" s="320"/>
    </row>
    <row r="733">
      <c r="C733" s="320"/>
    </row>
    <row r="734">
      <c r="C734" s="320"/>
    </row>
    <row r="735">
      <c r="C735" s="320"/>
    </row>
    <row r="736">
      <c r="C736" s="320"/>
    </row>
    <row r="737">
      <c r="C737" s="320"/>
    </row>
    <row r="738">
      <c r="C738" s="320"/>
    </row>
    <row r="739">
      <c r="C739" s="320"/>
    </row>
    <row r="740">
      <c r="C740" s="320"/>
    </row>
    <row r="741">
      <c r="C741" s="320"/>
    </row>
    <row r="742">
      <c r="C742" s="320"/>
    </row>
    <row r="743">
      <c r="C743" s="320"/>
    </row>
    <row r="744">
      <c r="C744" s="320"/>
    </row>
    <row r="745">
      <c r="C745" s="320"/>
    </row>
    <row r="746">
      <c r="C746" s="320"/>
    </row>
    <row r="747">
      <c r="C747" s="320"/>
    </row>
    <row r="748">
      <c r="C748" s="320"/>
    </row>
    <row r="749">
      <c r="C749" s="320"/>
    </row>
    <row r="750">
      <c r="C750" s="320"/>
    </row>
    <row r="751">
      <c r="C751" s="320"/>
    </row>
    <row r="752">
      <c r="C752" s="320"/>
    </row>
    <row r="753">
      <c r="C753" s="320"/>
    </row>
    <row r="754">
      <c r="C754" s="320"/>
    </row>
    <row r="755">
      <c r="C755" s="320"/>
    </row>
    <row r="756">
      <c r="C756" s="320"/>
    </row>
    <row r="757">
      <c r="C757" s="320"/>
    </row>
    <row r="758">
      <c r="C758" s="320"/>
    </row>
    <row r="759">
      <c r="C759" s="320"/>
    </row>
    <row r="760">
      <c r="C760" s="320"/>
    </row>
    <row r="761">
      <c r="C761" s="320"/>
    </row>
    <row r="762">
      <c r="C762" s="320"/>
    </row>
    <row r="763">
      <c r="C763" s="320"/>
    </row>
    <row r="764">
      <c r="C764" s="320"/>
    </row>
    <row r="765">
      <c r="C765" s="320"/>
    </row>
    <row r="766">
      <c r="C766" s="320"/>
    </row>
    <row r="767">
      <c r="C767" s="320"/>
    </row>
    <row r="768">
      <c r="C768" s="320"/>
    </row>
    <row r="769">
      <c r="C769" s="320"/>
    </row>
    <row r="770">
      <c r="C770" s="320"/>
    </row>
    <row r="771">
      <c r="C771" s="320"/>
    </row>
    <row r="772">
      <c r="C772" s="320"/>
    </row>
    <row r="773">
      <c r="C773" s="320"/>
    </row>
    <row r="774">
      <c r="C774" s="320"/>
    </row>
    <row r="775">
      <c r="C775" s="320"/>
    </row>
    <row r="776">
      <c r="C776" s="320"/>
    </row>
    <row r="777">
      <c r="C777" s="320"/>
    </row>
    <row r="778">
      <c r="C778" s="320"/>
    </row>
    <row r="779">
      <c r="C779" s="320"/>
    </row>
    <row r="780">
      <c r="C780" s="320"/>
    </row>
    <row r="781">
      <c r="C781" s="320"/>
    </row>
    <row r="782">
      <c r="C782" s="320"/>
    </row>
    <row r="783">
      <c r="C783" s="320"/>
    </row>
    <row r="784">
      <c r="C784" s="320"/>
    </row>
    <row r="785">
      <c r="C785" s="320"/>
    </row>
    <row r="786">
      <c r="C786" s="320"/>
    </row>
    <row r="787">
      <c r="C787" s="320"/>
    </row>
    <row r="788">
      <c r="C788" s="320"/>
    </row>
    <row r="789">
      <c r="C789" s="320"/>
    </row>
    <row r="790">
      <c r="C790" s="320"/>
    </row>
    <row r="791">
      <c r="C791" s="320"/>
    </row>
    <row r="792">
      <c r="C792" s="320"/>
    </row>
    <row r="793">
      <c r="C793" s="320"/>
    </row>
    <row r="794">
      <c r="C794" s="320"/>
    </row>
    <row r="795">
      <c r="C795" s="320"/>
    </row>
    <row r="796">
      <c r="C796" s="320"/>
    </row>
    <row r="797">
      <c r="C797" s="320"/>
    </row>
    <row r="798">
      <c r="C798" s="320"/>
    </row>
    <row r="799">
      <c r="C799" s="320"/>
    </row>
    <row r="800">
      <c r="C800" s="320"/>
    </row>
    <row r="801">
      <c r="C801" s="320"/>
    </row>
    <row r="802">
      <c r="C802" s="320"/>
    </row>
    <row r="803">
      <c r="C803" s="320"/>
    </row>
    <row r="804">
      <c r="C804" s="320"/>
    </row>
    <row r="805">
      <c r="C805" s="320"/>
    </row>
    <row r="806">
      <c r="C806" s="320"/>
    </row>
    <row r="807">
      <c r="C807" s="320"/>
    </row>
    <row r="808">
      <c r="C808" s="320"/>
    </row>
    <row r="809">
      <c r="C809" s="320"/>
    </row>
    <row r="810">
      <c r="C810" s="320"/>
    </row>
    <row r="811">
      <c r="C811" s="320"/>
    </row>
    <row r="812">
      <c r="C812" s="320"/>
    </row>
    <row r="813">
      <c r="C813" s="320"/>
    </row>
    <row r="814">
      <c r="C814" s="320"/>
    </row>
    <row r="815">
      <c r="C815" s="320"/>
    </row>
    <row r="816">
      <c r="C816" s="320"/>
    </row>
    <row r="817">
      <c r="C817" s="320"/>
    </row>
    <row r="818">
      <c r="C818" s="320"/>
    </row>
    <row r="819">
      <c r="C819" s="320"/>
    </row>
    <row r="820">
      <c r="C820" s="320"/>
    </row>
    <row r="821">
      <c r="C821" s="320"/>
    </row>
    <row r="822">
      <c r="C822" s="320"/>
    </row>
    <row r="823">
      <c r="C823" s="320"/>
    </row>
    <row r="824">
      <c r="C824" s="320"/>
    </row>
    <row r="825">
      <c r="C825" s="320"/>
    </row>
    <row r="826">
      <c r="C826" s="320"/>
    </row>
    <row r="827">
      <c r="C827" s="320"/>
    </row>
    <row r="828">
      <c r="C828" s="320"/>
    </row>
    <row r="829">
      <c r="C829" s="320"/>
    </row>
    <row r="830">
      <c r="C830" s="320"/>
    </row>
    <row r="831">
      <c r="C831" s="320"/>
    </row>
    <row r="832">
      <c r="C832" s="320"/>
    </row>
    <row r="833">
      <c r="C833" s="320"/>
    </row>
    <row r="834">
      <c r="C834" s="320"/>
    </row>
    <row r="835">
      <c r="C835" s="320"/>
    </row>
    <row r="836">
      <c r="C836" s="320"/>
    </row>
    <row r="837">
      <c r="C837" s="320"/>
    </row>
    <row r="838">
      <c r="C838" s="320"/>
    </row>
    <row r="839">
      <c r="C839" s="320"/>
    </row>
    <row r="840">
      <c r="C840" s="320"/>
    </row>
    <row r="841">
      <c r="C841" s="320"/>
    </row>
    <row r="842">
      <c r="C842" s="320"/>
    </row>
    <row r="843">
      <c r="C843" s="320"/>
    </row>
    <row r="844">
      <c r="C844" s="320"/>
    </row>
    <row r="845">
      <c r="C845" s="320"/>
    </row>
    <row r="846">
      <c r="C846" s="320"/>
    </row>
    <row r="847">
      <c r="C847" s="320"/>
    </row>
    <row r="848">
      <c r="C848" s="320"/>
    </row>
    <row r="849">
      <c r="C849" s="320"/>
    </row>
    <row r="850">
      <c r="C850" s="320"/>
    </row>
    <row r="851">
      <c r="C851" s="320"/>
    </row>
    <row r="852">
      <c r="C852" s="320"/>
    </row>
    <row r="853">
      <c r="C853" s="320"/>
    </row>
    <row r="854">
      <c r="C854" s="320"/>
    </row>
    <row r="855">
      <c r="C855" s="320"/>
    </row>
    <row r="856">
      <c r="C856" s="320"/>
    </row>
    <row r="857">
      <c r="C857" s="320"/>
    </row>
    <row r="858">
      <c r="C858" s="320"/>
    </row>
    <row r="859">
      <c r="C859" s="320"/>
    </row>
    <row r="860">
      <c r="C860" s="320"/>
    </row>
    <row r="861">
      <c r="C861" s="320"/>
    </row>
    <row r="862">
      <c r="C862" s="320"/>
    </row>
    <row r="863">
      <c r="C863" s="320"/>
    </row>
    <row r="864">
      <c r="C864" s="320"/>
    </row>
    <row r="865">
      <c r="C865" s="320"/>
    </row>
    <row r="866">
      <c r="C866" s="320"/>
    </row>
    <row r="867">
      <c r="C867" s="320"/>
    </row>
    <row r="868">
      <c r="C868" s="320"/>
    </row>
    <row r="869">
      <c r="C869" s="320"/>
    </row>
    <row r="870">
      <c r="C870" s="320"/>
    </row>
    <row r="871">
      <c r="C871" s="320"/>
    </row>
    <row r="872">
      <c r="C872" s="320"/>
    </row>
    <row r="873">
      <c r="C873" s="320"/>
    </row>
    <row r="874">
      <c r="C874" s="320"/>
    </row>
    <row r="875">
      <c r="C875" s="320"/>
    </row>
    <row r="876">
      <c r="C876" s="320"/>
    </row>
    <row r="877">
      <c r="C877" s="320"/>
    </row>
    <row r="878">
      <c r="C878" s="320"/>
    </row>
    <row r="879">
      <c r="C879" s="320"/>
    </row>
    <row r="880">
      <c r="C880" s="320"/>
    </row>
    <row r="881">
      <c r="C881" s="320"/>
    </row>
    <row r="882">
      <c r="C882" s="320"/>
    </row>
    <row r="883">
      <c r="C883" s="320"/>
    </row>
    <row r="884">
      <c r="C884" s="320"/>
    </row>
    <row r="885">
      <c r="C885" s="320"/>
    </row>
    <row r="886">
      <c r="C886" s="320"/>
    </row>
    <row r="887">
      <c r="C887" s="320"/>
    </row>
    <row r="888">
      <c r="C888" s="320"/>
    </row>
    <row r="889">
      <c r="C889" s="320"/>
    </row>
    <row r="890">
      <c r="C890" s="320"/>
    </row>
    <row r="891">
      <c r="C891" s="320"/>
    </row>
    <row r="892">
      <c r="C892" s="320"/>
    </row>
    <row r="893">
      <c r="C893" s="320"/>
    </row>
    <row r="894">
      <c r="C894" s="320"/>
    </row>
    <row r="895">
      <c r="C895" s="320"/>
    </row>
    <row r="896">
      <c r="C896" s="320"/>
    </row>
    <row r="897">
      <c r="C897" s="320"/>
    </row>
    <row r="898">
      <c r="C898" s="320"/>
    </row>
    <row r="899">
      <c r="C899" s="320"/>
    </row>
    <row r="900">
      <c r="C900" s="320"/>
    </row>
    <row r="901">
      <c r="C901" s="320"/>
    </row>
    <row r="902">
      <c r="C902" s="320"/>
    </row>
    <row r="903">
      <c r="C903" s="320"/>
    </row>
    <row r="904">
      <c r="C904" s="320"/>
    </row>
    <row r="905">
      <c r="C905" s="320"/>
    </row>
    <row r="906">
      <c r="C906" s="320"/>
    </row>
    <row r="907">
      <c r="C907" s="320"/>
    </row>
    <row r="908">
      <c r="C908" s="320"/>
    </row>
    <row r="909">
      <c r="C909" s="320"/>
    </row>
    <row r="910">
      <c r="C910" s="320"/>
    </row>
    <row r="911">
      <c r="C911" s="320"/>
    </row>
    <row r="912">
      <c r="C912" s="320"/>
    </row>
    <row r="913">
      <c r="C913" s="320"/>
    </row>
    <row r="914">
      <c r="C914" s="320"/>
    </row>
    <row r="915">
      <c r="C915" s="320"/>
    </row>
    <row r="916">
      <c r="C916" s="320"/>
    </row>
    <row r="917">
      <c r="C917" s="320"/>
    </row>
    <row r="918">
      <c r="C918" s="320"/>
    </row>
    <row r="919">
      <c r="C919" s="320"/>
    </row>
    <row r="920">
      <c r="C920" s="320"/>
    </row>
    <row r="921">
      <c r="C921" s="320"/>
    </row>
    <row r="922">
      <c r="C922" s="320"/>
    </row>
    <row r="923">
      <c r="C923" s="320"/>
    </row>
    <row r="924">
      <c r="C924" s="320"/>
    </row>
    <row r="925">
      <c r="C925" s="320"/>
    </row>
    <row r="926">
      <c r="C926" s="320"/>
    </row>
    <row r="927">
      <c r="C927" s="320"/>
    </row>
    <row r="928">
      <c r="C928" s="320"/>
    </row>
    <row r="929">
      <c r="C929" s="320"/>
    </row>
    <row r="930">
      <c r="C930" s="320"/>
    </row>
    <row r="931">
      <c r="C931" s="320"/>
    </row>
    <row r="932">
      <c r="C932" s="320"/>
    </row>
    <row r="933">
      <c r="C933" s="320"/>
    </row>
    <row r="934">
      <c r="C934" s="320"/>
    </row>
    <row r="935">
      <c r="C935" s="320"/>
    </row>
    <row r="936">
      <c r="C936" s="320"/>
    </row>
    <row r="937">
      <c r="C937" s="320"/>
    </row>
    <row r="938">
      <c r="C938" s="320"/>
    </row>
    <row r="939">
      <c r="C939" s="320"/>
    </row>
    <row r="940">
      <c r="C940" s="320"/>
    </row>
    <row r="941">
      <c r="C941" s="320"/>
    </row>
    <row r="942">
      <c r="C942" s="320"/>
    </row>
    <row r="943">
      <c r="C943" s="320"/>
    </row>
    <row r="944">
      <c r="C944" s="320"/>
    </row>
    <row r="945">
      <c r="C945" s="320"/>
    </row>
    <row r="946">
      <c r="C946" s="320"/>
    </row>
    <row r="947">
      <c r="C947" s="320"/>
    </row>
    <row r="948">
      <c r="C948" s="320"/>
    </row>
    <row r="949">
      <c r="C949" s="320"/>
    </row>
    <row r="950">
      <c r="C950" s="320"/>
    </row>
    <row r="951">
      <c r="C951" s="320"/>
    </row>
    <row r="952">
      <c r="C952" s="320"/>
    </row>
    <row r="953">
      <c r="C953" s="320"/>
    </row>
    <row r="954">
      <c r="C954" s="320"/>
    </row>
    <row r="955">
      <c r="C955" s="320"/>
    </row>
    <row r="956">
      <c r="C956" s="320"/>
    </row>
    <row r="957">
      <c r="C957" s="320"/>
    </row>
    <row r="958">
      <c r="C958" s="320"/>
    </row>
    <row r="959">
      <c r="C959" s="320"/>
    </row>
    <row r="960">
      <c r="C960" s="320"/>
    </row>
    <row r="961">
      <c r="C961" s="320"/>
    </row>
    <row r="962">
      <c r="C962" s="320"/>
    </row>
    <row r="963">
      <c r="C963" s="320"/>
    </row>
    <row r="964">
      <c r="C964" s="320"/>
    </row>
    <row r="965">
      <c r="C965" s="320"/>
    </row>
    <row r="966">
      <c r="C966" s="320"/>
    </row>
    <row r="967">
      <c r="C967" s="320"/>
    </row>
    <row r="968">
      <c r="C968" s="320"/>
    </row>
    <row r="969">
      <c r="C969" s="320"/>
    </row>
    <row r="970">
      <c r="C970" s="320"/>
    </row>
    <row r="971">
      <c r="C971" s="320"/>
    </row>
    <row r="972">
      <c r="C972" s="320"/>
    </row>
    <row r="973">
      <c r="C973" s="320"/>
    </row>
    <row r="974">
      <c r="C974" s="320"/>
    </row>
    <row r="975">
      <c r="C975" s="320"/>
    </row>
    <row r="976">
      <c r="C976" s="320"/>
    </row>
    <row r="977">
      <c r="C977" s="320"/>
    </row>
    <row r="978">
      <c r="C978" s="320"/>
    </row>
    <row r="979">
      <c r="C979" s="320"/>
    </row>
    <row r="980">
      <c r="C980" s="320"/>
    </row>
    <row r="981">
      <c r="C981" s="320"/>
    </row>
    <row r="982">
      <c r="C982" s="320"/>
    </row>
    <row r="983">
      <c r="C983" s="320"/>
    </row>
    <row r="984">
      <c r="C984" s="320"/>
    </row>
    <row r="985">
      <c r="C985" s="320"/>
    </row>
    <row r="986">
      <c r="C986" s="320"/>
    </row>
    <row r="987">
      <c r="C987" s="320"/>
    </row>
    <row r="988">
      <c r="C988" s="320"/>
    </row>
    <row r="989">
      <c r="C989" s="320"/>
    </row>
    <row r="990">
      <c r="C990" s="320"/>
    </row>
    <row r="991">
      <c r="C991" s="320"/>
    </row>
    <row r="992">
      <c r="C992" s="320"/>
    </row>
    <row r="993">
      <c r="C993" s="320"/>
    </row>
    <row r="994">
      <c r="C994" s="320"/>
    </row>
    <row r="995">
      <c r="C995" s="320"/>
    </row>
    <row r="996">
      <c r="C996" s="320"/>
    </row>
    <row r="997">
      <c r="C997" s="320"/>
    </row>
    <row r="998">
      <c r="C998" s="320"/>
    </row>
    <row r="999">
      <c r="C999" s="320"/>
    </row>
    <row r="1000">
      <c r="C1000" s="320"/>
    </row>
    <row r="1001">
      <c r="C1001" s="320"/>
    </row>
    <row r="1002">
      <c r="C1002" s="320"/>
    </row>
    <row r="1003">
      <c r="C1003" s="320"/>
    </row>
    <row r="1004">
      <c r="C1004" s="320"/>
    </row>
    <row r="1005">
      <c r="C1005" s="320"/>
    </row>
    <row r="1006">
      <c r="C1006" s="320"/>
    </row>
    <row r="1007">
      <c r="C1007" s="320"/>
    </row>
    <row r="1008">
      <c r="C1008" s="320"/>
    </row>
    <row r="1009">
      <c r="C1009" s="320"/>
    </row>
    <row r="1010">
      <c r="C1010" s="320"/>
    </row>
    <row r="1011">
      <c r="C1011" s="320"/>
    </row>
    <row r="1012">
      <c r="C1012" s="320"/>
    </row>
    <row r="1013">
      <c r="C1013" s="320"/>
    </row>
    <row r="1014">
      <c r="C1014" s="320"/>
    </row>
    <row r="1015">
      <c r="C1015" s="320"/>
    </row>
    <row r="1016">
      <c r="C1016" s="320"/>
    </row>
    <row r="1017">
      <c r="C1017" s="320"/>
    </row>
    <row r="1018">
      <c r="C1018" s="320"/>
    </row>
    <row r="1019">
      <c r="C1019" s="320"/>
    </row>
    <row r="1020">
      <c r="C1020" s="320"/>
    </row>
    <row r="1021">
      <c r="C1021" s="320"/>
    </row>
  </sheetData>
  <conditionalFormatting sqref="E3:E40">
    <cfRule type="containsText" dxfId="7" priority="1" operator="containsText" text="MENSALIDADE">
      <formula>NOT(ISERROR(SEARCH(("MENSALIDADE"),(E3))))</formula>
    </cfRule>
  </conditionalFormatting>
  <conditionalFormatting sqref="E3:E40">
    <cfRule type="containsText" dxfId="8" priority="2" operator="containsText" text="UNIFORME">
      <formula>NOT(ISERROR(SEARCH(("UNIFORME"),(E3))))</formula>
    </cfRule>
  </conditionalFormatting>
  <conditionalFormatting sqref="E3:E40">
    <cfRule type="containsText" dxfId="8" priority="3" operator="containsText" text="CALÇÃO">
      <formula>NOT(ISERROR(SEARCH(("CALÇÃO"),(E3))))</formula>
    </cfRule>
  </conditionalFormatting>
  <conditionalFormatting sqref="E3:E40">
    <cfRule type="containsText" dxfId="8" priority="4" operator="containsText" text="CAMISA">
      <formula>NOT(ISERROR(SEARCH(("CAMISA"),(E3))))</formula>
    </cfRule>
  </conditionalFormatting>
  <conditionalFormatting sqref="E3:E40">
    <cfRule type="containsText" dxfId="8" priority="5" operator="containsText" text="MEIÃO">
      <formula>NOT(ISERROR(SEARCH(("MEIÃO"),(E3))))</formula>
    </cfRule>
  </conditionalFormatting>
  <conditionalFormatting sqref="E3:E40">
    <cfRule type="containsText" dxfId="8" priority="6" operator="containsText" text="CAMISETA">
      <formula>NOT(ISERROR(SEARCH(("CAMISETA"),(E3))))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2" max="3" width="14.63"/>
    <col customWidth="1" min="4" max="4" width="19.63"/>
    <col customWidth="1" min="5" max="5" width="79.0"/>
    <col customWidth="1" min="7" max="7" width="17.75"/>
    <col customWidth="1" min="8" max="8" width="20.88"/>
    <col customWidth="1" min="9" max="9" width="21.13"/>
  </cols>
  <sheetData>
    <row r="1">
      <c r="A1" s="349"/>
      <c r="B1" s="350"/>
      <c r="C1" s="351"/>
      <c r="D1" s="352"/>
      <c r="E1" s="352" t="s">
        <v>1080</v>
      </c>
    </row>
    <row r="2">
      <c r="A2" s="383" t="s">
        <v>2</v>
      </c>
      <c r="B2" s="384" t="s">
        <v>3</v>
      </c>
      <c r="C2" s="355" t="s">
        <v>4</v>
      </c>
      <c r="D2" s="356" t="s">
        <v>5</v>
      </c>
      <c r="E2" s="357" t="s">
        <v>6</v>
      </c>
      <c r="F2" s="30" t="s">
        <v>17</v>
      </c>
      <c r="G2" s="31" t="s">
        <v>19</v>
      </c>
      <c r="H2" s="33" t="s">
        <v>21</v>
      </c>
    </row>
    <row r="3">
      <c r="A3" s="367">
        <v>46034.0</v>
      </c>
      <c r="B3" s="385">
        <v>280.0</v>
      </c>
      <c r="C3" s="358"/>
      <c r="D3" s="386" t="s">
        <v>11</v>
      </c>
      <c r="E3" s="12" t="s">
        <v>1082</v>
      </c>
      <c r="F3" s="42">
        <f t="shared" ref="F3:G3" si="1">SUM(B2:B45)</f>
        <v>9180</v>
      </c>
      <c r="G3" s="49">
        <f t="shared" si="1"/>
        <v>0</v>
      </c>
      <c r="H3" s="53">
        <f>F3-G3</f>
        <v>9180</v>
      </c>
    </row>
    <row r="4">
      <c r="A4" s="367">
        <v>46037.0</v>
      </c>
      <c r="B4" s="385">
        <v>250.0</v>
      </c>
      <c r="C4" s="244"/>
      <c r="D4" s="372" t="s">
        <v>51</v>
      </c>
      <c r="E4" s="12" t="s">
        <v>1087</v>
      </c>
    </row>
    <row r="5">
      <c r="A5" s="367">
        <v>46042.0</v>
      </c>
      <c r="B5" s="385">
        <v>250.0</v>
      </c>
      <c r="C5" s="358"/>
      <c r="D5" s="372" t="s">
        <v>11</v>
      </c>
      <c r="E5" s="12" t="s">
        <v>1088</v>
      </c>
    </row>
    <row r="6">
      <c r="A6" s="367">
        <v>46042.0</v>
      </c>
      <c r="B6" s="388">
        <v>230.0</v>
      </c>
      <c r="C6" s="358"/>
      <c r="D6" s="372" t="s">
        <v>60</v>
      </c>
      <c r="E6" s="12" t="s">
        <v>1089</v>
      </c>
    </row>
    <row r="7">
      <c r="A7" s="367">
        <v>46042.0</v>
      </c>
      <c r="B7" s="385">
        <v>250.0</v>
      </c>
      <c r="C7" s="244"/>
      <c r="D7" s="372" t="s">
        <v>11</v>
      </c>
      <c r="E7" s="12" t="s">
        <v>1090</v>
      </c>
    </row>
    <row r="8">
      <c r="A8" s="399">
        <v>46044.0</v>
      </c>
      <c r="B8" s="400">
        <v>530.0</v>
      </c>
      <c r="C8" s="401"/>
      <c r="D8" s="402" t="s">
        <v>11</v>
      </c>
      <c r="E8" s="403" t="s">
        <v>1091</v>
      </c>
    </row>
    <row r="9">
      <c r="A9" s="367">
        <v>46045.0</v>
      </c>
      <c r="B9" s="385">
        <v>140.0</v>
      </c>
      <c r="C9" s="244"/>
      <c r="D9" s="372" t="s">
        <v>11</v>
      </c>
      <c r="E9" s="12" t="s">
        <v>1092</v>
      </c>
    </row>
    <row r="10">
      <c r="A10" s="367">
        <v>46045.0</v>
      </c>
      <c r="B10" s="385">
        <v>450.0</v>
      </c>
      <c r="C10" s="244"/>
      <c r="D10" s="372" t="s">
        <v>11</v>
      </c>
      <c r="E10" s="12" t="s">
        <v>1093</v>
      </c>
    </row>
    <row r="11">
      <c r="A11" s="367">
        <v>46045.0</v>
      </c>
      <c r="B11" s="385">
        <v>280.0</v>
      </c>
      <c r="C11" s="363"/>
      <c r="D11" s="372" t="s">
        <v>60</v>
      </c>
      <c r="E11" s="12" t="s">
        <v>1094</v>
      </c>
    </row>
    <row r="12">
      <c r="A12" s="367">
        <v>46045.0</v>
      </c>
      <c r="B12" s="385">
        <v>3440.0</v>
      </c>
      <c r="C12" s="363"/>
      <c r="D12" s="372" t="s">
        <v>1095</v>
      </c>
      <c r="E12" s="12" t="s">
        <v>1096</v>
      </c>
    </row>
    <row r="13">
      <c r="A13" s="367">
        <v>46048.0</v>
      </c>
      <c r="B13" s="385">
        <v>280.0</v>
      </c>
      <c r="C13" s="363"/>
      <c r="D13" s="372" t="s">
        <v>11</v>
      </c>
      <c r="E13" s="12" t="s">
        <v>1097</v>
      </c>
    </row>
    <row r="14">
      <c r="A14" s="367">
        <v>46321.0</v>
      </c>
      <c r="B14" s="385">
        <v>285.0</v>
      </c>
      <c r="C14" s="404"/>
      <c r="D14" s="392" t="s">
        <v>60</v>
      </c>
      <c r="E14" s="12" t="s">
        <v>1098</v>
      </c>
    </row>
    <row r="15">
      <c r="A15" s="367">
        <v>46321.0</v>
      </c>
      <c r="B15" s="385">
        <v>230.0</v>
      </c>
      <c r="C15" s="358"/>
      <c r="D15" s="392" t="s">
        <v>307</v>
      </c>
      <c r="E15" s="12" t="s">
        <v>1099</v>
      </c>
    </row>
    <row r="16">
      <c r="A16" s="367">
        <v>46322.0</v>
      </c>
      <c r="B16" s="385">
        <f>855+180</f>
        <v>1035</v>
      </c>
      <c r="C16" s="244"/>
      <c r="D16" s="372" t="s">
        <v>307</v>
      </c>
      <c r="E16" s="12" t="s">
        <v>1100</v>
      </c>
    </row>
    <row r="17">
      <c r="A17" s="367">
        <v>46322.0</v>
      </c>
      <c r="B17" s="388">
        <v>140.0</v>
      </c>
      <c r="C17" s="244"/>
      <c r="D17" s="392" t="s">
        <v>307</v>
      </c>
      <c r="E17" s="12" t="s">
        <v>1101</v>
      </c>
    </row>
    <row r="18">
      <c r="A18" s="367">
        <v>46049.0</v>
      </c>
      <c r="B18" s="385">
        <v>350.0</v>
      </c>
      <c r="C18" s="244"/>
      <c r="D18" s="392" t="s">
        <v>51</v>
      </c>
      <c r="E18" s="12" t="s">
        <v>1102</v>
      </c>
    </row>
    <row r="19">
      <c r="A19" s="367">
        <v>46049.0</v>
      </c>
      <c r="B19" s="385">
        <v>180.0</v>
      </c>
      <c r="C19" s="244"/>
      <c r="D19" s="372" t="s">
        <v>11</v>
      </c>
      <c r="E19" s="12" t="s">
        <v>1103</v>
      </c>
    </row>
    <row r="20">
      <c r="A20" s="367">
        <v>46051.0</v>
      </c>
      <c r="B20" s="385">
        <v>350.0</v>
      </c>
      <c r="C20" s="358"/>
      <c r="D20" s="372" t="s">
        <v>11</v>
      </c>
      <c r="E20" s="12" t="s">
        <v>1104</v>
      </c>
    </row>
    <row r="21">
      <c r="A21" s="367">
        <v>46052.0</v>
      </c>
      <c r="B21" s="385">
        <v>230.0</v>
      </c>
      <c r="C21" s="244"/>
      <c r="D21" s="372" t="s">
        <v>1105</v>
      </c>
      <c r="E21" s="12" t="s">
        <v>1106</v>
      </c>
    </row>
    <row r="22">
      <c r="A22" s="367"/>
      <c r="B22" s="385"/>
      <c r="C22" s="244"/>
      <c r="D22" s="372"/>
      <c r="E22" s="12"/>
    </row>
    <row r="23">
      <c r="A23" s="367"/>
      <c r="B23" s="385"/>
      <c r="C23" s="358"/>
      <c r="D23" s="392"/>
      <c r="E23" s="12"/>
    </row>
    <row r="24">
      <c r="A24" s="367"/>
      <c r="B24" s="385"/>
      <c r="C24" s="358"/>
      <c r="D24" s="392"/>
      <c r="E24" s="12"/>
    </row>
    <row r="25">
      <c r="A25" s="367"/>
      <c r="B25" s="385"/>
      <c r="C25" s="244"/>
      <c r="D25" s="372"/>
      <c r="E25" s="12"/>
    </row>
    <row r="26">
      <c r="A26" s="367"/>
      <c r="B26" s="385"/>
      <c r="C26" s="244"/>
      <c r="D26" s="372"/>
      <c r="E26" s="12"/>
    </row>
    <row r="27">
      <c r="A27" s="367"/>
      <c r="B27" s="385"/>
      <c r="C27" s="244"/>
      <c r="D27" s="372"/>
      <c r="E27" s="12"/>
    </row>
    <row r="28">
      <c r="A28" s="367"/>
      <c r="B28" s="385"/>
      <c r="C28" s="358"/>
      <c r="D28" s="372"/>
      <c r="E28" s="12"/>
    </row>
    <row r="29">
      <c r="A29" s="367"/>
      <c r="B29" s="385"/>
      <c r="C29" s="244"/>
      <c r="D29" s="392"/>
      <c r="E29" s="12"/>
    </row>
    <row r="30">
      <c r="A30" s="367"/>
      <c r="B30" s="385"/>
      <c r="C30" s="244"/>
      <c r="D30" s="392"/>
      <c r="E30" s="12"/>
    </row>
    <row r="31">
      <c r="A31" s="367"/>
      <c r="B31" s="385"/>
      <c r="C31" s="244"/>
      <c r="D31" s="392"/>
      <c r="E31" s="12"/>
    </row>
    <row r="32">
      <c r="A32" s="367"/>
      <c r="B32" s="385"/>
      <c r="C32" s="358"/>
      <c r="D32" s="392"/>
      <c r="E32" s="12"/>
    </row>
    <row r="33">
      <c r="A33" s="367"/>
      <c r="B33" s="385"/>
      <c r="C33" s="244"/>
      <c r="D33" s="372"/>
      <c r="E33" s="12"/>
    </row>
    <row r="34">
      <c r="A34" s="367"/>
      <c r="B34" s="385"/>
      <c r="C34" s="244"/>
      <c r="D34" s="372"/>
      <c r="E34" s="12"/>
    </row>
    <row r="35">
      <c r="A35" s="367"/>
      <c r="B35" s="385"/>
      <c r="C35" s="244"/>
      <c r="D35" s="372"/>
      <c r="E35" s="12"/>
    </row>
    <row r="36">
      <c r="A36" s="367"/>
      <c r="B36" s="385"/>
      <c r="C36" s="362"/>
      <c r="D36" s="392"/>
      <c r="E36" s="12"/>
    </row>
    <row r="37">
      <c r="A37" s="367"/>
      <c r="B37" s="385"/>
      <c r="C37" s="363"/>
      <c r="D37" s="392"/>
      <c r="E37" s="12"/>
    </row>
    <row r="38">
      <c r="A38" s="367"/>
      <c r="B38" s="393"/>
      <c r="C38" s="358"/>
      <c r="D38" s="392"/>
      <c r="E38" s="12"/>
    </row>
    <row r="39">
      <c r="A39" s="367"/>
      <c r="B39" s="385"/>
      <c r="C39" s="358"/>
      <c r="D39" s="372"/>
      <c r="E39" s="12"/>
    </row>
    <row r="40">
      <c r="A40" s="367"/>
      <c r="B40" s="385"/>
      <c r="C40" s="244"/>
      <c r="D40" s="372"/>
      <c r="E40" s="12"/>
    </row>
    <row r="41">
      <c r="A41" s="367"/>
      <c r="B41" s="385"/>
      <c r="C41" s="244"/>
      <c r="D41" s="372"/>
      <c r="E41" s="12"/>
    </row>
    <row r="42">
      <c r="A42" s="367"/>
      <c r="B42" s="385"/>
      <c r="C42" s="244"/>
      <c r="D42" s="392"/>
      <c r="E42" s="12"/>
    </row>
    <row r="43">
      <c r="A43" s="367"/>
      <c r="B43" s="385"/>
      <c r="C43" s="244"/>
      <c r="D43" s="240"/>
      <c r="E43" s="12"/>
    </row>
    <row r="44">
      <c r="A44" s="367"/>
      <c r="B44" s="385"/>
      <c r="C44" s="244"/>
      <c r="D44" s="240"/>
      <c r="E44" s="240"/>
    </row>
    <row r="45">
      <c r="A45" s="367"/>
      <c r="B45" s="393"/>
      <c r="C45" s="358"/>
      <c r="D45" s="240"/>
      <c r="E45" s="240"/>
    </row>
    <row r="46">
      <c r="A46" s="367"/>
      <c r="B46" s="393"/>
      <c r="C46" s="244"/>
      <c r="D46" s="240"/>
      <c r="E46" s="240"/>
    </row>
    <row r="47">
      <c r="A47" s="367"/>
      <c r="B47" s="393"/>
      <c r="C47" s="358"/>
      <c r="D47" s="240"/>
      <c r="E47" s="240"/>
    </row>
    <row r="48">
      <c r="A48" s="367"/>
      <c r="B48" s="393"/>
      <c r="C48" s="244"/>
      <c r="D48" s="240"/>
      <c r="E48" s="240"/>
    </row>
    <row r="49">
      <c r="A49" s="367"/>
      <c r="B49" s="385"/>
      <c r="C49" s="244"/>
      <c r="D49" s="240"/>
      <c r="E49" s="240"/>
    </row>
    <row r="50">
      <c r="A50" s="367"/>
      <c r="B50" s="385"/>
      <c r="C50" s="358"/>
      <c r="D50" s="240"/>
      <c r="E50" s="240"/>
    </row>
    <row r="51">
      <c r="A51" s="394"/>
      <c r="B51" s="385"/>
      <c r="C51" s="362"/>
      <c r="D51" s="361"/>
      <c r="E51" s="361"/>
    </row>
    <row r="52">
      <c r="A52" s="367"/>
      <c r="B52" s="385"/>
      <c r="C52" s="358"/>
      <c r="D52" s="240"/>
      <c r="E52" s="240"/>
    </row>
    <row r="53">
      <c r="A53" s="367"/>
      <c r="B53" s="395"/>
      <c r="C53" s="362"/>
      <c r="D53" s="361"/>
      <c r="E53" s="361"/>
    </row>
    <row r="54">
      <c r="A54" s="367"/>
      <c r="B54" s="385"/>
      <c r="C54" s="358"/>
      <c r="D54" s="240"/>
      <c r="E54" s="240"/>
    </row>
    <row r="55">
      <c r="A55" s="367"/>
      <c r="B55" s="388"/>
      <c r="C55" s="358"/>
      <c r="D55" s="240"/>
      <c r="E55" s="240"/>
    </row>
    <row r="56">
      <c r="A56" s="367"/>
      <c r="B56" s="385"/>
      <c r="C56" s="358"/>
      <c r="D56" s="240"/>
      <c r="E56" s="240"/>
    </row>
    <row r="57">
      <c r="A57" s="367"/>
      <c r="B57" s="385"/>
      <c r="C57" s="358"/>
      <c r="D57" s="240"/>
      <c r="E57" s="240"/>
    </row>
    <row r="58">
      <c r="A58" s="367"/>
      <c r="B58" s="388"/>
      <c r="C58" s="358"/>
      <c r="D58" s="240"/>
      <c r="E58" s="240"/>
    </row>
    <row r="59">
      <c r="A59" s="367"/>
      <c r="B59" s="385"/>
      <c r="C59" s="358"/>
      <c r="D59" s="240"/>
      <c r="E59" s="240"/>
    </row>
    <row r="60">
      <c r="A60" s="367"/>
      <c r="B60" s="385"/>
      <c r="C60" s="362"/>
      <c r="D60" s="361"/>
      <c r="E60" s="361"/>
    </row>
    <row r="61">
      <c r="A61" s="367"/>
      <c r="B61" s="385"/>
      <c r="C61" s="358"/>
      <c r="D61" s="240"/>
      <c r="E61" s="240"/>
    </row>
    <row r="62">
      <c r="A62" s="367"/>
      <c r="B62" s="385"/>
      <c r="C62" s="244"/>
      <c r="D62" s="240"/>
      <c r="E62" s="240"/>
    </row>
    <row r="63">
      <c r="A63" s="367"/>
      <c r="B63" s="385"/>
      <c r="C63" s="358"/>
      <c r="D63" s="240"/>
      <c r="E63" s="240"/>
    </row>
    <row r="64">
      <c r="A64" s="240"/>
      <c r="B64" s="393"/>
      <c r="C64" s="358"/>
      <c r="D64" s="240"/>
      <c r="E64" s="240"/>
    </row>
    <row r="65">
      <c r="A65" s="367"/>
      <c r="B65" s="393"/>
      <c r="C65" s="358"/>
      <c r="D65" s="240"/>
      <c r="E65" s="240"/>
    </row>
    <row r="66">
      <c r="A66" s="367"/>
      <c r="B66" s="385"/>
      <c r="C66" s="358"/>
      <c r="D66" s="240"/>
      <c r="E66" s="240"/>
    </row>
    <row r="67">
      <c r="A67" s="371"/>
      <c r="B67" s="385"/>
      <c r="C67" s="358"/>
      <c r="D67" s="240"/>
      <c r="E67" s="240"/>
    </row>
    <row r="68">
      <c r="A68" s="371"/>
      <c r="B68" s="385"/>
      <c r="C68" s="358"/>
      <c r="D68" s="240"/>
      <c r="E68" s="240"/>
    </row>
    <row r="69">
      <c r="A69" s="367"/>
      <c r="B69" s="385"/>
      <c r="C69" s="358"/>
      <c r="D69" s="240"/>
      <c r="E69" s="240"/>
    </row>
    <row r="70">
      <c r="A70" s="371"/>
      <c r="B70" s="385"/>
      <c r="C70" s="358"/>
      <c r="D70" s="240"/>
      <c r="E70" s="240"/>
    </row>
    <row r="71">
      <c r="A71" s="371"/>
      <c r="B71" s="385"/>
      <c r="C71" s="358"/>
      <c r="D71" s="372"/>
      <c r="E71" s="372"/>
    </row>
    <row r="72">
      <c r="A72" s="367"/>
      <c r="B72" s="385"/>
      <c r="C72" s="358"/>
      <c r="D72" s="240"/>
      <c r="E72" s="240"/>
    </row>
    <row r="73">
      <c r="A73" s="371"/>
      <c r="B73" s="385"/>
      <c r="C73" s="358"/>
      <c r="D73" s="240"/>
      <c r="E73" s="240"/>
    </row>
    <row r="74">
      <c r="A74" s="367"/>
      <c r="B74" s="385"/>
      <c r="C74" s="358"/>
      <c r="D74" s="240"/>
      <c r="E74" s="240"/>
    </row>
    <row r="75">
      <c r="A75" s="367"/>
      <c r="B75" s="385"/>
      <c r="C75" s="358"/>
      <c r="D75" s="240"/>
      <c r="E75" s="240"/>
    </row>
    <row r="76">
      <c r="A76" s="367"/>
      <c r="B76" s="396"/>
      <c r="C76" s="358"/>
      <c r="D76" s="240"/>
      <c r="E76" s="240"/>
    </row>
    <row r="77">
      <c r="A77" s="367"/>
      <c r="B77" s="385"/>
      <c r="C77" s="358"/>
      <c r="D77" s="240"/>
      <c r="E77" s="240"/>
    </row>
    <row r="78">
      <c r="A78" s="367"/>
      <c r="B78" s="385"/>
      <c r="C78" s="358"/>
      <c r="D78" s="240"/>
      <c r="E78" s="240"/>
    </row>
    <row r="79">
      <c r="A79" s="367"/>
      <c r="B79" s="385"/>
      <c r="C79" s="358"/>
      <c r="D79" s="240"/>
      <c r="E79" s="240"/>
    </row>
    <row r="80">
      <c r="A80" s="245"/>
      <c r="B80" s="385"/>
      <c r="C80" s="358"/>
      <c r="D80" s="240"/>
      <c r="E80" s="240"/>
    </row>
    <row r="81">
      <c r="A81" s="245"/>
      <c r="B81" s="385"/>
      <c r="C81" s="358"/>
      <c r="D81" s="240"/>
      <c r="E81" s="240"/>
    </row>
    <row r="82">
      <c r="A82" s="245"/>
      <c r="B82" s="385"/>
      <c r="C82" s="358"/>
      <c r="D82" s="240"/>
      <c r="E82" s="240"/>
    </row>
    <row r="83">
      <c r="A83" s="245"/>
      <c r="B83" s="385"/>
      <c r="C83" s="358"/>
      <c r="D83" s="240"/>
      <c r="E83" s="240"/>
    </row>
    <row r="84">
      <c r="A84" s="245"/>
      <c r="B84" s="385"/>
      <c r="C84" s="358"/>
      <c r="D84" s="240"/>
      <c r="E84" s="240"/>
    </row>
    <row r="85">
      <c r="A85" s="371"/>
      <c r="B85" s="385"/>
      <c r="C85" s="358"/>
      <c r="D85" s="240"/>
      <c r="E85" s="240"/>
    </row>
    <row r="86">
      <c r="A86" s="371"/>
      <c r="B86" s="385"/>
      <c r="C86" s="358"/>
      <c r="D86" s="240"/>
      <c r="E86" s="240"/>
    </row>
    <row r="87">
      <c r="A87" s="240"/>
      <c r="B87" s="385"/>
      <c r="C87" s="358"/>
      <c r="D87" s="240"/>
      <c r="E87" s="240"/>
    </row>
    <row r="88">
      <c r="A88" s="371"/>
      <c r="B88" s="397"/>
      <c r="C88" s="358"/>
      <c r="D88" s="240"/>
      <c r="E88" s="240"/>
    </row>
    <row r="89">
      <c r="A89" s="371"/>
      <c r="B89" s="385"/>
      <c r="C89" s="358"/>
      <c r="D89" s="240"/>
      <c r="E89" s="240"/>
    </row>
    <row r="90">
      <c r="A90" s="371"/>
      <c r="B90" s="385"/>
      <c r="C90" s="358"/>
      <c r="D90" s="240"/>
      <c r="E90" s="240"/>
    </row>
    <row r="91">
      <c r="A91" s="371"/>
      <c r="B91" s="385"/>
      <c r="C91" s="358"/>
      <c r="D91" s="240"/>
      <c r="E91" s="240"/>
    </row>
    <row r="92">
      <c r="A92" s="245"/>
      <c r="B92" s="398"/>
      <c r="C92" s="358"/>
      <c r="D92" s="245"/>
      <c r="E92" s="245"/>
    </row>
    <row r="93">
      <c r="A93" s="245"/>
      <c r="B93" s="398"/>
      <c r="C93" s="358"/>
      <c r="D93" s="245"/>
      <c r="E93" s="245"/>
    </row>
    <row r="94">
      <c r="A94" s="245"/>
      <c r="B94" s="398"/>
      <c r="C94" s="358"/>
      <c r="D94" s="245"/>
      <c r="E94" s="245"/>
    </row>
    <row r="95">
      <c r="A95" s="245"/>
      <c r="B95" s="398"/>
      <c r="C95" s="358"/>
      <c r="D95" s="245"/>
      <c r="E95" s="245"/>
    </row>
    <row r="96">
      <c r="A96" s="245"/>
      <c r="B96" s="398"/>
      <c r="C96" s="358"/>
      <c r="D96" s="245"/>
      <c r="E96" s="245"/>
    </row>
    <row r="97">
      <c r="A97" s="245"/>
      <c r="B97" s="398"/>
      <c r="C97" s="358"/>
      <c r="D97" s="245"/>
      <c r="E97" s="245"/>
    </row>
    <row r="98">
      <c r="A98" s="245"/>
      <c r="B98" s="398"/>
      <c r="C98" s="358"/>
      <c r="D98" s="245"/>
      <c r="E98" s="245"/>
    </row>
    <row r="99">
      <c r="C99" s="320"/>
    </row>
    <row r="100">
      <c r="C100" s="320"/>
    </row>
    <row r="101">
      <c r="C101" s="320"/>
    </row>
    <row r="102">
      <c r="C102" s="320"/>
    </row>
    <row r="103">
      <c r="C103" s="320"/>
    </row>
    <row r="104">
      <c r="C104" s="320"/>
    </row>
    <row r="105">
      <c r="C105" s="320"/>
    </row>
    <row r="106">
      <c r="C106" s="320"/>
    </row>
    <row r="107">
      <c r="C107" s="320"/>
    </row>
    <row r="108">
      <c r="C108" s="320"/>
    </row>
    <row r="109">
      <c r="C109" s="320"/>
    </row>
    <row r="110">
      <c r="C110" s="320"/>
    </row>
    <row r="111">
      <c r="C111" s="320"/>
    </row>
    <row r="112">
      <c r="C112" s="320"/>
    </row>
    <row r="113">
      <c r="C113" s="320"/>
    </row>
    <row r="114">
      <c r="C114" s="320"/>
    </row>
    <row r="115">
      <c r="C115" s="320"/>
    </row>
    <row r="116">
      <c r="C116" s="320"/>
    </row>
    <row r="117">
      <c r="C117" s="320"/>
    </row>
    <row r="118">
      <c r="C118" s="320"/>
    </row>
    <row r="119">
      <c r="C119" s="320"/>
    </row>
    <row r="120">
      <c r="C120" s="320"/>
    </row>
    <row r="121">
      <c r="C121" s="320"/>
    </row>
    <row r="122">
      <c r="C122" s="320"/>
    </row>
    <row r="123">
      <c r="C123" s="320"/>
    </row>
    <row r="124">
      <c r="C124" s="320"/>
    </row>
    <row r="125">
      <c r="C125" s="320"/>
    </row>
    <row r="126">
      <c r="C126" s="320"/>
    </row>
    <row r="127">
      <c r="C127" s="320"/>
    </row>
    <row r="128">
      <c r="C128" s="320"/>
    </row>
    <row r="129">
      <c r="C129" s="320"/>
    </row>
    <row r="130">
      <c r="C130" s="320"/>
    </row>
    <row r="131">
      <c r="C131" s="320"/>
    </row>
    <row r="132">
      <c r="C132" s="320"/>
    </row>
    <row r="133">
      <c r="C133" s="320"/>
    </row>
    <row r="134">
      <c r="C134" s="320"/>
    </row>
    <row r="135">
      <c r="C135" s="320"/>
    </row>
    <row r="136">
      <c r="C136" s="320"/>
    </row>
    <row r="137">
      <c r="C137" s="320"/>
    </row>
    <row r="138">
      <c r="C138" s="320"/>
    </row>
    <row r="139">
      <c r="C139" s="320"/>
    </row>
    <row r="140">
      <c r="C140" s="320"/>
    </row>
    <row r="141">
      <c r="C141" s="320"/>
    </row>
    <row r="142">
      <c r="C142" s="320"/>
    </row>
    <row r="143">
      <c r="C143" s="320"/>
    </row>
    <row r="144">
      <c r="C144" s="320"/>
    </row>
    <row r="145">
      <c r="C145" s="320"/>
    </row>
    <row r="146">
      <c r="C146" s="320"/>
    </row>
    <row r="147">
      <c r="C147" s="320"/>
    </row>
    <row r="148">
      <c r="C148" s="320"/>
    </row>
    <row r="149">
      <c r="C149" s="320"/>
    </row>
    <row r="150">
      <c r="C150" s="320"/>
    </row>
    <row r="151">
      <c r="C151" s="320"/>
    </row>
    <row r="152">
      <c r="C152" s="320"/>
    </row>
    <row r="153">
      <c r="C153" s="320"/>
    </row>
    <row r="154">
      <c r="C154" s="320"/>
    </row>
    <row r="155">
      <c r="C155" s="320"/>
    </row>
    <row r="156">
      <c r="C156" s="320"/>
    </row>
    <row r="157">
      <c r="C157" s="320"/>
    </row>
    <row r="158">
      <c r="C158" s="320"/>
    </row>
    <row r="159">
      <c r="C159" s="320"/>
    </row>
    <row r="160">
      <c r="C160" s="320"/>
    </row>
    <row r="161">
      <c r="C161" s="320"/>
    </row>
    <row r="162">
      <c r="C162" s="320"/>
    </row>
    <row r="163">
      <c r="C163" s="320"/>
    </row>
    <row r="164">
      <c r="C164" s="320"/>
    </row>
    <row r="165">
      <c r="C165" s="320"/>
    </row>
    <row r="166">
      <c r="C166" s="320"/>
    </row>
    <row r="167">
      <c r="C167" s="320"/>
    </row>
    <row r="168">
      <c r="C168" s="320"/>
    </row>
    <row r="169">
      <c r="C169" s="320"/>
    </row>
    <row r="170">
      <c r="C170" s="320"/>
    </row>
    <row r="171">
      <c r="C171" s="320"/>
    </row>
    <row r="172">
      <c r="C172" s="320"/>
    </row>
    <row r="173">
      <c r="C173" s="320"/>
    </row>
    <row r="174">
      <c r="C174" s="320"/>
    </row>
    <row r="175">
      <c r="C175" s="320"/>
    </row>
    <row r="176">
      <c r="C176" s="320"/>
    </row>
    <row r="177">
      <c r="C177" s="320"/>
    </row>
    <row r="178">
      <c r="C178" s="320"/>
    </row>
    <row r="179">
      <c r="C179" s="320"/>
    </row>
    <row r="180">
      <c r="C180" s="320"/>
    </row>
    <row r="181">
      <c r="C181" s="320"/>
    </row>
    <row r="182">
      <c r="C182" s="320"/>
    </row>
    <row r="183">
      <c r="C183" s="320"/>
    </row>
    <row r="184">
      <c r="C184" s="320"/>
    </row>
    <row r="185">
      <c r="C185" s="320"/>
    </row>
    <row r="186">
      <c r="C186" s="320"/>
    </row>
    <row r="187">
      <c r="C187" s="320"/>
    </row>
    <row r="188">
      <c r="C188" s="320"/>
    </row>
    <row r="189">
      <c r="C189" s="320"/>
    </row>
    <row r="190">
      <c r="C190" s="320"/>
    </row>
    <row r="191">
      <c r="C191" s="320"/>
    </row>
    <row r="192">
      <c r="C192" s="320"/>
    </row>
    <row r="193">
      <c r="C193" s="320"/>
    </row>
    <row r="194">
      <c r="C194" s="320"/>
    </row>
    <row r="195">
      <c r="C195" s="320"/>
    </row>
    <row r="196">
      <c r="C196" s="320"/>
    </row>
    <row r="197">
      <c r="C197" s="320"/>
    </row>
    <row r="198">
      <c r="C198" s="320"/>
    </row>
    <row r="199">
      <c r="C199" s="320"/>
    </row>
    <row r="200">
      <c r="C200" s="320"/>
    </row>
    <row r="201">
      <c r="C201" s="320"/>
    </row>
    <row r="202">
      <c r="C202" s="320"/>
    </row>
    <row r="203">
      <c r="C203" s="320"/>
    </row>
    <row r="204">
      <c r="C204" s="320"/>
    </row>
    <row r="205">
      <c r="C205" s="320"/>
    </row>
    <row r="206">
      <c r="C206" s="320"/>
    </row>
    <row r="207">
      <c r="C207" s="320"/>
    </row>
    <row r="208">
      <c r="C208" s="320"/>
    </row>
    <row r="209">
      <c r="C209" s="320"/>
    </row>
    <row r="210">
      <c r="C210" s="320"/>
    </row>
    <row r="211">
      <c r="C211" s="320"/>
    </row>
    <row r="212">
      <c r="C212" s="320"/>
    </row>
    <row r="213">
      <c r="C213" s="320"/>
    </row>
    <row r="214">
      <c r="C214" s="320"/>
    </row>
    <row r="215">
      <c r="C215" s="320"/>
    </row>
    <row r="216">
      <c r="C216" s="320"/>
    </row>
    <row r="217">
      <c r="C217" s="320"/>
    </row>
    <row r="218">
      <c r="C218" s="320"/>
    </row>
    <row r="219">
      <c r="C219" s="320"/>
    </row>
    <row r="220">
      <c r="C220" s="320"/>
    </row>
    <row r="221">
      <c r="C221" s="320"/>
    </row>
    <row r="222">
      <c r="C222" s="320"/>
    </row>
    <row r="223">
      <c r="C223" s="320"/>
    </row>
    <row r="224">
      <c r="C224" s="320"/>
    </row>
    <row r="225">
      <c r="C225" s="320"/>
    </row>
    <row r="226">
      <c r="C226" s="320"/>
    </row>
    <row r="227">
      <c r="C227" s="320"/>
    </row>
    <row r="228">
      <c r="C228" s="320"/>
    </row>
    <row r="229">
      <c r="C229" s="320"/>
    </row>
    <row r="230">
      <c r="C230" s="320"/>
    </row>
    <row r="231">
      <c r="C231" s="320"/>
    </row>
    <row r="232">
      <c r="C232" s="320"/>
    </row>
    <row r="233">
      <c r="C233" s="320"/>
    </row>
    <row r="234">
      <c r="C234" s="320"/>
    </row>
    <row r="235">
      <c r="C235" s="320"/>
    </row>
    <row r="236">
      <c r="C236" s="320"/>
    </row>
    <row r="237">
      <c r="C237" s="320"/>
    </row>
    <row r="238">
      <c r="C238" s="320"/>
    </row>
    <row r="239">
      <c r="C239" s="320"/>
    </row>
    <row r="240">
      <c r="C240" s="320"/>
    </row>
    <row r="241">
      <c r="C241" s="320"/>
    </row>
    <row r="242">
      <c r="C242" s="320"/>
    </row>
    <row r="243">
      <c r="C243" s="320"/>
    </row>
    <row r="244">
      <c r="C244" s="320"/>
    </row>
    <row r="245">
      <c r="C245" s="320"/>
    </row>
    <row r="246">
      <c r="C246" s="320"/>
    </row>
    <row r="247">
      <c r="C247" s="320"/>
    </row>
    <row r="248">
      <c r="C248" s="320"/>
    </row>
    <row r="249">
      <c r="C249" s="320"/>
    </row>
    <row r="250">
      <c r="C250" s="320"/>
    </row>
    <row r="251">
      <c r="C251" s="320"/>
    </row>
    <row r="252">
      <c r="C252" s="320"/>
    </row>
    <row r="253">
      <c r="C253" s="320"/>
    </row>
    <row r="254">
      <c r="C254" s="320"/>
    </row>
    <row r="255">
      <c r="C255" s="320"/>
    </row>
    <row r="256">
      <c r="C256" s="320"/>
    </row>
    <row r="257">
      <c r="C257" s="320"/>
    </row>
    <row r="258">
      <c r="C258" s="320"/>
    </row>
    <row r="259">
      <c r="C259" s="320"/>
    </row>
    <row r="260">
      <c r="C260" s="320"/>
    </row>
    <row r="261">
      <c r="C261" s="320"/>
    </row>
    <row r="262">
      <c r="C262" s="320"/>
    </row>
    <row r="263">
      <c r="C263" s="320"/>
    </row>
    <row r="264">
      <c r="C264" s="320"/>
    </row>
    <row r="265">
      <c r="C265" s="320"/>
    </row>
    <row r="266">
      <c r="C266" s="320"/>
    </row>
    <row r="267">
      <c r="C267" s="320"/>
    </row>
    <row r="268">
      <c r="C268" s="320"/>
    </row>
    <row r="269">
      <c r="C269" s="320"/>
    </row>
    <row r="270">
      <c r="C270" s="320"/>
    </row>
    <row r="271">
      <c r="C271" s="320"/>
    </row>
    <row r="272">
      <c r="C272" s="320"/>
    </row>
    <row r="273">
      <c r="C273" s="320"/>
    </row>
    <row r="274">
      <c r="C274" s="320"/>
    </row>
    <row r="275">
      <c r="C275" s="320"/>
    </row>
    <row r="276">
      <c r="C276" s="320"/>
    </row>
    <row r="277">
      <c r="C277" s="320"/>
    </row>
    <row r="278">
      <c r="C278" s="320"/>
    </row>
    <row r="279">
      <c r="C279" s="320"/>
    </row>
    <row r="280">
      <c r="C280" s="320"/>
    </row>
    <row r="281">
      <c r="C281" s="320"/>
    </row>
    <row r="282">
      <c r="C282" s="320"/>
    </row>
    <row r="283">
      <c r="C283" s="320"/>
    </row>
    <row r="284">
      <c r="C284" s="320"/>
    </row>
    <row r="285">
      <c r="C285" s="320"/>
    </row>
    <row r="286">
      <c r="C286" s="320"/>
    </row>
    <row r="287">
      <c r="C287" s="320"/>
    </row>
    <row r="288">
      <c r="C288" s="320"/>
    </row>
    <row r="289">
      <c r="C289" s="320"/>
    </row>
    <row r="290">
      <c r="C290" s="320"/>
    </row>
    <row r="291">
      <c r="C291" s="320"/>
    </row>
    <row r="292">
      <c r="C292" s="320"/>
    </row>
    <row r="293">
      <c r="C293" s="320"/>
    </row>
    <row r="294">
      <c r="C294" s="320"/>
    </row>
    <row r="295">
      <c r="C295" s="320"/>
    </row>
    <row r="296">
      <c r="C296" s="320"/>
    </row>
    <row r="297">
      <c r="C297" s="320"/>
    </row>
    <row r="298">
      <c r="C298" s="320"/>
    </row>
    <row r="299">
      <c r="C299" s="320"/>
    </row>
    <row r="300">
      <c r="C300" s="320"/>
    </row>
    <row r="301">
      <c r="C301" s="320"/>
    </row>
    <row r="302">
      <c r="C302" s="320"/>
    </row>
    <row r="303">
      <c r="C303" s="320"/>
    </row>
    <row r="304">
      <c r="C304" s="320"/>
    </row>
    <row r="305">
      <c r="C305" s="320"/>
    </row>
    <row r="306">
      <c r="C306" s="320"/>
    </row>
    <row r="307">
      <c r="C307" s="320"/>
    </row>
    <row r="308">
      <c r="C308" s="320"/>
    </row>
    <row r="309">
      <c r="C309" s="320"/>
    </row>
    <row r="310">
      <c r="C310" s="320"/>
    </row>
    <row r="311">
      <c r="C311" s="320"/>
    </row>
    <row r="312">
      <c r="C312" s="320"/>
    </row>
    <row r="313">
      <c r="C313" s="320"/>
    </row>
    <row r="314">
      <c r="C314" s="320"/>
    </row>
    <row r="315">
      <c r="C315" s="320"/>
    </row>
    <row r="316">
      <c r="C316" s="320"/>
    </row>
    <row r="317">
      <c r="C317" s="320"/>
    </row>
    <row r="318">
      <c r="C318" s="320"/>
    </row>
    <row r="319">
      <c r="C319" s="320"/>
    </row>
    <row r="320">
      <c r="C320" s="320"/>
    </row>
    <row r="321">
      <c r="C321" s="320"/>
    </row>
    <row r="322">
      <c r="C322" s="320"/>
    </row>
    <row r="323">
      <c r="C323" s="320"/>
    </row>
    <row r="324">
      <c r="C324" s="320"/>
    </row>
    <row r="325">
      <c r="C325" s="320"/>
    </row>
    <row r="326">
      <c r="C326" s="320"/>
    </row>
    <row r="327">
      <c r="C327" s="320"/>
    </row>
    <row r="328">
      <c r="C328" s="320"/>
    </row>
    <row r="329">
      <c r="C329" s="320"/>
    </row>
    <row r="330">
      <c r="C330" s="320"/>
    </row>
    <row r="331">
      <c r="C331" s="320"/>
    </row>
    <row r="332">
      <c r="C332" s="320"/>
    </row>
    <row r="333">
      <c r="C333" s="320"/>
    </row>
    <row r="334">
      <c r="C334" s="320"/>
    </row>
    <row r="335">
      <c r="C335" s="320"/>
    </row>
    <row r="336">
      <c r="C336" s="320"/>
    </row>
    <row r="337">
      <c r="C337" s="320"/>
    </row>
    <row r="338">
      <c r="C338" s="320"/>
    </row>
    <row r="339">
      <c r="C339" s="320"/>
    </row>
    <row r="340">
      <c r="C340" s="320"/>
    </row>
    <row r="341">
      <c r="C341" s="320"/>
    </row>
    <row r="342">
      <c r="C342" s="320"/>
    </row>
    <row r="343">
      <c r="C343" s="320"/>
    </row>
    <row r="344">
      <c r="C344" s="320"/>
    </row>
    <row r="345">
      <c r="C345" s="320"/>
    </row>
    <row r="346">
      <c r="C346" s="320"/>
    </row>
    <row r="347">
      <c r="C347" s="320"/>
    </row>
    <row r="348">
      <c r="C348" s="320"/>
    </row>
    <row r="349">
      <c r="C349" s="320"/>
    </row>
    <row r="350">
      <c r="C350" s="320"/>
    </row>
    <row r="351">
      <c r="C351" s="320"/>
    </row>
    <row r="352">
      <c r="C352" s="320"/>
    </row>
    <row r="353">
      <c r="C353" s="320"/>
    </row>
    <row r="354">
      <c r="C354" s="320"/>
    </row>
    <row r="355">
      <c r="C355" s="320"/>
    </row>
    <row r="356">
      <c r="C356" s="320"/>
    </row>
    <row r="357">
      <c r="C357" s="320"/>
    </row>
    <row r="358">
      <c r="C358" s="320"/>
    </row>
    <row r="359">
      <c r="C359" s="320"/>
    </row>
    <row r="360">
      <c r="C360" s="320"/>
    </row>
    <row r="361">
      <c r="C361" s="320"/>
    </row>
    <row r="362">
      <c r="C362" s="320"/>
    </row>
    <row r="363">
      <c r="C363" s="320"/>
    </row>
    <row r="364">
      <c r="C364" s="320"/>
    </row>
    <row r="365">
      <c r="C365" s="320"/>
    </row>
    <row r="366">
      <c r="C366" s="320"/>
    </row>
    <row r="367">
      <c r="C367" s="320"/>
    </row>
    <row r="368">
      <c r="C368" s="320"/>
    </row>
    <row r="369">
      <c r="C369" s="320"/>
    </row>
    <row r="370">
      <c r="C370" s="320"/>
    </row>
    <row r="371">
      <c r="C371" s="320"/>
    </row>
    <row r="372">
      <c r="C372" s="320"/>
    </row>
    <row r="373">
      <c r="C373" s="320"/>
    </row>
    <row r="374">
      <c r="C374" s="320"/>
    </row>
    <row r="375">
      <c r="C375" s="320"/>
    </row>
    <row r="376">
      <c r="C376" s="320"/>
    </row>
    <row r="377">
      <c r="C377" s="320"/>
    </row>
    <row r="378">
      <c r="C378" s="320"/>
    </row>
    <row r="379">
      <c r="C379" s="320"/>
    </row>
    <row r="380">
      <c r="C380" s="320"/>
    </row>
    <row r="381">
      <c r="C381" s="320"/>
    </row>
    <row r="382">
      <c r="C382" s="320"/>
    </row>
    <row r="383">
      <c r="C383" s="320"/>
    </row>
    <row r="384">
      <c r="C384" s="320"/>
    </row>
    <row r="385">
      <c r="C385" s="320"/>
    </row>
    <row r="386">
      <c r="C386" s="320"/>
    </row>
    <row r="387">
      <c r="C387" s="320"/>
    </row>
    <row r="388">
      <c r="C388" s="320"/>
    </row>
    <row r="389">
      <c r="C389" s="320"/>
    </row>
    <row r="390">
      <c r="C390" s="320"/>
    </row>
    <row r="391">
      <c r="C391" s="320"/>
    </row>
    <row r="392">
      <c r="C392" s="320"/>
    </row>
    <row r="393">
      <c r="C393" s="320"/>
    </row>
    <row r="394">
      <c r="C394" s="320"/>
    </row>
    <row r="395">
      <c r="C395" s="320"/>
    </row>
    <row r="396">
      <c r="C396" s="320"/>
    </row>
    <row r="397">
      <c r="C397" s="320"/>
    </row>
    <row r="398">
      <c r="C398" s="320"/>
    </row>
    <row r="399">
      <c r="C399" s="320"/>
    </row>
    <row r="400">
      <c r="C400" s="320"/>
    </row>
    <row r="401">
      <c r="C401" s="320"/>
    </row>
    <row r="402">
      <c r="C402" s="320"/>
    </row>
    <row r="403">
      <c r="C403" s="320"/>
    </row>
    <row r="404">
      <c r="C404" s="320"/>
    </row>
    <row r="405">
      <c r="C405" s="320"/>
    </row>
    <row r="406">
      <c r="C406" s="320"/>
    </row>
    <row r="407">
      <c r="C407" s="320"/>
    </row>
    <row r="408">
      <c r="C408" s="320"/>
    </row>
    <row r="409">
      <c r="C409" s="320"/>
    </row>
    <row r="410">
      <c r="C410" s="320"/>
    </row>
    <row r="411">
      <c r="C411" s="320"/>
    </row>
    <row r="412">
      <c r="C412" s="320"/>
    </row>
    <row r="413">
      <c r="C413" s="320"/>
    </row>
    <row r="414">
      <c r="C414" s="320"/>
    </row>
    <row r="415">
      <c r="C415" s="320"/>
    </row>
    <row r="416">
      <c r="C416" s="320"/>
    </row>
    <row r="417">
      <c r="C417" s="320"/>
    </row>
    <row r="418">
      <c r="C418" s="320"/>
    </row>
    <row r="419">
      <c r="C419" s="320"/>
    </row>
    <row r="420">
      <c r="C420" s="320"/>
    </row>
    <row r="421">
      <c r="C421" s="320"/>
    </row>
    <row r="422">
      <c r="C422" s="320"/>
    </row>
    <row r="423">
      <c r="C423" s="320"/>
    </row>
    <row r="424">
      <c r="C424" s="320"/>
    </row>
    <row r="425">
      <c r="C425" s="320"/>
    </row>
    <row r="426">
      <c r="C426" s="320"/>
    </row>
    <row r="427">
      <c r="C427" s="320"/>
    </row>
    <row r="428">
      <c r="C428" s="320"/>
    </row>
    <row r="429">
      <c r="C429" s="320"/>
    </row>
    <row r="430">
      <c r="C430" s="320"/>
    </row>
    <row r="431">
      <c r="C431" s="320"/>
    </row>
    <row r="432">
      <c r="C432" s="320"/>
    </row>
    <row r="433">
      <c r="C433" s="320"/>
    </row>
    <row r="434">
      <c r="C434" s="320"/>
    </row>
    <row r="435">
      <c r="C435" s="320"/>
    </row>
    <row r="436">
      <c r="C436" s="320"/>
    </row>
    <row r="437">
      <c r="C437" s="320"/>
    </row>
    <row r="438">
      <c r="C438" s="320"/>
    </row>
    <row r="439">
      <c r="C439" s="320"/>
    </row>
    <row r="440">
      <c r="C440" s="320"/>
    </row>
    <row r="441">
      <c r="C441" s="320"/>
    </row>
    <row r="442">
      <c r="C442" s="320"/>
    </row>
    <row r="443">
      <c r="C443" s="320"/>
    </row>
    <row r="444">
      <c r="C444" s="320"/>
    </row>
    <row r="445">
      <c r="C445" s="320"/>
    </row>
    <row r="446">
      <c r="C446" s="320"/>
    </row>
    <row r="447">
      <c r="C447" s="320"/>
    </row>
    <row r="448">
      <c r="C448" s="320"/>
    </row>
    <row r="449">
      <c r="C449" s="320"/>
    </row>
    <row r="450">
      <c r="C450" s="320"/>
    </row>
    <row r="451">
      <c r="C451" s="320"/>
    </row>
    <row r="452">
      <c r="C452" s="320"/>
    </row>
    <row r="453">
      <c r="C453" s="320"/>
    </row>
    <row r="454">
      <c r="C454" s="320"/>
    </row>
    <row r="455">
      <c r="C455" s="320"/>
    </row>
    <row r="456">
      <c r="C456" s="320"/>
    </row>
    <row r="457">
      <c r="C457" s="320"/>
    </row>
    <row r="458">
      <c r="C458" s="320"/>
    </row>
    <row r="459">
      <c r="C459" s="320"/>
    </row>
    <row r="460">
      <c r="C460" s="320"/>
    </row>
    <row r="461">
      <c r="C461" s="320"/>
    </row>
    <row r="462">
      <c r="C462" s="320"/>
    </row>
    <row r="463">
      <c r="C463" s="320"/>
    </row>
    <row r="464">
      <c r="C464" s="320"/>
    </row>
    <row r="465">
      <c r="C465" s="320"/>
    </row>
    <row r="466">
      <c r="C466" s="320"/>
    </row>
    <row r="467">
      <c r="C467" s="320"/>
    </row>
    <row r="468">
      <c r="C468" s="320"/>
    </row>
    <row r="469">
      <c r="C469" s="320"/>
    </row>
    <row r="470">
      <c r="C470" s="320"/>
    </row>
    <row r="471">
      <c r="C471" s="320"/>
    </row>
    <row r="472">
      <c r="C472" s="320"/>
    </row>
    <row r="473">
      <c r="C473" s="320"/>
    </row>
    <row r="474">
      <c r="C474" s="320"/>
    </row>
    <row r="475">
      <c r="C475" s="320"/>
    </row>
    <row r="476">
      <c r="C476" s="320"/>
    </row>
    <row r="477">
      <c r="C477" s="320"/>
    </row>
    <row r="478">
      <c r="C478" s="320"/>
    </row>
    <row r="479">
      <c r="C479" s="320"/>
    </row>
    <row r="480">
      <c r="C480" s="320"/>
    </row>
    <row r="481">
      <c r="C481" s="320"/>
    </row>
    <row r="482">
      <c r="C482" s="320"/>
    </row>
    <row r="483">
      <c r="C483" s="320"/>
    </row>
    <row r="484">
      <c r="C484" s="320"/>
    </row>
    <row r="485">
      <c r="C485" s="320"/>
    </row>
    <row r="486">
      <c r="C486" s="320"/>
    </row>
    <row r="487">
      <c r="C487" s="320"/>
    </row>
    <row r="488">
      <c r="C488" s="320"/>
    </row>
    <row r="489">
      <c r="C489" s="320"/>
    </row>
    <row r="490">
      <c r="C490" s="320"/>
    </row>
    <row r="491">
      <c r="C491" s="320"/>
    </row>
    <row r="492">
      <c r="C492" s="320"/>
    </row>
    <row r="493">
      <c r="C493" s="320"/>
    </row>
    <row r="494">
      <c r="C494" s="320"/>
    </row>
    <row r="495">
      <c r="C495" s="320"/>
    </row>
    <row r="496">
      <c r="C496" s="320"/>
    </row>
    <row r="497">
      <c r="C497" s="320"/>
    </row>
    <row r="498">
      <c r="C498" s="320"/>
    </row>
    <row r="499">
      <c r="C499" s="320"/>
    </row>
    <row r="500">
      <c r="C500" s="320"/>
    </row>
    <row r="501">
      <c r="C501" s="320"/>
    </row>
    <row r="502">
      <c r="C502" s="320"/>
    </row>
    <row r="503">
      <c r="C503" s="320"/>
    </row>
    <row r="504">
      <c r="C504" s="320"/>
    </row>
    <row r="505">
      <c r="C505" s="320"/>
    </row>
    <row r="506">
      <c r="C506" s="320"/>
    </row>
    <row r="507">
      <c r="C507" s="320"/>
    </row>
    <row r="508">
      <c r="C508" s="320"/>
    </row>
    <row r="509">
      <c r="C509" s="320"/>
    </row>
    <row r="510">
      <c r="C510" s="320"/>
    </row>
    <row r="511">
      <c r="C511" s="320"/>
    </row>
    <row r="512">
      <c r="C512" s="320"/>
    </row>
    <row r="513">
      <c r="C513" s="320"/>
    </row>
    <row r="514">
      <c r="C514" s="320"/>
    </row>
    <row r="515">
      <c r="C515" s="320"/>
    </row>
    <row r="516">
      <c r="C516" s="320"/>
    </row>
    <row r="517">
      <c r="C517" s="320"/>
    </row>
    <row r="518">
      <c r="C518" s="320"/>
    </row>
    <row r="519">
      <c r="C519" s="320"/>
    </row>
    <row r="520">
      <c r="C520" s="320"/>
    </row>
    <row r="521">
      <c r="C521" s="320"/>
    </row>
    <row r="522">
      <c r="C522" s="320"/>
    </row>
    <row r="523">
      <c r="C523" s="320"/>
    </row>
    <row r="524">
      <c r="C524" s="320"/>
    </row>
    <row r="525">
      <c r="C525" s="320"/>
    </row>
    <row r="526">
      <c r="C526" s="320"/>
    </row>
    <row r="527">
      <c r="C527" s="320"/>
    </row>
    <row r="528">
      <c r="C528" s="320"/>
    </row>
    <row r="529">
      <c r="C529" s="320"/>
    </row>
    <row r="530">
      <c r="C530" s="320"/>
    </row>
    <row r="531">
      <c r="C531" s="320"/>
    </row>
    <row r="532">
      <c r="C532" s="320"/>
    </row>
    <row r="533">
      <c r="C533" s="320"/>
    </row>
    <row r="534">
      <c r="C534" s="320"/>
    </row>
    <row r="535">
      <c r="C535" s="320"/>
    </row>
    <row r="536">
      <c r="C536" s="320"/>
    </row>
    <row r="537">
      <c r="C537" s="320"/>
    </row>
    <row r="538">
      <c r="C538" s="320"/>
    </row>
    <row r="539">
      <c r="C539" s="320"/>
    </row>
    <row r="540">
      <c r="C540" s="320"/>
    </row>
    <row r="541">
      <c r="C541" s="320"/>
    </row>
    <row r="542">
      <c r="C542" s="320"/>
    </row>
    <row r="543">
      <c r="C543" s="320"/>
    </row>
    <row r="544">
      <c r="C544" s="320"/>
    </row>
    <row r="545">
      <c r="C545" s="320"/>
    </row>
    <row r="546">
      <c r="C546" s="320"/>
    </row>
    <row r="547">
      <c r="C547" s="320"/>
    </row>
    <row r="548">
      <c r="C548" s="320"/>
    </row>
    <row r="549">
      <c r="C549" s="320"/>
    </row>
    <row r="550">
      <c r="C550" s="320"/>
    </row>
    <row r="551">
      <c r="C551" s="320"/>
    </row>
    <row r="552">
      <c r="C552" s="320"/>
    </row>
    <row r="553">
      <c r="C553" s="320"/>
    </row>
    <row r="554">
      <c r="C554" s="320"/>
    </row>
    <row r="555">
      <c r="C555" s="320"/>
    </row>
    <row r="556">
      <c r="C556" s="320"/>
    </row>
    <row r="557">
      <c r="C557" s="320"/>
    </row>
    <row r="558">
      <c r="C558" s="320"/>
    </row>
    <row r="559">
      <c r="C559" s="320"/>
    </row>
    <row r="560">
      <c r="C560" s="320"/>
    </row>
    <row r="561">
      <c r="C561" s="320"/>
    </row>
    <row r="562">
      <c r="C562" s="320"/>
    </row>
    <row r="563">
      <c r="C563" s="320"/>
    </row>
    <row r="564">
      <c r="C564" s="320"/>
    </row>
    <row r="565">
      <c r="C565" s="320"/>
    </row>
    <row r="566">
      <c r="C566" s="320"/>
    </row>
    <row r="567">
      <c r="C567" s="320"/>
    </row>
    <row r="568">
      <c r="C568" s="320"/>
    </row>
    <row r="569">
      <c r="C569" s="320"/>
    </row>
    <row r="570">
      <c r="C570" s="320"/>
    </row>
    <row r="571">
      <c r="C571" s="320"/>
    </row>
    <row r="572">
      <c r="C572" s="320"/>
    </row>
    <row r="573">
      <c r="C573" s="320"/>
    </row>
    <row r="574">
      <c r="C574" s="320"/>
    </row>
    <row r="575">
      <c r="C575" s="320"/>
    </row>
    <row r="576">
      <c r="C576" s="320"/>
    </row>
    <row r="577">
      <c r="C577" s="320"/>
    </row>
    <row r="578">
      <c r="C578" s="320"/>
    </row>
    <row r="579">
      <c r="C579" s="320"/>
    </row>
    <row r="580">
      <c r="C580" s="320"/>
    </row>
    <row r="581">
      <c r="C581" s="320"/>
    </row>
    <row r="582">
      <c r="C582" s="320"/>
    </row>
    <row r="583">
      <c r="C583" s="320"/>
    </row>
    <row r="584">
      <c r="C584" s="320"/>
    </row>
    <row r="585">
      <c r="C585" s="320"/>
    </row>
    <row r="586">
      <c r="C586" s="320"/>
    </row>
    <row r="587">
      <c r="C587" s="320"/>
    </row>
    <row r="588">
      <c r="C588" s="320"/>
    </row>
    <row r="589">
      <c r="C589" s="320"/>
    </row>
    <row r="590">
      <c r="C590" s="320"/>
    </row>
    <row r="591">
      <c r="C591" s="320"/>
    </row>
    <row r="592">
      <c r="C592" s="320"/>
    </row>
    <row r="593">
      <c r="C593" s="320"/>
    </row>
    <row r="594">
      <c r="C594" s="320"/>
    </row>
    <row r="595">
      <c r="C595" s="320"/>
    </row>
    <row r="596">
      <c r="C596" s="320"/>
    </row>
    <row r="597">
      <c r="C597" s="320"/>
    </row>
    <row r="598">
      <c r="C598" s="320"/>
    </row>
    <row r="599">
      <c r="C599" s="320"/>
    </row>
    <row r="600">
      <c r="C600" s="320"/>
    </row>
    <row r="601">
      <c r="C601" s="320"/>
    </row>
    <row r="602">
      <c r="C602" s="320"/>
    </row>
    <row r="603">
      <c r="C603" s="320"/>
    </row>
    <row r="604">
      <c r="C604" s="320"/>
    </row>
    <row r="605">
      <c r="C605" s="320"/>
    </row>
    <row r="606">
      <c r="C606" s="320"/>
    </row>
    <row r="607">
      <c r="C607" s="320"/>
    </row>
    <row r="608">
      <c r="C608" s="320"/>
    </row>
    <row r="609">
      <c r="C609" s="320"/>
    </row>
    <row r="610">
      <c r="C610" s="320"/>
    </row>
    <row r="611">
      <c r="C611" s="320"/>
    </row>
    <row r="612">
      <c r="C612" s="320"/>
    </row>
    <row r="613">
      <c r="C613" s="320"/>
    </row>
    <row r="614">
      <c r="C614" s="320"/>
    </row>
    <row r="615">
      <c r="C615" s="320"/>
    </row>
    <row r="616">
      <c r="C616" s="320"/>
    </row>
    <row r="617">
      <c r="C617" s="320"/>
    </row>
    <row r="618">
      <c r="C618" s="320"/>
    </row>
    <row r="619">
      <c r="C619" s="320"/>
    </row>
    <row r="620">
      <c r="C620" s="320"/>
    </row>
    <row r="621">
      <c r="C621" s="320"/>
    </row>
    <row r="622">
      <c r="C622" s="320"/>
    </row>
    <row r="623">
      <c r="C623" s="320"/>
    </row>
    <row r="624">
      <c r="C624" s="320"/>
    </row>
    <row r="625">
      <c r="C625" s="320"/>
    </row>
    <row r="626">
      <c r="C626" s="320"/>
    </row>
    <row r="627">
      <c r="C627" s="320"/>
    </row>
    <row r="628">
      <c r="C628" s="320"/>
    </row>
    <row r="629">
      <c r="C629" s="320"/>
    </row>
    <row r="630">
      <c r="C630" s="320"/>
    </row>
    <row r="631">
      <c r="C631" s="320"/>
    </row>
    <row r="632">
      <c r="C632" s="320"/>
    </row>
    <row r="633">
      <c r="C633" s="320"/>
    </row>
    <row r="634">
      <c r="C634" s="320"/>
    </row>
    <row r="635">
      <c r="C635" s="320"/>
    </row>
    <row r="636">
      <c r="C636" s="320"/>
    </row>
    <row r="637">
      <c r="C637" s="320"/>
    </row>
    <row r="638">
      <c r="C638" s="320"/>
    </row>
    <row r="639">
      <c r="C639" s="320"/>
    </row>
    <row r="640">
      <c r="C640" s="320"/>
    </row>
    <row r="641">
      <c r="C641" s="320"/>
    </row>
    <row r="642">
      <c r="C642" s="320"/>
    </row>
    <row r="643">
      <c r="C643" s="320"/>
    </row>
    <row r="644">
      <c r="C644" s="320"/>
    </row>
    <row r="645">
      <c r="C645" s="320"/>
    </row>
    <row r="646">
      <c r="C646" s="320"/>
    </row>
    <row r="647">
      <c r="C647" s="320"/>
    </row>
    <row r="648">
      <c r="C648" s="320"/>
    </row>
    <row r="649">
      <c r="C649" s="320"/>
    </row>
    <row r="650">
      <c r="C650" s="320"/>
    </row>
    <row r="651">
      <c r="C651" s="320"/>
    </row>
    <row r="652">
      <c r="C652" s="320"/>
    </row>
    <row r="653">
      <c r="C653" s="320"/>
    </row>
    <row r="654">
      <c r="C654" s="320"/>
    </row>
    <row r="655">
      <c r="C655" s="320"/>
    </row>
    <row r="656">
      <c r="C656" s="320"/>
    </row>
    <row r="657">
      <c r="C657" s="320"/>
    </row>
    <row r="658">
      <c r="C658" s="320"/>
    </row>
    <row r="659">
      <c r="C659" s="320"/>
    </row>
    <row r="660">
      <c r="C660" s="320"/>
    </row>
    <row r="661">
      <c r="C661" s="320"/>
    </row>
    <row r="662">
      <c r="C662" s="320"/>
    </row>
    <row r="663">
      <c r="C663" s="320"/>
    </row>
    <row r="664">
      <c r="C664" s="320"/>
    </row>
    <row r="665">
      <c r="C665" s="320"/>
    </row>
    <row r="666">
      <c r="C666" s="320"/>
    </row>
    <row r="667">
      <c r="C667" s="320"/>
    </row>
    <row r="668">
      <c r="C668" s="320"/>
    </row>
    <row r="669">
      <c r="C669" s="320"/>
    </row>
    <row r="670">
      <c r="C670" s="320"/>
    </row>
    <row r="671">
      <c r="C671" s="320"/>
    </row>
    <row r="672">
      <c r="C672" s="320"/>
    </row>
    <row r="673">
      <c r="C673" s="320"/>
    </row>
    <row r="674">
      <c r="C674" s="320"/>
    </row>
    <row r="675">
      <c r="C675" s="320"/>
    </row>
    <row r="676">
      <c r="C676" s="320"/>
    </row>
    <row r="677">
      <c r="C677" s="320"/>
    </row>
    <row r="678">
      <c r="C678" s="320"/>
    </row>
    <row r="679">
      <c r="C679" s="320"/>
    </row>
    <row r="680">
      <c r="C680" s="320"/>
    </row>
    <row r="681">
      <c r="C681" s="320"/>
    </row>
    <row r="682">
      <c r="C682" s="320"/>
    </row>
    <row r="683">
      <c r="C683" s="320"/>
    </row>
    <row r="684">
      <c r="C684" s="320"/>
    </row>
    <row r="685">
      <c r="C685" s="320"/>
    </row>
    <row r="686">
      <c r="C686" s="320"/>
    </row>
    <row r="687">
      <c r="C687" s="320"/>
    </row>
    <row r="688">
      <c r="C688" s="320"/>
    </row>
    <row r="689">
      <c r="C689" s="320"/>
    </row>
    <row r="690">
      <c r="C690" s="320"/>
    </row>
    <row r="691">
      <c r="C691" s="320"/>
    </row>
    <row r="692">
      <c r="C692" s="320"/>
    </row>
    <row r="693">
      <c r="C693" s="320"/>
    </row>
    <row r="694">
      <c r="C694" s="320"/>
    </row>
    <row r="695">
      <c r="C695" s="320"/>
    </row>
    <row r="696">
      <c r="C696" s="320"/>
    </row>
    <row r="697">
      <c r="C697" s="320"/>
    </row>
    <row r="698">
      <c r="C698" s="320"/>
    </row>
    <row r="699">
      <c r="C699" s="320"/>
    </row>
    <row r="700">
      <c r="C700" s="320"/>
    </row>
    <row r="701">
      <c r="C701" s="320"/>
    </row>
    <row r="702">
      <c r="C702" s="320"/>
    </row>
    <row r="703">
      <c r="C703" s="320"/>
    </row>
    <row r="704">
      <c r="C704" s="320"/>
    </row>
    <row r="705">
      <c r="C705" s="320"/>
    </row>
    <row r="706">
      <c r="C706" s="320"/>
    </row>
    <row r="707">
      <c r="C707" s="320"/>
    </row>
    <row r="708">
      <c r="C708" s="320"/>
    </row>
    <row r="709">
      <c r="C709" s="320"/>
    </row>
    <row r="710">
      <c r="C710" s="320"/>
    </row>
    <row r="711">
      <c r="C711" s="320"/>
    </row>
    <row r="712">
      <c r="C712" s="320"/>
    </row>
    <row r="713">
      <c r="C713" s="320"/>
    </row>
    <row r="714">
      <c r="C714" s="320"/>
    </row>
    <row r="715">
      <c r="C715" s="320"/>
    </row>
    <row r="716">
      <c r="C716" s="320"/>
    </row>
    <row r="717">
      <c r="C717" s="320"/>
    </row>
    <row r="718">
      <c r="C718" s="320"/>
    </row>
    <row r="719">
      <c r="C719" s="320"/>
    </row>
    <row r="720">
      <c r="C720" s="320"/>
    </row>
    <row r="721">
      <c r="C721" s="320"/>
    </row>
    <row r="722">
      <c r="C722" s="320"/>
    </row>
    <row r="723">
      <c r="C723" s="320"/>
    </row>
    <row r="724">
      <c r="C724" s="320"/>
    </row>
    <row r="725">
      <c r="C725" s="320"/>
    </row>
    <row r="726">
      <c r="C726" s="320"/>
    </row>
    <row r="727">
      <c r="C727" s="320"/>
    </row>
    <row r="728">
      <c r="C728" s="320"/>
    </row>
    <row r="729">
      <c r="C729" s="320"/>
    </row>
    <row r="730">
      <c r="C730" s="320"/>
    </row>
    <row r="731">
      <c r="C731" s="320"/>
    </row>
    <row r="732">
      <c r="C732" s="320"/>
    </row>
    <row r="733">
      <c r="C733" s="320"/>
    </row>
    <row r="734">
      <c r="C734" s="320"/>
    </row>
    <row r="735">
      <c r="C735" s="320"/>
    </row>
    <row r="736">
      <c r="C736" s="320"/>
    </row>
    <row r="737">
      <c r="C737" s="320"/>
    </row>
    <row r="738">
      <c r="C738" s="320"/>
    </row>
    <row r="739">
      <c r="C739" s="320"/>
    </row>
    <row r="740">
      <c r="C740" s="320"/>
    </row>
    <row r="741">
      <c r="C741" s="320"/>
    </row>
    <row r="742">
      <c r="C742" s="320"/>
    </row>
    <row r="743">
      <c r="C743" s="320"/>
    </row>
    <row r="744">
      <c r="C744" s="320"/>
    </row>
    <row r="745">
      <c r="C745" s="320"/>
    </row>
    <row r="746">
      <c r="C746" s="320"/>
    </row>
    <row r="747">
      <c r="C747" s="320"/>
    </row>
    <row r="748">
      <c r="C748" s="320"/>
    </row>
    <row r="749">
      <c r="C749" s="320"/>
    </row>
    <row r="750">
      <c r="C750" s="320"/>
    </row>
    <row r="751">
      <c r="C751" s="320"/>
    </row>
    <row r="752">
      <c r="C752" s="320"/>
    </row>
    <row r="753">
      <c r="C753" s="320"/>
    </row>
    <row r="754">
      <c r="C754" s="320"/>
    </row>
    <row r="755">
      <c r="C755" s="320"/>
    </row>
    <row r="756">
      <c r="C756" s="320"/>
    </row>
    <row r="757">
      <c r="C757" s="320"/>
    </row>
    <row r="758">
      <c r="C758" s="320"/>
    </row>
    <row r="759">
      <c r="C759" s="320"/>
    </row>
    <row r="760">
      <c r="C760" s="320"/>
    </row>
    <row r="761">
      <c r="C761" s="320"/>
    </row>
    <row r="762">
      <c r="C762" s="320"/>
    </row>
    <row r="763">
      <c r="C763" s="320"/>
    </row>
    <row r="764">
      <c r="C764" s="320"/>
    </row>
    <row r="765">
      <c r="C765" s="320"/>
    </row>
    <row r="766">
      <c r="C766" s="320"/>
    </row>
    <row r="767">
      <c r="C767" s="320"/>
    </row>
    <row r="768">
      <c r="C768" s="320"/>
    </row>
    <row r="769">
      <c r="C769" s="320"/>
    </row>
    <row r="770">
      <c r="C770" s="320"/>
    </row>
    <row r="771">
      <c r="C771" s="320"/>
    </row>
    <row r="772">
      <c r="C772" s="320"/>
    </row>
    <row r="773">
      <c r="C773" s="320"/>
    </row>
    <row r="774">
      <c r="C774" s="320"/>
    </row>
    <row r="775">
      <c r="C775" s="320"/>
    </row>
    <row r="776">
      <c r="C776" s="320"/>
    </row>
    <row r="777">
      <c r="C777" s="320"/>
    </row>
    <row r="778">
      <c r="C778" s="320"/>
    </row>
    <row r="779">
      <c r="C779" s="320"/>
    </row>
    <row r="780">
      <c r="C780" s="320"/>
    </row>
    <row r="781">
      <c r="C781" s="320"/>
    </row>
    <row r="782">
      <c r="C782" s="320"/>
    </row>
    <row r="783">
      <c r="C783" s="320"/>
    </row>
    <row r="784">
      <c r="C784" s="320"/>
    </row>
    <row r="785">
      <c r="C785" s="320"/>
    </row>
    <row r="786">
      <c r="C786" s="320"/>
    </row>
    <row r="787">
      <c r="C787" s="320"/>
    </row>
    <row r="788">
      <c r="C788" s="320"/>
    </row>
    <row r="789">
      <c r="C789" s="320"/>
    </row>
    <row r="790">
      <c r="C790" s="320"/>
    </row>
    <row r="791">
      <c r="C791" s="320"/>
    </row>
    <row r="792">
      <c r="C792" s="320"/>
    </row>
    <row r="793">
      <c r="C793" s="320"/>
    </row>
    <row r="794">
      <c r="C794" s="320"/>
    </row>
    <row r="795">
      <c r="C795" s="320"/>
    </row>
    <row r="796">
      <c r="C796" s="320"/>
    </row>
    <row r="797">
      <c r="C797" s="320"/>
    </row>
    <row r="798">
      <c r="C798" s="320"/>
    </row>
    <row r="799">
      <c r="C799" s="320"/>
    </row>
    <row r="800">
      <c r="C800" s="320"/>
    </row>
    <row r="801">
      <c r="C801" s="320"/>
    </row>
    <row r="802">
      <c r="C802" s="320"/>
    </row>
    <row r="803">
      <c r="C803" s="320"/>
    </row>
    <row r="804">
      <c r="C804" s="320"/>
    </row>
    <row r="805">
      <c r="C805" s="320"/>
    </row>
    <row r="806">
      <c r="C806" s="320"/>
    </row>
    <row r="807">
      <c r="C807" s="320"/>
    </row>
    <row r="808">
      <c r="C808" s="320"/>
    </row>
    <row r="809">
      <c r="C809" s="320"/>
    </row>
    <row r="810">
      <c r="C810" s="320"/>
    </row>
    <row r="811">
      <c r="C811" s="320"/>
    </row>
    <row r="812">
      <c r="C812" s="320"/>
    </row>
    <row r="813">
      <c r="C813" s="320"/>
    </row>
    <row r="814">
      <c r="C814" s="320"/>
    </row>
    <row r="815">
      <c r="C815" s="320"/>
    </row>
    <row r="816">
      <c r="C816" s="320"/>
    </row>
    <row r="817">
      <c r="C817" s="320"/>
    </row>
    <row r="818">
      <c r="C818" s="320"/>
    </row>
    <row r="819">
      <c r="C819" s="320"/>
    </row>
    <row r="820">
      <c r="C820" s="320"/>
    </row>
    <row r="821">
      <c r="C821" s="320"/>
    </row>
    <row r="822">
      <c r="C822" s="320"/>
    </row>
    <row r="823">
      <c r="C823" s="320"/>
    </row>
    <row r="824">
      <c r="C824" s="320"/>
    </row>
    <row r="825">
      <c r="C825" s="320"/>
    </row>
    <row r="826">
      <c r="C826" s="320"/>
    </row>
    <row r="827">
      <c r="C827" s="320"/>
    </row>
    <row r="828">
      <c r="C828" s="320"/>
    </row>
    <row r="829">
      <c r="C829" s="320"/>
    </row>
    <row r="830">
      <c r="C830" s="320"/>
    </row>
    <row r="831">
      <c r="C831" s="320"/>
    </row>
    <row r="832">
      <c r="C832" s="320"/>
    </row>
    <row r="833">
      <c r="C833" s="320"/>
    </row>
    <row r="834">
      <c r="C834" s="320"/>
    </row>
    <row r="835">
      <c r="C835" s="320"/>
    </row>
    <row r="836">
      <c r="C836" s="320"/>
    </row>
    <row r="837">
      <c r="C837" s="320"/>
    </row>
    <row r="838">
      <c r="C838" s="320"/>
    </row>
    <row r="839">
      <c r="C839" s="320"/>
    </row>
    <row r="840">
      <c r="C840" s="320"/>
    </row>
    <row r="841">
      <c r="C841" s="320"/>
    </row>
    <row r="842">
      <c r="C842" s="320"/>
    </row>
    <row r="843">
      <c r="C843" s="320"/>
    </row>
    <row r="844">
      <c r="C844" s="320"/>
    </row>
    <row r="845">
      <c r="C845" s="320"/>
    </row>
    <row r="846">
      <c r="C846" s="320"/>
    </row>
    <row r="847">
      <c r="C847" s="320"/>
    </row>
    <row r="848">
      <c r="C848" s="320"/>
    </row>
    <row r="849">
      <c r="C849" s="320"/>
    </row>
    <row r="850">
      <c r="C850" s="320"/>
    </row>
    <row r="851">
      <c r="C851" s="320"/>
    </row>
    <row r="852">
      <c r="C852" s="320"/>
    </row>
    <row r="853">
      <c r="C853" s="320"/>
    </row>
    <row r="854">
      <c r="C854" s="320"/>
    </row>
    <row r="855">
      <c r="C855" s="320"/>
    </row>
    <row r="856">
      <c r="C856" s="320"/>
    </row>
    <row r="857">
      <c r="C857" s="320"/>
    </row>
    <row r="858">
      <c r="C858" s="320"/>
    </row>
    <row r="859">
      <c r="C859" s="320"/>
    </row>
    <row r="860">
      <c r="C860" s="320"/>
    </row>
    <row r="861">
      <c r="C861" s="320"/>
    </row>
    <row r="862">
      <c r="C862" s="320"/>
    </row>
    <row r="863">
      <c r="C863" s="320"/>
    </row>
    <row r="864">
      <c r="C864" s="320"/>
    </row>
    <row r="865">
      <c r="C865" s="320"/>
    </row>
    <row r="866">
      <c r="C866" s="320"/>
    </row>
    <row r="867">
      <c r="C867" s="320"/>
    </row>
    <row r="868">
      <c r="C868" s="320"/>
    </row>
    <row r="869">
      <c r="C869" s="320"/>
    </row>
    <row r="870">
      <c r="C870" s="320"/>
    </row>
    <row r="871">
      <c r="C871" s="320"/>
    </row>
    <row r="872">
      <c r="C872" s="320"/>
    </row>
    <row r="873">
      <c r="C873" s="320"/>
    </row>
    <row r="874">
      <c r="C874" s="320"/>
    </row>
    <row r="875">
      <c r="C875" s="320"/>
    </row>
    <row r="876">
      <c r="C876" s="320"/>
    </row>
    <row r="877">
      <c r="C877" s="320"/>
    </row>
    <row r="878">
      <c r="C878" s="320"/>
    </row>
    <row r="879">
      <c r="C879" s="320"/>
    </row>
    <row r="880">
      <c r="C880" s="320"/>
    </row>
    <row r="881">
      <c r="C881" s="320"/>
    </row>
    <row r="882">
      <c r="C882" s="320"/>
    </row>
    <row r="883">
      <c r="C883" s="320"/>
    </row>
    <row r="884">
      <c r="C884" s="320"/>
    </row>
    <row r="885">
      <c r="C885" s="320"/>
    </row>
    <row r="886">
      <c r="C886" s="320"/>
    </row>
    <row r="887">
      <c r="C887" s="320"/>
    </row>
    <row r="888">
      <c r="C888" s="320"/>
    </row>
    <row r="889">
      <c r="C889" s="320"/>
    </row>
    <row r="890">
      <c r="C890" s="320"/>
    </row>
    <row r="891">
      <c r="C891" s="320"/>
    </row>
    <row r="892">
      <c r="C892" s="320"/>
    </row>
    <row r="893">
      <c r="C893" s="320"/>
    </row>
    <row r="894">
      <c r="C894" s="320"/>
    </row>
    <row r="895">
      <c r="C895" s="320"/>
    </row>
    <row r="896">
      <c r="C896" s="320"/>
    </row>
    <row r="897">
      <c r="C897" s="320"/>
    </row>
    <row r="898">
      <c r="C898" s="320"/>
    </row>
    <row r="899">
      <c r="C899" s="320"/>
    </row>
    <row r="900">
      <c r="C900" s="320"/>
    </row>
    <row r="901">
      <c r="C901" s="320"/>
    </row>
    <row r="902">
      <c r="C902" s="320"/>
    </row>
    <row r="903">
      <c r="C903" s="320"/>
    </row>
    <row r="904">
      <c r="C904" s="320"/>
    </row>
    <row r="905">
      <c r="C905" s="320"/>
    </row>
    <row r="906">
      <c r="C906" s="320"/>
    </row>
    <row r="907">
      <c r="C907" s="320"/>
    </row>
    <row r="908">
      <c r="C908" s="320"/>
    </row>
    <row r="909">
      <c r="C909" s="320"/>
    </row>
    <row r="910">
      <c r="C910" s="320"/>
    </row>
    <row r="911">
      <c r="C911" s="320"/>
    </row>
    <row r="912">
      <c r="C912" s="320"/>
    </row>
    <row r="913">
      <c r="C913" s="320"/>
    </row>
    <row r="914">
      <c r="C914" s="320"/>
    </row>
    <row r="915">
      <c r="C915" s="320"/>
    </row>
    <row r="916">
      <c r="C916" s="320"/>
    </row>
    <row r="917">
      <c r="C917" s="320"/>
    </row>
    <row r="918">
      <c r="C918" s="320"/>
    </row>
    <row r="919">
      <c r="C919" s="320"/>
    </row>
    <row r="920">
      <c r="C920" s="320"/>
    </row>
    <row r="921">
      <c r="C921" s="320"/>
    </row>
    <row r="922">
      <c r="C922" s="320"/>
    </row>
    <row r="923">
      <c r="C923" s="320"/>
    </row>
    <row r="924">
      <c r="C924" s="320"/>
    </row>
    <row r="925">
      <c r="C925" s="320"/>
    </row>
    <row r="926">
      <c r="C926" s="320"/>
    </row>
    <row r="927">
      <c r="C927" s="320"/>
    </row>
    <row r="928">
      <c r="C928" s="320"/>
    </row>
    <row r="929">
      <c r="C929" s="320"/>
    </row>
    <row r="930">
      <c r="C930" s="320"/>
    </row>
    <row r="931">
      <c r="C931" s="320"/>
    </row>
    <row r="932">
      <c r="C932" s="320"/>
    </row>
    <row r="933">
      <c r="C933" s="320"/>
    </row>
    <row r="934">
      <c r="C934" s="320"/>
    </row>
    <row r="935">
      <c r="C935" s="320"/>
    </row>
    <row r="936">
      <c r="C936" s="320"/>
    </row>
    <row r="937">
      <c r="C937" s="320"/>
    </row>
    <row r="938">
      <c r="C938" s="320"/>
    </row>
    <row r="939">
      <c r="C939" s="320"/>
    </row>
    <row r="940">
      <c r="C940" s="320"/>
    </row>
    <row r="941">
      <c r="C941" s="320"/>
    </row>
    <row r="942">
      <c r="C942" s="320"/>
    </row>
    <row r="943">
      <c r="C943" s="320"/>
    </row>
    <row r="944">
      <c r="C944" s="320"/>
    </row>
    <row r="945">
      <c r="C945" s="320"/>
    </row>
    <row r="946">
      <c r="C946" s="320"/>
    </row>
    <row r="947">
      <c r="C947" s="320"/>
    </row>
    <row r="948">
      <c r="C948" s="320"/>
    </row>
    <row r="949">
      <c r="C949" s="320"/>
    </row>
    <row r="950">
      <c r="C950" s="320"/>
    </row>
    <row r="951">
      <c r="C951" s="320"/>
    </row>
    <row r="952">
      <c r="C952" s="320"/>
    </row>
    <row r="953">
      <c r="C953" s="320"/>
    </row>
    <row r="954">
      <c r="C954" s="320"/>
    </row>
    <row r="955">
      <c r="C955" s="320"/>
    </row>
    <row r="956">
      <c r="C956" s="320"/>
    </row>
    <row r="957">
      <c r="C957" s="320"/>
    </row>
    <row r="958">
      <c r="C958" s="320"/>
    </row>
    <row r="959">
      <c r="C959" s="320"/>
    </row>
    <row r="960">
      <c r="C960" s="320"/>
    </row>
    <row r="961">
      <c r="C961" s="320"/>
    </row>
    <row r="962">
      <c r="C962" s="320"/>
    </row>
    <row r="963">
      <c r="C963" s="320"/>
    </row>
    <row r="964">
      <c r="C964" s="320"/>
    </row>
    <row r="965">
      <c r="C965" s="320"/>
    </row>
    <row r="966">
      <c r="C966" s="320"/>
    </row>
    <row r="967">
      <c r="C967" s="320"/>
    </row>
    <row r="968">
      <c r="C968" s="320"/>
    </row>
    <row r="969">
      <c r="C969" s="320"/>
    </row>
    <row r="970">
      <c r="C970" s="320"/>
    </row>
    <row r="971">
      <c r="C971" s="320"/>
    </row>
    <row r="972">
      <c r="C972" s="320"/>
    </row>
    <row r="973">
      <c r="C973" s="320"/>
    </row>
    <row r="974">
      <c r="C974" s="320"/>
    </row>
    <row r="975">
      <c r="C975" s="320"/>
    </row>
    <row r="976">
      <c r="C976" s="320"/>
    </row>
    <row r="977">
      <c r="C977" s="320"/>
    </row>
    <row r="978">
      <c r="C978" s="320"/>
    </row>
    <row r="979">
      <c r="C979" s="320"/>
    </row>
    <row r="980">
      <c r="C980" s="320"/>
    </row>
    <row r="981">
      <c r="C981" s="320"/>
    </row>
    <row r="982">
      <c r="C982" s="320"/>
    </row>
    <row r="983">
      <c r="C983" s="320"/>
    </row>
    <row r="984">
      <c r="C984" s="320"/>
    </row>
    <row r="985">
      <c r="C985" s="320"/>
    </row>
    <row r="986">
      <c r="C986" s="320"/>
    </row>
    <row r="987">
      <c r="C987" s="320"/>
    </row>
    <row r="988">
      <c r="C988" s="320"/>
    </row>
    <row r="989">
      <c r="C989" s="320"/>
    </row>
    <row r="990">
      <c r="C990" s="320"/>
    </row>
    <row r="991">
      <c r="C991" s="320"/>
    </row>
    <row r="992">
      <c r="C992" s="320"/>
    </row>
    <row r="993">
      <c r="C993" s="320"/>
    </row>
    <row r="994">
      <c r="C994" s="320"/>
    </row>
    <row r="995">
      <c r="C995" s="320"/>
    </row>
    <row r="996">
      <c r="C996" s="320"/>
    </row>
    <row r="997">
      <c r="C997" s="320"/>
    </row>
    <row r="998">
      <c r="C998" s="320"/>
    </row>
    <row r="999">
      <c r="C999" s="320"/>
    </row>
    <row r="1000">
      <c r="C1000" s="320"/>
    </row>
    <row r="1001">
      <c r="C1001" s="320"/>
    </row>
    <row r="1002">
      <c r="C1002" s="320"/>
    </row>
    <row r="1003">
      <c r="C1003" s="320"/>
    </row>
    <row r="1004">
      <c r="C1004" s="320"/>
    </row>
    <row r="1005">
      <c r="C1005" s="320"/>
    </row>
    <row r="1006">
      <c r="C1006" s="320"/>
    </row>
    <row r="1007">
      <c r="C1007" s="320"/>
    </row>
    <row r="1008">
      <c r="C1008" s="320"/>
    </row>
    <row r="1009">
      <c r="C1009" s="320"/>
    </row>
    <row r="1010">
      <c r="C1010" s="320"/>
    </row>
    <row r="1011">
      <c r="C1011" s="320"/>
    </row>
    <row r="1012">
      <c r="C1012" s="320"/>
    </row>
    <row r="1013">
      <c r="C1013" s="320"/>
    </row>
    <row r="1014">
      <c r="C1014" s="320"/>
    </row>
    <row r="1015">
      <c r="C1015" s="320"/>
    </row>
    <row r="1016">
      <c r="C1016" s="320"/>
    </row>
    <row r="1017">
      <c r="C1017" s="320"/>
    </row>
    <row r="1018">
      <c r="C1018" s="320"/>
    </row>
    <row r="1019">
      <c r="C1019" s="320"/>
    </row>
    <row r="1020">
      <c r="C1020" s="320"/>
    </row>
    <row r="1021">
      <c r="C1021" s="320"/>
    </row>
    <row r="1022">
      <c r="C1022" s="320"/>
    </row>
    <row r="1023">
      <c r="C1023" s="320"/>
    </row>
    <row r="1024">
      <c r="C1024" s="320"/>
    </row>
    <row r="1025">
      <c r="C1025" s="320"/>
    </row>
  </sheetData>
  <conditionalFormatting sqref="E3:E43">
    <cfRule type="containsText" dxfId="7" priority="1" operator="containsText" text="MENSALIDADE">
      <formula>NOT(ISERROR(SEARCH(("MENSALIDADE"),(E3))))</formula>
    </cfRule>
  </conditionalFormatting>
  <conditionalFormatting sqref="E3:E43">
    <cfRule type="containsText" dxfId="8" priority="2" operator="containsText" text="UNIFORME">
      <formula>NOT(ISERROR(SEARCH(("UNIFORME"),(E3))))</formula>
    </cfRule>
  </conditionalFormatting>
  <conditionalFormatting sqref="E3:E43">
    <cfRule type="containsText" dxfId="8" priority="3" operator="containsText" text="CALÇÃO">
      <formula>NOT(ISERROR(SEARCH(("CALÇÃO"),(E3))))</formula>
    </cfRule>
  </conditionalFormatting>
  <conditionalFormatting sqref="E3:E43">
    <cfRule type="containsText" dxfId="8" priority="4" operator="containsText" text="CAMISA">
      <formula>NOT(ISERROR(SEARCH(("CAMISA"),(E3))))</formula>
    </cfRule>
  </conditionalFormatting>
  <conditionalFormatting sqref="E3:E43">
    <cfRule type="containsText" dxfId="8" priority="5" operator="containsText" text="MEIÃO">
      <formula>NOT(ISERROR(SEARCH(("MEIÃO"),(E3))))</formula>
    </cfRule>
  </conditionalFormatting>
  <conditionalFormatting sqref="E3:E43">
    <cfRule type="containsText" dxfId="8" priority="6" operator="containsText" text="CAMISETA">
      <formula>NOT(ISERROR(SEARCH(("CAMISETA"),(E3))))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